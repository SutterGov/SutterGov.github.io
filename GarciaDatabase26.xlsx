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E:\萨特联赛\"/>
    </mc:Choice>
  </mc:AlternateContent>
  <xr:revisionPtr revIDLastSave="0" documentId="13_ncr:1_{28BDCDDD-B97C-45A8-AC28-1175BB4C0896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球员数据库" sheetId="1" r:id="rId1"/>
    <sheet name="球队表格" sheetId="2" r:id="rId2"/>
    <sheet name="Sheet2" sheetId="3" r:id="rId3"/>
  </sheets>
  <definedNames>
    <definedName name="_xlnm._FilterDatabase" localSheetId="0" hidden="1">球员数据库!$A$1:$N$1</definedName>
    <definedName name="tblclub">球队表格!$H$8</definedName>
    <definedName name="tblplayer">球员数据库!$N$13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286" i="1" l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O1311" i="1"/>
  <c r="O1312" i="1"/>
  <c r="O1313" i="1"/>
  <c r="O1314" i="1"/>
  <c r="O131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O1256" i="1"/>
  <c r="O1257" i="1"/>
  <c r="O1258" i="1"/>
  <c r="O1259" i="1"/>
  <c r="O1260" i="1"/>
  <c r="O1261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H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G35" i="2"/>
  <c r="G36" i="2"/>
  <c r="G37" i="2"/>
  <c r="G38" i="2"/>
  <c r="G39" i="2"/>
  <c r="G40" i="2"/>
  <c r="G41" i="2"/>
  <c r="G42" i="2"/>
  <c r="G43" i="2"/>
  <c r="G44" i="2"/>
  <c r="G45" i="2"/>
  <c r="G23" i="2"/>
  <c r="G24" i="2"/>
  <c r="G25" i="2"/>
  <c r="G26" i="2"/>
  <c r="G27" i="2"/>
  <c r="G28" i="2"/>
  <c r="G29" i="2"/>
  <c r="G30" i="2"/>
  <c r="G31" i="2"/>
  <c r="G32" i="2"/>
  <c r="G33" i="2"/>
  <c r="G34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" i="2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B3" i="3"/>
  <c r="A3" i="3"/>
  <c r="M3" i="3"/>
  <c r="L3" i="3"/>
  <c r="K3" i="3"/>
  <c r="J3" i="3"/>
  <c r="I3" i="3"/>
  <c r="H3" i="3"/>
  <c r="G3" i="3"/>
  <c r="F3" i="3"/>
  <c r="E3" i="3"/>
  <c r="D3" i="3"/>
  <c r="C3" i="3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N26" i="2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2" i="1"/>
  <c r="F43" i="3" l="1" a="1"/>
  <c r="F43" i="3" s="1"/>
  <c r="H40" i="3"/>
  <c r="F42" i="3" a="1"/>
  <c r="F42" i="3" s="1"/>
  <c r="G41" i="3" a="1"/>
  <c r="G41" i="3" s="1"/>
  <c r="E43" i="3" a="1"/>
  <c r="E43" i="3" s="1"/>
  <c r="E42" i="3" a="1"/>
  <c r="E42" i="3" s="1"/>
  <c r="F41" i="3" a="1"/>
  <c r="F41" i="3" s="1"/>
  <c r="G40" i="3" a="1"/>
  <c r="G40" i="3" s="1"/>
  <c r="D43" i="3" a="1"/>
  <c r="D43" i="3" s="1"/>
  <c r="D42" i="3" a="1"/>
  <c r="D42" i="3" s="1"/>
  <c r="E41" i="3" a="1"/>
  <c r="E41" i="3" s="1"/>
  <c r="C42" i="3" a="1"/>
  <c r="C42" i="3" s="1"/>
  <c r="D41" i="3" a="1"/>
  <c r="D41" i="3" s="1"/>
  <c r="F40" i="3" a="1"/>
  <c r="F40" i="3" s="1"/>
  <c r="C43" i="3" a="1"/>
  <c r="C43" i="3" s="1"/>
  <c r="E40" i="3" a="1"/>
  <c r="E40" i="3" s="1"/>
  <c r="B42" i="3" a="1"/>
  <c r="B42" i="3" s="1"/>
  <c r="C41" i="3" a="1"/>
  <c r="C41" i="3" s="1"/>
  <c r="D40" i="3" a="1"/>
  <c r="D40" i="3" s="1"/>
  <c r="B43" i="3" a="1"/>
  <c r="B43" i="3" s="1"/>
  <c r="B41" i="3" a="1"/>
  <c r="B41" i="3" s="1"/>
  <c r="C40" i="3" a="1"/>
  <c r="C40" i="3" s="1"/>
  <c r="A43" i="3" a="1"/>
  <c r="A43" i="3" s="1"/>
  <c r="A42" i="3" a="1"/>
  <c r="A42" i="3" s="1"/>
  <c r="B40" i="3" a="1"/>
  <c r="B40" i="3" s="1"/>
  <c r="N43" i="3"/>
  <c r="N42" i="3"/>
  <c r="N41" i="3"/>
  <c r="A41" i="3" a="1"/>
  <c r="A41" i="3" s="1"/>
  <c r="A40" i="3" a="1"/>
  <c r="A40" i="3" s="1"/>
  <c r="M43" i="3"/>
  <c r="M42" i="3"/>
  <c r="M41" i="3"/>
  <c r="N40" i="3"/>
  <c r="L43" i="3"/>
  <c r="L42" i="3"/>
  <c r="L41" i="3"/>
  <c r="M40" i="3"/>
  <c r="K43" i="3"/>
  <c r="K42" i="3"/>
  <c r="K41" i="3"/>
  <c r="L40" i="3"/>
  <c r="J43" i="3"/>
  <c r="J42" i="3"/>
  <c r="J41" i="3"/>
  <c r="K40" i="3"/>
  <c r="I43" i="3"/>
  <c r="I42" i="3"/>
  <c r="I41" i="3"/>
  <c r="J40" i="3"/>
  <c r="H43" i="3"/>
  <c r="H42" i="3"/>
  <c r="H41" i="3"/>
  <c r="I40" i="3"/>
  <c r="G43" i="3" a="1"/>
  <c r="G43" i="3" s="1"/>
  <c r="G42" i="3" a="1"/>
  <c r="G42" i="3" s="1"/>
  <c r="L28" i="3"/>
  <c r="A27" i="3" a="1"/>
  <c r="A27" i="3" s="1"/>
  <c r="L24" i="3"/>
  <c r="A22" i="3" a="1"/>
  <c r="A22" i="3" s="1"/>
  <c r="C16" i="3" a="1"/>
  <c r="C16" i="3" s="1"/>
  <c r="I30" i="3"/>
  <c r="K24" i="3"/>
  <c r="M23" i="3"/>
  <c r="M22" i="3"/>
  <c r="N21" i="3"/>
  <c r="A21" i="3" a="1"/>
  <c r="A21" i="3" s="1"/>
  <c r="C20" i="3" a="1"/>
  <c r="C20" i="3" s="1"/>
  <c r="C19" i="3" a="1"/>
  <c r="C19" i="3" s="1"/>
  <c r="C18" i="3" a="1"/>
  <c r="C18" i="3" s="1"/>
  <c r="B17" i="3" a="1"/>
  <c r="B17" i="3" s="1"/>
  <c r="B16" i="3" a="1"/>
  <c r="B16" i="3" s="1"/>
  <c r="B15" i="3" a="1"/>
  <c r="B15" i="3" s="1"/>
  <c r="C14" i="3" a="1"/>
  <c r="C14" i="3" s="1"/>
  <c r="B13" i="3" a="1"/>
  <c r="B13" i="3" s="1"/>
  <c r="B12" i="3" a="1"/>
  <c r="B12" i="3" s="1"/>
  <c r="N10" i="3"/>
  <c r="M39" i="3"/>
  <c r="L38" i="3"/>
  <c r="A37" i="3" a="1"/>
  <c r="A37" i="3" s="1"/>
  <c r="D35" i="3" a="1"/>
  <c r="D35" i="3" s="1"/>
  <c r="F33" i="3" a="1"/>
  <c r="F33" i="3" s="1"/>
  <c r="I31" i="3"/>
  <c r="H30" i="3"/>
  <c r="L29" i="3"/>
  <c r="K28" i="3"/>
  <c r="A28" i="3" a="1"/>
  <c r="A28" i="3" s="1"/>
  <c r="N22" i="3"/>
  <c r="C17" i="3" a="1"/>
  <c r="C17" i="3" s="1"/>
  <c r="A11" i="3" a="1"/>
  <c r="A11" i="3" s="1"/>
  <c r="J31" i="3"/>
  <c r="J24" i="3"/>
  <c r="L23" i="3"/>
  <c r="L22" i="3"/>
  <c r="M21" i="3"/>
  <c r="N20" i="3"/>
  <c r="B20" i="3" a="1"/>
  <c r="B20" i="3" s="1"/>
  <c r="B19" i="3" a="1"/>
  <c r="B19" i="3" s="1"/>
  <c r="B18" i="3" a="1"/>
  <c r="B18" i="3" s="1"/>
  <c r="A17" i="3" a="1"/>
  <c r="A17" i="3" s="1"/>
  <c r="A15" i="3" a="1"/>
  <c r="A15" i="3" s="1"/>
  <c r="B14" i="3" a="1"/>
  <c r="B14" i="3" s="1"/>
  <c r="A13" i="3" a="1"/>
  <c r="A13" i="3" s="1"/>
  <c r="A12" i="3" a="1"/>
  <c r="A12" i="3" s="1"/>
  <c r="M10" i="3"/>
  <c r="L39" i="3"/>
  <c r="K38" i="3"/>
  <c r="A38" i="3" a="1"/>
  <c r="A38" i="3" s="1"/>
  <c r="N36" i="3"/>
  <c r="C36" i="3" a="1"/>
  <c r="C36" i="3" s="1"/>
  <c r="C35" i="3" a="1"/>
  <c r="C35" i="3" s="1"/>
  <c r="D34" i="3" a="1"/>
  <c r="D34" i="3" s="1"/>
  <c r="E33" i="3" a="1"/>
  <c r="E33" i="3" s="1"/>
  <c r="F32" i="3" a="1"/>
  <c r="F32" i="3" s="1"/>
  <c r="H31" i="3"/>
  <c r="K29" i="3"/>
  <c r="J28" i="3"/>
  <c r="N27" i="3"/>
  <c r="N23" i="3"/>
  <c r="B21" i="3" a="1"/>
  <c r="B21" i="3" s="1"/>
  <c r="C15" i="3" a="1"/>
  <c r="C15" i="3" s="1"/>
  <c r="C13" i="3" a="1"/>
  <c r="C13" i="3" s="1"/>
  <c r="N39" i="3"/>
  <c r="M38" i="3"/>
  <c r="B38" i="3" a="1"/>
  <c r="B38" i="3" s="1"/>
  <c r="B37" i="3" a="1"/>
  <c r="B37" i="3" s="1"/>
  <c r="D36" i="3" a="1"/>
  <c r="D36" i="3" s="1"/>
  <c r="E34" i="3" a="1"/>
  <c r="E34" i="3" s="1"/>
  <c r="G33" i="3" a="1"/>
  <c r="G33" i="3" s="1"/>
  <c r="G32" i="3" a="1"/>
  <c r="G32" i="3" s="1"/>
  <c r="M29" i="3"/>
  <c r="I24" i="3"/>
  <c r="K23" i="3"/>
  <c r="K22" i="3"/>
  <c r="L21" i="3"/>
  <c r="M20" i="3"/>
  <c r="A20" i="3" a="1"/>
  <c r="A20" i="3" s="1"/>
  <c r="A19" i="3" a="1"/>
  <c r="A19" i="3" s="1"/>
  <c r="N16" i="3"/>
  <c r="A16" i="3" a="1"/>
  <c r="A16" i="3" s="1"/>
  <c r="N14" i="3"/>
  <c r="A14" i="3" a="1"/>
  <c r="A14" i="3" s="1"/>
  <c r="N12" i="3"/>
  <c r="N11" i="3"/>
  <c r="L10" i="3"/>
  <c r="K39" i="3"/>
  <c r="J38" i="3"/>
  <c r="N37" i="3"/>
  <c r="M36" i="3"/>
  <c r="B36" i="3" a="1"/>
  <c r="B36" i="3" s="1"/>
  <c r="B35" i="3" a="1"/>
  <c r="B35" i="3" s="1"/>
  <c r="D33" i="3" a="1"/>
  <c r="D33" i="3" s="1"/>
  <c r="G31" i="3" a="1"/>
  <c r="G31" i="3" s="1"/>
  <c r="G30" i="3" a="1"/>
  <c r="G30" i="3" s="1"/>
  <c r="J29" i="3"/>
  <c r="I28" i="3"/>
  <c r="M27" i="3"/>
  <c r="H24" i="3"/>
  <c r="J23" i="3"/>
  <c r="J22" i="3"/>
  <c r="K21" i="3"/>
  <c r="L20" i="3"/>
  <c r="N19" i="3"/>
  <c r="N18" i="3"/>
  <c r="A18" i="3" a="1"/>
  <c r="A18" i="3" s="1"/>
  <c r="M16" i="3"/>
  <c r="N15" i="3"/>
  <c r="M14" i="3"/>
  <c r="N13" i="3"/>
  <c r="M12" i="3"/>
  <c r="M11" i="3"/>
  <c r="K10" i="3"/>
  <c r="J39" i="3"/>
  <c r="I38" i="3"/>
  <c r="M37" i="3"/>
  <c r="L36" i="3"/>
  <c r="A35" i="3" a="1"/>
  <c r="A35" i="3" s="1"/>
  <c r="C34" i="3" a="1"/>
  <c r="C34" i="3" s="1"/>
  <c r="C33" i="3" a="1"/>
  <c r="C33" i="3" s="1"/>
  <c r="E32" i="3" a="1"/>
  <c r="E32" i="3" s="1"/>
  <c r="I29" i="3"/>
  <c r="H28" i="3"/>
  <c r="L27" i="3"/>
  <c r="G24" i="3" a="1"/>
  <c r="G24" i="3" s="1"/>
  <c r="I23" i="3"/>
  <c r="I22" i="3"/>
  <c r="J21" i="3"/>
  <c r="K20" i="3"/>
  <c r="M19" i="3"/>
  <c r="M18" i="3"/>
  <c r="N17" i="3"/>
  <c r="L16" i="3"/>
  <c r="M15" i="3"/>
  <c r="L14" i="3"/>
  <c r="M13" i="3"/>
  <c r="L12" i="3"/>
  <c r="L11" i="3"/>
  <c r="J10" i="3"/>
  <c r="I39" i="3"/>
  <c r="H38" i="3"/>
  <c r="L37" i="3"/>
  <c r="K36" i="3"/>
  <c r="A36" i="3" a="1"/>
  <c r="A36" i="3" s="1"/>
  <c r="N34" i="3"/>
  <c r="B33" i="3" a="1"/>
  <c r="B33" i="3" s="1"/>
  <c r="D32" i="3" a="1"/>
  <c r="D32" i="3" s="1"/>
  <c r="F31" i="3" a="1"/>
  <c r="F31" i="3" s="1"/>
  <c r="F30" i="3" a="1"/>
  <c r="F30" i="3" s="1"/>
  <c r="H29" i="3"/>
  <c r="K27" i="3"/>
  <c r="F24" i="3" a="1"/>
  <c r="F24" i="3" s="1"/>
  <c r="H23" i="3"/>
  <c r="H22" i="3"/>
  <c r="I21" i="3"/>
  <c r="J20" i="3"/>
  <c r="L19" i="3"/>
  <c r="L18" i="3"/>
  <c r="M17" i="3"/>
  <c r="K16" i="3"/>
  <c r="L15" i="3"/>
  <c r="K14" i="3"/>
  <c r="L13" i="3"/>
  <c r="K12" i="3"/>
  <c r="K11" i="3"/>
  <c r="I10" i="3"/>
  <c r="H39" i="3"/>
  <c r="K37" i="3"/>
  <c r="J36" i="3"/>
  <c r="N35" i="3"/>
  <c r="M34" i="3"/>
  <c r="B34" i="3" a="1"/>
  <c r="B34" i="3" s="1"/>
  <c r="E31" i="3" a="1"/>
  <c r="E31" i="3" s="1"/>
  <c r="G29" i="3" a="1"/>
  <c r="G29" i="3" s="1"/>
  <c r="G28" i="3" a="1"/>
  <c r="G28" i="3" s="1"/>
  <c r="J27" i="3"/>
  <c r="G23" i="3" a="1"/>
  <c r="G23" i="3" s="1"/>
  <c r="H21" i="3"/>
  <c r="I20" i="3"/>
  <c r="K19" i="3"/>
  <c r="K18" i="3"/>
  <c r="L17" i="3"/>
  <c r="J16" i="3"/>
  <c r="K15" i="3"/>
  <c r="J14" i="3"/>
  <c r="K13" i="3"/>
  <c r="J12" i="3"/>
  <c r="J11" i="3"/>
  <c r="H10" i="3"/>
  <c r="G39" i="3" a="1"/>
  <c r="G39" i="3" s="1"/>
  <c r="G38" i="3" a="1"/>
  <c r="G38" i="3" s="1"/>
  <c r="J37" i="3"/>
  <c r="I36" i="3"/>
  <c r="M35" i="3"/>
  <c r="L34" i="3"/>
  <c r="A33" i="3" a="1"/>
  <c r="A33" i="3" s="1"/>
  <c r="C32" i="3" a="1"/>
  <c r="C32" i="3" s="1"/>
  <c r="D31" i="3" a="1"/>
  <c r="D31" i="3" s="1"/>
  <c r="E30" i="3" a="1"/>
  <c r="E30" i="3" s="1"/>
  <c r="F29" i="3" a="1"/>
  <c r="F29" i="3" s="1"/>
  <c r="F28" i="3" a="1"/>
  <c r="F28" i="3" s="1"/>
  <c r="I27" i="3"/>
  <c r="E24" i="3" a="1"/>
  <c r="E24" i="3" s="1"/>
  <c r="F23" i="3" a="1"/>
  <c r="F23" i="3" s="1"/>
  <c r="G22" i="3" a="1"/>
  <c r="G22" i="3" s="1"/>
  <c r="H20" i="3"/>
  <c r="J19" i="3"/>
  <c r="J18" i="3"/>
  <c r="K17" i="3"/>
  <c r="I16" i="3"/>
  <c r="J15" i="3"/>
  <c r="I14" i="3"/>
  <c r="J13" i="3"/>
  <c r="I12" i="3"/>
  <c r="I11" i="3"/>
  <c r="F39" i="3" a="1"/>
  <c r="F39" i="3" s="1"/>
  <c r="I37" i="3"/>
  <c r="H36" i="3"/>
  <c r="L35" i="3"/>
  <c r="K34" i="3"/>
  <c r="A34" i="3" a="1"/>
  <c r="A34" i="3" s="1"/>
  <c r="N32" i="3"/>
  <c r="C31" i="3" a="1"/>
  <c r="C31" i="3" s="1"/>
  <c r="E29" i="3" a="1"/>
  <c r="E29" i="3" s="1"/>
  <c r="H27" i="3"/>
  <c r="E23" i="3" a="1"/>
  <c r="E23" i="3" s="1"/>
  <c r="F22" i="3" a="1"/>
  <c r="F22" i="3" s="1"/>
  <c r="G21" i="3" a="1"/>
  <c r="G21" i="3" s="1"/>
  <c r="I19" i="3"/>
  <c r="I18" i="3"/>
  <c r="J17" i="3"/>
  <c r="H16" i="3"/>
  <c r="I15" i="3"/>
  <c r="H14" i="3"/>
  <c r="I13" i="3"/>
  <c r="H12" i="3"/>
  <c r="H11" i="3"/>
  <c r="G10" i="3" a="1"/>
  <c r="G10" i="3" s="1"/>
  <c r="E39" i="3" a="1"/>
  <c r="E39" i="3" s="1"/>
  <c r="F38" i="3" a="1"/>
  <c r="F38" i="3" s="1"/>
  <c r="H37" i="3"/>
  <c r="K35" i="3"/>
  <c r="J34" i="3"/>
  <c r="N33" i="3"/>
  <c r="M32" i="3"/>
  <c r="B32" i="3" a="1"/>
  <c r="B32" i="3" s="1"/>
  <c r="B31" i="3" a="1"/>
  <c r="B31" i="3" s="1"/>
  <c r="D30" i="3" a="1"/>
  <c r="D30" i="3" s="1"/>
  <c r="D29" i="3" a="1"/>
  <c r="D29" i="3" s="1"/>
  <c r="E28" i="3" a="1"/>
  <c r="E28" i="3" s="1"/>
  <c r="G27" i="3" a="1"/>
  <c r="G27" i="3" s="1"/>
  <c r="D24" i="3" a="1"/>
  <c r="D24" i="3" s="1"/>
  <c r="D23" i="3" a="1"/>
  <c r="D23" i="3" s="1"/>
  <c r="E22" i="3" a="1"/>
  <c r="E22" i="3" s="1"/>
  <c r="G20" i="3" a="1"/>
  <c r="G20" i="3" s="1"/>
  <c r="H19" i="3"/>
  <c r="H18" i="3"/>
  <c r="I17" i="3"/>
  <c r="G16" i="3" a="1"/>
  <c r="G16" i="3" s="1"/>
  <c r="H15" i="3"/>
  <c r="G14" i="3" a="1"/>
  <c r="G14" i="3" s="1"/>
  <c r="H13" i="3"/>
  <c r="G12" i="3" a="1"/>
  <c r="G12" i="3" s="1"/>
  <c r="G11" i="3" a="1"/>
  <c r="G11" i="3" s="1"/>
  <c r="F10" i="3" a="1"/>
  <c r="F10" i="3" s="1"/>
  <c r="D39" i="3" a="1"/>
  <c r="D39" i="3" s="1"/>
  <c r="E38" i="3" a="1"/>
  <c r="E38" i="3" s="1"/>
  <c r="G36" i="3" a="1"/>
  <c r="G36" i="3" s="1"/>
  <c r="J35" i="3"/>
  <c r="I34" i="3"/>
  <c r="M33" i="3"/>
  <c r="L32" i="3"/>
  <c r="A31" i="3" a="1"/>
  <c r="A31" i="3" s="1"/>
  <c r="F27" i="3" a="1"/>
  <c r="F27" i="3" s="1"/>
  <c r="C23" i="3" a="1"/>
  <c r="C23" i="3" s="1"/>
  <c r="D22" i="3" a="1"/>
  <c r="D22" i="3" s="1"/>
  <c r="F21" i="3" a="1"/>
  <c r="F21" i="3" s="1"/>
  <c r="G19" i="3" a="1"/>
  <c r="G19" i="3" s="1"/>
  <c r="G18" i="3" a="1"/>
  <c r="G18" i="3" s="1"/>
  <c r="H17" i="3"/>
  <c r="G15" i="3" a="1"/>
  <c r="G15" i="3" s="1"/>
  <c r="G13" i="3" a="1"/>
  <c r="G13" i="3" s="1"/>
  <c r="F12" i="3" a="1"/>
  <c r="F12" i="3" s="1"/>
  <c r="F11" i="3" a="1"/>
  <c r="F11" i="3" s="1"/>
  <c r="E10" i="3" a="1"/>
  <c r="E10" i="3" s="1"/>
  <c r="C39" i="3" a="1"/>
  <c r="C39" i="3" s="1"/>
  <c r="G37" i="3" a="1"/>
  <c r="G37" i="3" s="1"/>
  <c r="I35" i="3"/>
  <c r="H34" i="3"/>
  <c r="L33" i="3"/>
  <c r="K32" i="3"/>
  <c r="A32" i="3" a="1"/>
  <c r="A32" i="3" s="1"/>
  <c r="N30" i="3"/>
  <c r="C30" i="3" a="1"/>
  <c r="C30" i="3" s="1"/>
  <c r="C29" i="3" a="1"/>
  <c r="C29" i="3" s="1"/>
  <c r="D28" i="3" a="1"/>
  <c r="D28" i="3" s="1"/>
  <c r="E27" i="3" a="1"/>
  <c r="E27" i="3" s="1"/>
  <c r="C24" i="3" a="1"/>
  <c r="C24" i="3" s="1"/>
  <c r="C22" i="3" a="1"/>
  <c r="C22" i="3" s="1"/>
  <c r="E21" i="3" a="1"/>
  <c r="E21" i="3" s="1"/>
  <c r="F20" i="3" a="1"/>
  <c r="F20" i="3" s="1"/>
  <c r="F19" i="3" a="1"/>
  <c r="F19" i="3" s="1"/>
  <c r="F18" i="3" a="1"/>
  <c r="F18" i="3" s="1"/>
  <c r="G17" i="3" a="1"/>
  <c r="G17" i="3" s="1"/>
  <c r="F16" i="3" a="1"/>
  <c r="F16" i="3" s="1"/>
  <c r="F15" i="3" a="1"/>
  <c r="F15" i="3" s="1"/>
  <c r="F14" i="3" a="1"/>
  <c r="F14" i="3" s="1"/>
  <c r="F13" i="3" a="1"/>
  <c r="F13" i="3" s="1"/>
  <c r="E12" i="3" a="1"/>
  <c r="E12" i="3" s="1"/>
  <c r="E11" i="3" a="1"/>
  <c r="E11" i="3" s="1"/>
  <c r="D10" i="3" a="1"/>
  <c r="D10" i="3" s="1"/>
  <c r="D38" i="3" a="1"/>
  <c r="D38" i="3" s="1"/>
  <c r="F37" i="3" a="1"/>
  <c r="F37" i="3" s="1"/>
  <c r="F36" i="3" a="1"/>
  <c r="F36" i="3" s="1"/>
  <c r="H35" i="3"/>
  <c r="G34" i="3" a="1"/>
  <c r="G34" i="3" s="1"/>
  <c r="K33" i="3"/>
  <c r="J32" i="3"/>
  <c r="N31" i="3"/>
  <c r="M30" i="3"/>
  <c r="B29" i="3" a="1"/>
  <c r="B29" i="3" s="1"/>
  <c r="D27" i="3" a="1"/>
  <c r="D27" i="3" s="1"/>
  <c r="B23" i="3" a="1"/>
  <c r="B23" i="3" s="1"/>
  <c r="D21" i="3" a="1"/>
  <c r="D21" i="3" s="1"/>
  <c r="E20" i="3" a="1"/>
  <c r="E20" i="3" s="1"/>
  <c r="E19" i="3" a="1"/>
  <c r="E19" i="3" s="1"/>
  <c r="E18" i="3" a="1"/>
  <c r="E18" i="3" s="1"/>
  <c r="F17" i="3" a="1"/>
  <c r="F17" i="3" s="1"/>
  <c r="E16" i="3" a="1"/>
  <c r="E16" i="3" s="1"/>
  <c r="E13" i="3" a="1"/>
  <c r="E13" i="3" s="1"/>
  <c r="D12" i="3" a="1"/>
  <c r="D12" i="3" s="1"/>
  <c r="D11" i="3" a="1"/>
  <c r="D11" i="3" s="1"/>
  <c r="C10" i="3" a="1"/>
  <c r="C10" i="3" s="1"/>
  <c r="B39" i="3" a="1"/>
  <c r="B39" i="3" s="1"/>
  <c r="E37" i="3" a="1"/>
  <c r="E37" i="3" s="1"/>
  <c r="G35" i="3" a="1"/>
  <c r="G35" i="3" s="1"/>
  <c r="J33" i="3"/>
  <c r="I32" i="3"/>
  <c r="M31" i="3"/>
  <c r="L30" i="3"/>
  <c r="B30" i="3" a="1"/>
  <c r="B30" i="3" s="1"/>
  <c r="A29" i="3" a="1"/>
  <c r="A29" i="3" s="1"/>
  <c r="C28" i="3" a="1"/>
  <c r="C28" i="3" s="1"/>
  <c r="C27" i="3" a="1"/>
  <c r="C27" i="3" s="1"/>
  <c r="N24" i="3"/>
  <c r="B24" i="3" a="1"/>
  <c r="B24" i="3" s="1"/>
  <c r="B22" i="3" a="1"/>
  <c r="B22" i="3" s="1"/>
  <c r="E17" i="3" a="1"/>
  <c r="E17" i="3" s="1"/>
  <c r="D16" i="3" a="1"/>
  <c r="D16" i="3" s="1"/>
  <c r="E15" i="3" a="1"/>
  <c r="E15" i="3" s="1"/>
  <c r="E14" i="3" a="1"/>
  <c r="E14" i="3" s="1"/>
  <c r="D13" i="3" a="1"/>
  <c r="D13" i="3" s="1"/>
  <c r="C11" i="3" a="1"/>
  <c r="C11" i="3" s="1"/>
  <c r="B10" i="3" a="1"/>
  <c r="B10" i="3" s="1"/>
  <c r="A39" i="3" a="1"/>
  <c r="A39" i="3" s="1"/>
  <c r="C38" i="3" a="1"/>
  <c r="C38" i="3" s="1"/>
  <c r="D37" i="3" a="1"/>
  <c r="D37" i="3" s="1"/>
  <c r="E36" i="3" a="1"/>
  <c r="E36" i="3" s="1"/>
  <c r="F35" i="3" a="1"/>
  <c r="F35" i="3" s="1"/>
  <c r="F34" i="3" a="1"/>
  <c r="F34" i="3" s="1"/>
  <c r="I33" i="3"/>
  <c r="H32" i="3"/>
  <c r="L31" i="3"/>
  <c r="K30" i="3"/>
  <c r="A30" i="3" a="1"/>
  <c r="A30" i="3" s="1"/>
  <c r="N28" i="3"/>
  <c r="B27" i="3" a="1"/>
  <c r="B27" i="3" s="1"/>
  <c r="M24" i="3"/>
  <c r="A24" i="3" a="1"/>
  <c r="A24" i="3" s="1"/>
  <c r="A23" i="3" a="1"/>
  <c r="A23" i="3" s="1"/>
  <c r="C21" i="3" a="1"/>
  <c r="C21" i="3" s="1"/>
  <c r="D20" i="3" a="1"/>
  <c r="D20" i="3" s="1"/>
  <c r="D19" i="3" a="1"/>
  <c r="D19" i="3" s="1"/>
  <c r="D18" i="3" a="1"/>
  <c r="D18" i="3" s="1"/>
  <c r="D17" i="3" a="1"/>
  <c r="D17" i="3" s="1"/>
  <c r="D15" i="3" a="1"/>
  <c r="D15" i="3" s="1"/>
  <c r="D14" i="3" a="1"/>
  <c r="D14" i="3" s="1"/>
  <c r="C12" i="3" a="1"/>
  <c r="C12" i="3" s="1"/>
  <c r="B11" i="3" a="1"/>
  <c r="B11" i="3" s="1"/>
  <c r="A10" i="3" a="1"/>
  <c r="A10" i="3" s="1"/>
  <c r="N38" i="3"/>
  <c r="C37" i="3" a="1"/>
  <c r="C37" i="3" s="1"/>
  <c r="E35" i="3" a="1"/>
  <c r="E35" i="3" s="1"/>
  <c r="H33" i="3"/>
  <c r="K31" i="3"/>
  <c r="J30" i="3"/>
  <c r="N29" i="3"/>
  <c r="M28" i="3"/>
  <c r="B28" i="3" a="1"/>
  <c r="B28" i="3" s="1"/>
  <c r="C25" i="3" a="1"/>
  <c r="C25" i="3" s="1"/>
  <c r="B26" i="3" a="1"/>
  <c r="B26" i="3" s="1"/>
  <c r="N26" i="3"/>
  <c r="A26" i="3" a="1"/>
  <c r="A26" i="3" s="1"/>
  <c r="B25" i="3" a="1"/>
  <c r="B25" i="3" s="1"/>
  <c r="A25" i="3" a="1"/>
  <c r="A25" i="3" s="1"/>
  <c r="C26" i="3" a="1"/>
  <c r="C26" i="3" s="1"/>
  <c r="D25" i="3" a="1"/>
  <c r="D25" i="3" s="1"/>
  <c r="M26" i="3"/>
  <c r="E25" i="3" a="1"/>
  <c r="E25" i="3" s="1"/>
  <c r="N25" i="3"/>
  <c r="M25" i="3"/>
  <c r="I26" i="3"/>
  <c r="H26" i="3"/>
  <c r="G26" i="3" a="1"/>
  <c r="G26" i="3" s="1"/>
  <c r="I25" i="3"/>
  <c r="F26" i="3" a="1"/>
  <c r="F26" i="3" s="1"/>
  <c r="H25" i="3"/>
  <c r="E26" i="3" a="1"/>
  <c r="E26" i="3" s="1"/>
  <c r="L26" i="3"/>
  <c r="D26" i="3" a="1"/>
  <c r="D26" i="3" s="1"/>
  <c r="K26" i="3"/>
  <c r="J26" i="3"/>
  <c r="L25" i="3"/>
  <c r="K25" i="3"/>
  <c r="G25" i="3" a="1"/>
  <c r="G25" i="3" s="1"/>
  <c r="J25" i="3"/>
  <c r="F25" i="3" a="1"/>
  <c r="F25" i="3" s="1"/>
  <c r="D5" i="3" l="1"/>
  <c r="I5" i="3"/>
  <c r="J5" i="3" s="1"/>
  <c r="L5" i="3"/>
  <c r="K5" i="3"/>
  <c r="G5" i="3"/>
  <c r="F5" i="3"/>
  <c r="E5" i="3"/>
</calcChain>
</file>

<file path=xl/sharedStrings.xml><?xml version="1.0" encoding="utf-8"?>
<sst xmlns="http://schemas.openxmlformats.org/spreadsheetml/2006/main" count="7655" uniqueCount="3399">
  <si>
    <t>加西亚</t>
  </si>
  <si>
    <t>门将</t>
  </si>
  <si>
    <t>测试</t>
  </si>
  <si>
    <t>Joost van der Linden</t>
  </si>
  <si>
    <t>Lars de Wit</t>
  </si>
  <si>
    <t>中后卫</t>
  </si>
  <si>
    <t>Timo Bakker</t>
  </si>
  <si>
    <t>Bram Janssen</t>
  </si>
  <si>
    <t>右后卫</t>
  </si>
  <si>
    <t>Rens Verhoeven</t>
  </si>
  <si>
    <t>左后卫</t>
  </si>
  <si>
    <t>自由球员</t>
  </si>
  <si>
    <t>Siem van Dijk</t>
  </si>
  <si>
    <t>Luuk van der Meulen</t>
  </si>
  <si>
    <t>Thijs Mulder</t>
  </si>
  <si>
    <t>后腰</t>
  </si>
  <si>
    <t>Frenkie de Bruin</t>
  </si>
  <si>
    <t>组织中场</t>
  </si>
  <si>
    <t>Gijs van der Ven</t>
  </si>
  <si>
    <t>中前卫</t>
  </si>
  <si>
    <t>Mats de Lange</t>
  </si>
  <si>
    <t>右边锋</t>
  </si>
  <si>
    <t>Quinten van der Poel</t>
  </si>
  <si>
    <t>中锋</t>
  </si>
  <si>
    <t>Finn van der Stoep</t>
  </si>
  <si>
    <t>Floris van der Veer</t>
  </si>
  <si>
    <t>Daan van der Zalm</t>
  </si>
  <si>
    <t>Tevita Moala</t>
  </si>
  <si>
    <t>新法鲁大里斯本体育</t>
  </si>
  <si>
    <t>Lopeti Fonua</t>
  </si>
  <si>
    <t>Manu Vunipola</t>
  </si>
  <si>
    <t>Sione Latu</t>
  </si>
  <si>
    <t>Josua Tuisova</t>
  </si>
  <si>
    <t>Semi Radradra</t>
  </si>
  <si>
    <t>左边锋</t>
  </si>
  <si>
    <t>Viliame Kikau</t>
  </si>
  <si>
    <t>Maika Sivo</t>
  </si>
  <si>
    <t>泰克马队</t>
  </si>
  <si>
    <t>全额保障</t>
  </si>
  <si>
    <t>Malakai Fekitoa</t>
  </si>
  <si>
    <t>影锋</t>
  </si>
  <si>
    <t>Jayden Tikoirotuma</t>
  </si>
  <si>
    <t>Tima Faingaʻanuku</t>
  </si>
  <si>
    <t>Peni Terepo</t>
  </si>
  <si>
    <t>Salesi Rayasi</t>
  </si>
  <si>
    <t>Pita Ahki</t>
  </si>
  <si>
    <t>Rieko Mavaega</t>
  </si>
  <si>
    <t>Ardie Savea</t>
  </si>
  <si>
    <t>Akash Sharma</t>
  </si>
  <si>
    <t>Vasco Correia</t>
  </si>
  <si>
    <t>Rohan Patel</t>
  </si>
  <si>
    <t>进攻中场</t>
  </si>
  <si>
    <t>Paulo Lopes</t>
  </si>
  <si>
    <t>Taniela Tupou</t>
  </si>
  <si>
    <t>Kini Naholo</t>
  </si>
  <si>
    <t>Aisea Naikatini</t>
  </si>
  <si>
    <t>Sunil Nair</t>
  </si>
  <si>
    <t>Lim Jun Kai</t>
  </si>
  <si>
    <t>Tan Wei Ming</t>
  </si>
  <si>
    <t>Chong Zhi Hao</t>
  </si>
  <si>
    <t>Lee Jia Heng</t>
  </si>
  <si>
    <t>Ong Yi Da</t>
  </si>
  <si>
    <t>Wong Zhen Yang</t>
  </si>
  <si>
    <t>Ng Jun Wen</t>
  </si>
  <si>
    <t>Goh Zhi Xuan</t>
  </si>
  <si>
    <t>Teo Ming Rui</t>
  </si>
  <si>
    <t>Chew Kai Wen</t>
  </si>
  <si>
    <t>Low Zhi Jie</t>
  </si>
  <si>
    <t>Sim Wei Lun</t>
  </si>
  <si>
    <t>Yeo Jia Le</t>
  </si>
  <si>
    <t>Bwebwetakei Tebaua</t>
  </si>
  <si>
    <t>Ruateki Ioane</t>
  </si>
  <si>
    <t>Taberannang Timeon</t>
  </si>
  <si>
    <t>Kautu Rabaua</t>
  </si>
  <si>
    <t>Arjun Nair</t>
  </si>
  <si>
    <t>Vikram Menon</t>
  </si>
  <si>
    <t>Rohit Krishnan</t>
  </si>
  <si>
    <t>Bima Sakti</t>
  </si>
  <si>
    <t>Dimas Pratama</t>
  </si>
  <si>
    <t>Rizky Ramadhan</t>
  </si>
  <si>
    <t>Jurgen Pinas</t>
  </si>
  <si>
    <t>Shaquille Brunswijk</t>
  </si>
  <si>
    <t>Kila Wemin</t>
  </si>
  <si>
    <t>伊斯特伍德竞技</t>
  </si>
  <si>
    <t>Dika Arua</t>
  </si>
  <si>
    <t>Semy Siune</t>
  </si>
  <si>
    <t>Alu Amini</t>
  </si>
  <si>
    <t>Wira Babaga</t>
  </si>
  <si>
    <t>Ase Boas</t>
  </si>
  <si>
    <t>Karo Leka</t>
  </si>
  <si>
    <t>Tega Daniel</t>
  </si>
  <si>
    <t>安倍萨镇</t>
  </si>
  <si>
    <t>Carlos Mora</t>
  </si>
  <si>
    <t>Josua Vakurunabili</t>
  </si>
  <si>
    <t>Leone Nakarawa</t>
  </si>
  <si>
    <t>Tevita Cavubati</t>
  </si>
  <si>
    <t>Mesake Doge</t>
  </si>
  <si>
    <t>Josh Matavesi</t>
  </si>
  <si>
    <t>半保障</t>
  </si>
  <si>
    <t>Richard Hughes</t>
  </si>
  <si>
    <t>比斯恰捍卫者</t>
  </si>
  <si>
    <t>Steven Gilmour</t>
  </si>
  <si>
    <t>Andrew Thornton</t>
  </si>
  <si>
    <t>Kevin Hargreaves</t>
  </si>
  <si>
    <t>Nigel Davenport</t>
  </si>
  <si>
    <t>Colin Ramsey</t>
  </si>
  <si>
    <t>Derek Sutton</t>
  </si>
  <si>
    <t>Raymond Knight</t>
  </si>
  <si>
    <t>新吕伐登猫头鹰镇</t>
  </si>
  <si>
    <t>本合同长度：3</t>
  </si>
  <si>
    <t>Harold Nauania</t>
  </si>
  <si>
    <t>穆拉哈西部</t>
  </si>
  <si>
    <t>Felix Komae</t>
  </si>
  <si>
    <t>Robert Laua</t>
  </si>
  <si>
    <t>Allen Peter</t>
  </si>
  <si>
    <t>Junior Kofana</t>
  </si>
  <si>
    <t>Brian Feni</t>
  </si>
  <si>
    <t>Hadyn Irodao</t>
  </si>
  <si>
    <t>Maxwell Keana</t>
  </si>
  <si>
    <t>Gideon Omokirio</t>
  </si>
  <si>
    <t>Atkin Kaua</t>
  </si>
  <si>
    <t>所罗门</t>
  </si>
  <si>
    <t>Judd Molea</t>
  </si>
  <si>
    <t>Bobby Leslie</t>
  </si>
  <si>
    <t>影子前锋</t>
  </si>
  <si>
    <t>Augustine Samani</t>
  </si>
  <si>
    <t>Tutizama Tanito</t>
  </si>
  <si>
    <t>Molea Tigi</t>
  </si>
  <si>
    <t>拉斐尔·利埃</t>
  </si>
  <si>
    <t>中锋，左右边前腰，影锋</t>
  </si>
  <si>
    <t>阿尔特弗雷奇流浪者</t>
  </si>
  <si>
    <t>Dennis Ifunaoa</t>
  </si>
  <si>
    <t>James Egeta</t>
  </si>
  <si>
    <t>Alex Waimora</t>
  </si>
  <si>
    <t>Joachim Waroi</t>
  </si>
  <si>
    <t>Marlon Sia</t>
  </si>
  <si>
    <t>Steward Toata</t>
  </si>
  <si>
    <t>Leon Kofe</t>
  </si>
  <si>
    <t>Paul Francis</t>
  </si>
  <si>
    <t>Emmanuel Hnaweongo</t>
  </si>
  <si>
    <t>Benoît Sinyeue</t>
  </si>
  <si>
    <t>Kevin Xowi</t>
  </si>
  <si>
    <t>Michel Hmègé</t>
  </si>
  <si>
    <t>Fabien Hnepeune</t>
  </si>
  <si>
    <t>Alain Waia</t>
  </si>
  <si>
    <t>Thomas Hmamé</t>
  </si>
  <si>
    <t>Samuel Hnaeje</t>
  </si>
  <si>
    <t>David Hnawangue</t>
  </si>
  <si>
    <t>Jean-Louis Hmaé</t>
  </si>
  <si>
    <t>Arjun Patel</t>
  </si>
  <si>
    <t>Ravi Desai</t>
  </si>
  <si>
    <t>Prateek Banerjee</t>
  </si>
  <si>
    <t>Deepak Nair</t>
  </si>
  <si>
    <t>Aniket Joshi</t>
  </si>
  <si>
    <t>Kunal Sharma</t>
  </si>
  <si>
    <t>Vinay Chauhan</t>
  </si>
  <si>
    <t>Nikhil Kapoor</t>
  </si>
  <si>
    <t>Akash Singh</t>
  </si>
  <si>
    <t>Aditya Reddy</t>
  </si>
  <si>
    <t>Sahil Gupta</t>
  </si>
  <si>
    <t>Karthik Menon</t>
  </si>
  <si>
    <t>Mohit Agarwal</t>
  </si>
  <si>
    <t>Aarav Pillai</t>
  </si>
  <si>
    <t>Rishabh Das</t>
  </si>
  <si>
    <t>Caleb Deidenang</t>
  </si>
  <si>
    <t>Franklin Agege</t>
  </si>
  <si>
    <t>Ruevita Tokintekai</t>
  </si>
  <si>
    <t>Tamaea Iotia</t>
  </si>
  <si>
    <t>Nabaruru Batiri</t>
  </si>
  <si>
    <t>伊丽莎白联合</t>
  </si>
  <si>
    <t>Kaake Kamta</t>
  </si>
  <si>
    <t>Tirioro Willie</t>
  </si>
  <si>
    <t>Andika Prasetyo</t>
  </si>
  <si>
    <t>皇家萨乌萨乌</t>
  </si>
  <si>
    <t>Bayu Nugroho</t>
  </si>
  <si>
    <t>Candra Wijaya</t>
  </si>
  <si>
    <t>Dedi Kurniawan</t>
  </si>
  <si>
    <t>Eko Sulistyo</t>
  </si>
  <si>
    <t>Fajar Ramadhan</t>
  </si>
  <si>
    <t>Gilang Saputra</t>
  </si>
  <si>
    <t>Hadi Susanto</t>
  </si>
  <si>
    <t>Ilham Maulana</t>
  </si>
  <si>
    <t>Joko Santoso</t>
  </si>
  <si>
    <t>Kevin Pratama</t>
  </si>
  <si>
    <t>Lukman Hakim</t>
  </si>
  <si>
    <t>Maulana Irawan</t>
  </si>
  <si>
    <t>Nanda Prasetya</t>
  </si>
  <si>
    <t>Oki Rahmat</t>
  </si>
  <si>
    <t>Prasetyo Arif</t>
  </si>
  <si>
    <t>Qori Akbar</t>
  </si>
  <si>
    <t>Rian Febriansyah</t>
  </si>
  <si>
    <t>Sigit Pambudi</t>
  </si>
  <si>
    <t>Teguh Prasetyo</t>
  </si>
  <si>
    <t>Ujang Maulana</t>
  </si>
  <si>
    <t>Vicky Pratama</t>
  </si>
  <si>
    <t>Wawan Setiawan</t>
  </si>
  <si>
    <t>Yogi Prasetyo</t>
  </si>
  <si>
    <t>Zulkifli Ramadhan</t>
  </si>
  <si>
    <t>Liam Anderson</t>
  </si>
  <si>
    <t>Tyler Brown</t>
  </si>
  <si>
    <t>Michael Rowe</t>
  </si>
  <si>
    <t>Ethan Stewart</t>
  </si>
  <si>
    <t>Max Bennett</t>
  </si>
  <si>
    <t>/</t>
  </si>
  <si>
    <t>Daniel Scott</t>
  </si>
  <si>
    <t>William Walker</t>
  </si>
  <si>
    <t>Bradley Foster</t>
  </si>
  <si>
    <t>已退役</t>
  </si>
  <si>
    <t>Noah Williams</t>
  </si>
  <si>
    <t>Lachlan Davis</t>
  </si>
  <si>
    <t>Riley Campbell</t>
  </si>
  <si>
    <t>Charlie Kelly</t>
  </si>
  <si>
    <t>Harry Stewart</t>
  </si>
  <si>
    <t>George Wright</t>
  </si>
  <si>
    <t>Bailey Clarke</t>
  </si>
  <si>
    <t>Alex Johnson</t>
  </si>
  <si>
    <t>Luke Thompson</t>
  </si>
  <si>
    <t>Josh Walker</t>
  </si>
  <si>
    <t>Daniel Green</t>
  </si>
  <si>
    <t>Michael White</t>
  </si>
  <si>
    <t>James Turner</t>
  </si>
  <si>
    <t>尼科-霍顿</t>
  </si>
  <si>
    <t>英格兰</t>
  </si>
  <si>
    <t>影子前锋，前腰</t>
  </si>
  <si>
    <t>里甘-布蒂</t>
  </si>
  <si>
    <t>大同拜仁皇家加西亚</t>
  </si>
  <si>
    <t>卢卡斯-拉文·黑伦</t>
  </si>
  <si>
    <t>丹麦</t>
  </si>
  <si>
    <t>防守中场</t>
  </si>
  <si>
    <t>马丁-博阿基耶</t>
  </si>
  <si>
    <t>意大利</t>
  </si>
  <si>
    <t>菲利克斯-科莫隆</t>
  </si>
  <si>
    <t>巴布亚新几内亚</t>
  </si>
  <si>
    <t>首都-东木联合B</t>
  </si>
  <si>
    <t>安东-波波维奇</t>
  </si>
  <si>
    <t>芬兰</t>
  </si>
  <si>
    <t>卡尔·洛维特-诺姆</t>
  </si>
  <si>
    <t>爱沙尼亚</t>
  </si>
  <si>
    <t>已转出</t>
  </si>
  <si>
    <t>本杰明·温特伯顿</t>
  </si>
  <si>
    <t>大卫·桑布</t>
  </si>
  <si>
    <t>冈比亚</t>
  </si>
  <si>
    <t>本·马塔</t>
  </si>
  <si>
    <t>库克群岛</t>
  </si>
  <si>
    <t>全联赛首位原球队匹配合同而留队的球员👍</t>
  </si>
  <si>
    <t>泽·维克托</t>
  </si>
  <si>
    <t>巴西</t>
  </si>
  <si>
    <t>中场</t>
  </si>
  <si>
    <t>巴峰</t>
  </si>
  <si>
    <t>麦克斯韦·沃尔德齐</t>
  </si>
  <si>
    <t>加纳</t>
  </si>
  <si>
    <t>后卫</t>
  </si>
  <si>
    <t>扎克·维尔霍温</t>
  </si>
  <si>
    <t>斐济，加拿大</t>
  </si>
  <si>
    <t>左边前腰，左边前锋</t>
  </si>
  <si>
    <t>马腾·鲍威尔斯</t>
  </si>
  <si>
    <t>荷兰</t>
  </si>
  <si>
    <t>斯波托普城市</t>
  </si>
  <si>
    <t>洛努伊·蒂尼劳阿里</t>
  </si>
  <si>
    <t>塔西提</t>
  </si>
  <si>
    <t>前锋</t>
  </si>
  <si>
    <t>岳明峰</t>
  </si>
  <si>
    <t>中国台湾，瑞典</t>
  </si>
  <si>
    <t>前腰，前锋</t>
  </si>
  <si>
    <t>瓦巴萨朱树鸦</t>
  </si>
  <si>
    <t>普林斯·塔夫里普埃</t>
  </si>
  <si>
    <t>所罗门群岛</t>
  </si>
  <si>
    <t>左边后卫，左边前腰</t>
  </si>
  <si>
    <t>伊斯特伍德海岸线</t>
  </si>
  <si>
    <t>阿里·梅卡维尔</t>
  </si>
  <si>
    <t>右边前腰，右边锋</t>
  </si>
  <si>
    <t>马雷克青春之城</t>
  </si>
  <si>
    <t>雅各布·热诺</t>
  </si>
  <si>
    <t>法属新喀里多尼亚</t>
  </si>
  <si>
    <t>诺维奇港</t>
  </si>
  <si>
    <t>米奇·库珀</t>
  </si>
  <si>
    <t>瓦努阿图</t>
  </si>
  <si>
    <t>中场，前腰</t>
  </si>
  <si>
    <t>东平雄鹰</t>
  </si>
  <si>
    <t>亨利尼尔森·卡尔莫</t>
  </si>
  <si>
    <t>安哥拉</t>
  </si>
  <si>
    <t>本合同长度：3年</t>
  </si>
  <si>
    <t>克莱顿·佩恩特鲁</t>
  </si>
  <si>
    <t>阿尔巴尼亚</t>
  </si>
  <si>
    <t>约翰·奥克利</t>
  </si>
  <si>
    <t>尼日利亚</t>
  </si>
  <si>
    <t>姚均晟</t>
  </si>
  <si>
    <t>中国</t>
  </si>
  <si>
    <t>前腰，中场，后腰</t>
  </si>
  <si>
    <t>约书亚·桑切斯</t>
  </si>
  <si>
    <t>苏里南</t>
  </si>
  <si>
    <t>奥马尔·阿里</t>
  </si>
  <si>
    <t>卡塔尔</t>
  </si>
  <si>
    <t>左边前腰，左边中场，左边后卫</t>
  </si>
  <si>
    <t>纳比尔·贝格</t>
  </si>
  <si>
    <t>斐济</t>
  </si>
  <si>
    <t>左边前腰，前腰，前锋</t>
  </si>
  <si>
    <t>洛伦佐·戈丁尼奥</t>
  </si>
  <si>
    <t>南非</t>
  </si>
  <si>
    <t>中卫，后卫</t>
  </si>
  <si>
    <t>内森尼尔·恩沃苏</t>
  </si>
  <si>
    <t>邦卡罗</t>
  </si>
  <si>
    <t>杨恩·佩恩奎因-勒·布拉斯</t>
  </si>
  <si>
    <t>比列竞技</t>
  </si>
  <si>
    <t>曼努埃尔·奥特</t>
  </si>
  <si>
    <t>菲律宾</t>
  </si>
  <si>
    <t>爱德华多·斯卡纳加塔</t>
  </si>
  <si>
    <t>右边后卫，中卫</t>
  </si>
  <si>
    <t>伊丽莎白女王镇联合</t>
  </si>
  <si>
    <t>奥顿西·奥拉武色温·桑迪</t>
  </si>
  <si>
    <t>后腰，中场，中卫</t>
  </si>
  <si>
    <t>西拉斯·奥斯特钦斯基</t>
  </si>
  <si>
    <t>德国</t>
  </si>
  <si>
    <t>托马斯·波尔</t>
  </si>
  <si>
    <t>左边后卫，左边前腰，中卫</t>
  </si>
  <si>
    <t>坎布尔新吕伐登</t>
  </si>
  <si>
    <t>尼古拉斯·普拉萨德</t>
  </si>
  <si>
    <t>中卫</t>
  </si>
  <si>
    <t>大卫·博鲁·绍鲁马德</t>
  </si>
  <si>
    <t>杜阿尔特·莫雷拉</t>
  </si>
  <si>
    <t>葡萄牙</t>
  </si>
  <si>
    <t>基安·斯洛尔</t>
  </si>
  <si>
    <t>左右边前腰</t>
  </si>
  <si>
    <t>亨利·恩沃苏</t>
  </si>
  <si>
    <t>左边后卫</t>
  </si>
  <si>
    <t>切米泽·恩约库</t>
  </si>
  <si>
    <t>右边后卫</t>
  </si>
  <si>
    <t>新南城</t>
  </si>
  <si>
    <t>斯坦利·约瑟夫</t>
  </si>
  <si>
    <t>中卫，左边后卫</t>
  </si>
  <si>
    <t>古德纽斯·伊伯克维</t>
  </si>
  <si>
    <t>恩加里·加加梅</t>
  </si>
  <si>
    <t>右边后卫，左边后卫</t>
  </si>
  <si>
    <t>雅库罗·卢埃梅尔</t>
  </si>
  <si>
    <t>苏里南，荷兰</t>
  </si>
  <si>
    <t>右边前腰，左边前腰，左边锋</t>
  </si>
  <si>
    <t>狄龙·霍格沃夫</t>
  </si>
  <si>
    <t>右边前腰，中场，前锋</t>
  </si>
  <si>
    <t>约什·拉克雷塔布阿</t>
  </si>
  <si>
    <t>斐济，英国</t>
  </si>
  <si>
    <t>中卫，右边卫</t>
  </si>
  <si>
    <t>尼克·斯坦梅斯</t>
  </si>
  <si>
    <t>萨摩亚，新西兰</t>
  </si>
  <si>
    <t>米哈罗·佩洛维奇</t>
  </si>
  <si>
    <t>黑山</t>
  </si>
  <si>
    <t>约什·马奇</t>
  </si>
  <si>
    <t>大卫·法武帕拉</t>
  </si>
  <si>
    <t>科诺·米盖尔·迈尔</t>
  </si>
  <si>
    <t>德国，库克群岛</t>
  </si>
  <si>
    <t>雄·法阿波伊</t>
  </si>
  <si>
    <t>汤加，新西兰</t>
  </si>
  <si>
    <t>杰伦·罗德维尔</t>
  </si>
  <si>
    <t>纽埃，新西兰</t>
  </si>
  <si>
    <t>中卫，右边后卫</t>
  </si>
  <si>
    <t>艾登·卡雷</t>
  </si>
  <si>
    <t>后腰，中卫，右边中场</t>
  </si>
  <si>
    <t>诺阿·纳霍克斯</t>
  </si>
  <si>
    <t>后腰，中场</t>
  </si>
  <si>
    <t>杰西·博斯克</t>
  </si>
  <si>
    <t>米卡·兰布卡</t>
  </si>
  <si>
    <t>斐济，新西兰</t>
  </si>
  <si>
    <t>埃马努埃尔·米切尔</t>
  </si>
  <si>
    <t>左边后卫，左边翼卫，中场，左边前腰</t>
  </si>
  <si>
    <t>文森特·奥古斯都</t>
  </si>
  <si>
    <t>左右边锋</t>
  </si>
  <si>
    <t>约什·芬尼</t>
  </si>
  <si>
    <t>菲利伯·法布里</t>
  </si>
  <si>
    <t>圣马力诺，意大利</t>
  </si>
  <si>
    <t>右边后卫，中卫，右边翼卫</t>
  </si>
  <si>
    <t>Lucas Bernard</t>
  </si>
  <si>
    <t>Théo Rousseau</t>
  </si>
  <si>
    <t>Hugo Dumont</t>
  </si>
  <si>
    <t>Jules Lefèvre</t>
  </si>
  <si>
    <t>Maxime Girard</t>
  </si>
  <si>
    <t>Louis Marchand</t>
  </si>
  <si>
    <t>Alexandr Blanchard</t>
  </si>
  <si>
    <t>Baptiste Moreau</t>
  </si>
  <si>
    <t>Clément Arnaud</t>
  </si>
  <si>
    <t>Raphaël Dufresne</t>
  </si>
  <si>
    <t>Mathis Laurent</t>
  </si>
  <si>
    <t>Antoine Gilbert</t>
  </si>
  <si>
    <t>Augustin Delorme</t>
  </si>
  <si>
    <t>Enzo Langlois</t>
  </si>
  <si>
    <t>Léo Fournier</t>
  </si>
  <si>
    <t>Quentin Poirier</t>
  </si>
  <si>
    <t>Jules Valentin</t>
  </si>
  <si>
    <t>Grégoire Michel</t>
  </si>
  <si>
    <t>Lukas Hoffmann</t>
  </si>
  <si>
    <t>哈阿莱卓越钢管</t>
  </si>
  <si>
    <t>Jonas Schneider</t>
  </si>
  <si>
    <t>Felix Zimmermann</t>
  </si>
  <si>
    <t>Timo Richter</t>
  </si>
  <si>
    <t>Leon König</t>
  </si>
  <si>
    <t>Niklas Hofmann</t>
  </si>
  <si>
    <t>Moritz Baumgartner</t>
  </si>
  <si>
    <t>Elias Neumann</t>
  </si>
  <si>
    <t>Jonas Weiss</t>
  </si>
  <si>
    <t>Simon Braun</t>
  </si>
  <si>
    <t>Paul Schuster</t>
  </si>
  <si>
    <t>David Graf</t>
  </si>
  <si>
    <t>Lukas Huber</t>
  </si>
  <si>
    <t>Jonas Krause</t>
  </si>
  <si>
    <t>Sebastian Berger</t>
  </si>
  <si>
    <t>Noah Winter</t>
  </si>
  <si>
    <t>Julian Sommer</t>
  </si>
  <si>
    <t>Leon Hartmann</t>
  </si>
  <si>
    <t>Felix Roth</t>
  </si>
  <si>
    <t>Luca Meier</t>
  </si>
  <si>
    <t>Noa Müller</t>
  </si>
  <si>
    <t>Tim Müller</t>
  </si>
  <si>
    <t>Nico Bernasconi</t>
  </si>
  <si>
    <t>Matteo Rossi</t>
  </si>
  <si>
    <t>Jonas Weber</t>
  </si>
  <si>
    <t>Elia Conti</t>
  </si>
  <si>
    <t>Simon Hofmann</t>
  </si>
  <si>
    <t>Matteo Favre</t>
  </si>
  <si>
    <t>Luca Zbinden</t>
  </si>
  <si>
    <t>Robin Gygax</t>
  </si>
  <si>
    <t>Noé Schmid</t>
  </si>
  <si>
    <t>Alessio De Luca</t>
  </si>
  <si>
    <t>Nils Bianchi</t>
  </si>
  <si>
    <t>Luca Meyer</t>
  </si>
  <si>
    <t>Théo Riesen</t>
  </si>
  <si>
    <t>Yannick Gerber</t>
  </si>
  <si>
    <t>Simon Eggimann</t>
  </si>
  <si>
    <t>Luca Berger</t>
  </si>
  <si>
    <t>Yacine Benali</t>
  </si>
  <si>
    <t>Tarek Hamidi</t>
  </si>
  <si>
    <t>Samir Bensalah</t>
  </si>
  <si>
    <t>Mehdi Zaidi</t>
  </si>
  <si>
    <t>Farès Boudaoud</t>
  </si>
  <si>
    <t>Sofiane Chabane</t>
  </si>
  <si>
    <t>Amir Boudjemaa</t>
  </si>
  <si>
    <t>Ilyès Belkacem</t>
  </si>
  <si>
    <t>Nabil Amrani</t>
  </si>
  <si>
    <t>Aymen Bounedjah</t>
  </si>
  <si>
    <t>Reda Boudjellil</t>
  </si>
  <si>
    <t>Djamel Eddine</t>
  </si>
  <si>
    <t>Yacine Djahel</t>
  </si>
  <si>
    <t>Abdelkader Ghezal</t>
  </si>
  <si>
    <t>Hichem Nekkache</t>
  </si>
  <si>
    <t>Samy Frioui</t>
  </si>
  <si>
    <t>Ali Meziane</t>
  </si>
  <si>
    <t>Karim Bouzar</t>
  </si>
  <si>
    <t>Sofiane Feghouli</t>
  </si>
  <si>
    <t>Mohamed El Shenawy</t>
  </si>
  <si>
    <t>哈瓦鲁海岸</t>
  </si>
  <si>
    <t>Ahmed Gaber</t>
  </si>
  <si>
    <t>Omar Gaber</t>
  </si>
  <si>
    <t>Mahmoud Hamdi</t>
  </si>
  <si>
    <t>Ali Gabr</t>
  </si>
  <si>
    <t>Ahmed Elmohamady</t>
  </si>
  <si>
    <t>Mohamed Abdelshafy</t>
  </si>
  <si>
    <t>Mohamed Elneny</t>
  </si>
  <si>
    <t>Ahmed Elmenshawy</t>
  </si>
  <si>
    <t>Mostafa Mohamed</t>
  </si>
  <si>
    <t>Ahmed Fathy</t>
  </si>
  <si>
    <t>Mohamed Salah</t>
  </si>
  <si>
    <t>Marwan Mohsen</t>
  </si>
  <si>
    <t>Ahmed Hassan</t>
  </si>
  <si>
    <t>Ahmed Elmahdy</t>
  </si>
  <si>
    <t>Mohamed Aboutrika</t>
  </si>
  <si>
    <t>Mohamed Nagy</t>
  </si>
  <si>
    <t>Mohamed Fathy</t>
  </si>
  <si>
    <t>John Paul De Jesus</t>
  </si>
  <si>
    <t>Michael Tan</t>
  </si>
  <si>
    <t>Carlos Reyes</t>
  </si>
  <si>
    <t>Albert Aquino</t>
  </si>
  <si>
    <t>Renzo Barro</t>
  </si>
  <si>
    <t>朱马蓝色协进</t>
  </si>
  <si>
    <t>Adrian Cruz</t>
  </si>
  <si>
    <t>Christopher De Leon</t>
  </si>
  <si>
    <t>Kenneth Garcia</t>
  </si>
  <si>
    <t>Angelo Reyes</t>
  </si>
  <si>
    <t>Mark Anthony Lopez</t>
  </si>
  <si>
    <t>布拉德利·詹姆斯·班达</t>
  </si>
  <si>
    <t>直布罗陀</t>
  </si>
  <si>
    <t>爱德华多·科隆博</t>
  </si>
  <si>
    <t>考雷·阿代</t>
  </si>
  <si>
    <t>牙买加，意大利</t>
  </si>
  <si>
    <t>多里安·汉萨</t>
  </si>
  <si>
    <t>赤道几内亚，西班牙</t>
  </si>
  <si>
    <t>乔万尼-特鲁佩</t>
  </si>
  <si>
    <t>库拉索，荷兰</t>
  </si>
  <si>
    <t>中后卫，左边后卫</t>
  </si>
  <si>
    <t>弗朗奇斯科·卡拉泰利</t>
  </si>
  <si>
    <t>蒂洛-托普肯</t>
  </si>
  <si>
    <t>索尔-萨莫拉</t>
  </si>
  <si>
    <t>墨西哥</t>
  </si>
  <si>
    <t>左边前腰，右边前腰，前腰，中前腰</t>
  </si>
  <si>
    <t>南太平洋大学色温校区</t>
  </si>
  <si>
    <t>特吾恩-威尔克-布拉姆斯</t>
  </si>
  <si>
    <t>墨西哥，荷兰</t>
  </si>
  <si>
    <t>卢克·普朗格</t>
  </si>
  <si>
    <t>英国，马来西亚</t>
  </si>
  <si>
    <t>前锋，左边前腰，右边前腰</t>
  </si>
  <si>
    <t>约纳斯·格莫</t>
  </si>
  <si>
    <t>中场，右边前腰，后腰，前腰</t>
  </si>
  <si>
    <t>内森尼尔·阿特金森</t>
  </si>
  <si>
    <t>澳大利亚</t>
  </si>
  <si>
    <t>左边后卫，左边翼卫</t>
  </si>
  <si>
    <t>米盖尔·诺布雷加</t>
  </si>
  <si>
    <t>前腰，影子前锋，中场</t>
  </si>
  <si>
    <t>吉先·萨米</t>
  </si>
  <si>
    <t>左右边后卫，左右边翼卫</t>
  </si>
  <si>
    <t>齐布拉斯·沙西卜</t>
  </si>
  <si>
    <t>菲利伯·马内</t>
  </si>
  <si>
    <t>哈比卜·阿尔瓦坦</t>
  </si>
  <si>
    <t>沙特阿拉伯</t>
  </si>
  <si>
    <t>古德维尔·安布罗斯</t>
  </si>
  <si>
    <t>挪威</t>
  </si>
  <si>
    <t>3(2)</t>
  </si>
  <si>
    <t>迪米特罗·博格丹诺夫</t>
  </si>
  <si>
    <t>乌克兰</t>
  </si>
  <si>
    <t>弗雷德里希·穆勒</t>
  </si>
  <si>
    <t>中场，左边中场</t>
  </si>
  <si>
    <t>桑提亚哥·卡斯塔涅达</t>
  </si>
  <si>
    <t>美国</t>
  </si>
  <si>
    <t>先恩·瓦勒潘</t>
  </si>
  <si>
    <t>前腰，左边中场，中锋</t>
  </si>
  <si>
    <t>哈贾丹太平洋人</t>
  </si>
  <si>
    <t>维利·里德</t>
  </si>
  <si>
    <t>前腰，左边前腰，前锋</t>
  </si>
  <si>
    <t>西里尔·德拉韦罗</t>
  </si>
  <si>
    <t>前腰，中场</t>
  </si>
  <si>
    <t>伊奥瓦内·马塔尼斯加</t>
  </si>
  <si>
    <t>右边后卫，右边翼卫</t>
  </si>
  <si>
    <t>莫里斯·儒尼奥尔·加加梅</t>
  </si>
  <si>
    <t>阿尔文·侯</t>
  </si>
  <si>
    <t>左右边中场，前腰</t>
  </si>
  <si>
    <t>帕蒂纳玛</t>
  </si>
  <si>
    <t>印度尼西亚，荷兰</t>
  </si>
  <si>
    <t>亚哈泽尔·马昌德</t>
  </si>
  <si>
    <t>莱恩·雅斯特雷姆斯基</t>
  </si>
  <si>
    <t>查理·雷利</t>
  </si>
  <si>
    <t>苏格兰</t>
  </si>
  <si>
    <t>左边中场，左边前腰，中场，右边中场</t>
  </si>
  <si>
    <t>迪克尼·萨里夫</t>
  </si>
  <si>
    <t>多哥</t>
  </si>
  <si>
    <t>加尔德·西门斯塔德</t>
  </si>
  <si>
    <t>阿布杜阿夫·塔伊沃</t>
  </si>
  <si>
    <t>霍夫拉内·瑙阿里</t>
  </si>
  <si>
    <t>突尼斯</t>
  </si>
  <si>
    <t>左边后卫，中卫</t>
  </si>
  <si>
    <t>雅文·瓦埃</t>
  </si>
  <si>
    <t>中卫，后腰</t>
  </si>
  <si>
    <t>凯瑞·亚瓦科</t>
  </si>
  <si>
    <t>伊斯梅尔·坡莱</t>
  </si>
  <si>
    <t>贾尼·迪亚拉</t>
  </si>
  <si>
    <t>塔西提，法国</t>
  </si>
  <si>
    <t>左右边后卫</t>
  </si>
  <si>
    <t>黑马诺·布雷巴尔</t>
  </si>
  <si>
    <t>塞琉西·纳劳布</t>
  </si>
  <si>
    <t>前锋，前腰</t>
  </si>
  <si>
    <t>特霍图·路易斯·吉敦</t>
  </si>
  <si>
    <t>阿特金·考阿</t>
  </si>
  <si>
    <t>中场，左边前腰，前腰</t>
  </si>
  <si>
    <t>萨维纳卡·巴雷德罗卡德罗卡</t>
  </si>
  <si>
    <t>右边后卫，右边前腰</t>
  </si>
  <si>
    <t>瑞安·穆达利亚尔</t>
  </si>
  <si>
    <t>刘邵子洋</t>
  </si>
  <si>
    <t>奥顿兰海鸥</t>
  </si>
  <si>
    <t>李恩哲</t>
  </si>
  <si>
    <t>朝鲜</t>
  </si>
  <si>
    <t>金国范</t>
  </si>
  <si>
    <t>安德里亚-特里蒂耶罗</t>
  </si>
  <si>
    <t>中卫，后腰，左右边后卫</t>
  </si>
  <si>
    <t>奥斯卡·卡斯蒂略</t>
  </si>
  <si>
    <t>洪都拉斯，美国，美属萨摩亚</t>
  </si>
  <si>
    <t>谢尔诺·米利莫诺</t>
  </si>
  <si>
    <t>马达加斯加，法国，塔西提</t>
  </si>
  <si>
    <t>左边后卫，中卫，后腰</t>
  </si>
  <si>
    <t>里拉赫飞燕</t>
  </si>
  <si>
    <t>马克斯·马塔</t>
  </si>
  <si>
    <t>新西兰，萨摩亚</t>
  </si>
  <si>
    <t>拉斐尔·姆尔蒂</t>
  </si>
  <si>
    <t>法国，法属新喀里多尼亚，马约特</t>
  </si>
  <si>
    <t>丹尼尔·克拉利</t>
  </si>
  <si>
    <t>爱尔兰</t>
  </si>
  <si>
    <t>本合同长度：2</t>
  </si>
  <si>
    <t>李祖国</t>
  </si>
  <si>
    <t>文扎尔·厄恩·卡尔坦森</t>
  </si>
  <si>
    <t>冰岛</t>
  </si>
  <si>
    <t>韩光成</t>
  </si>
  <si>
    <t>苏贤旭</t>
  </si>
  <si>
    <t>左边后卫，右边中场，右边锋</t>
  </si>
  <si>
    <t>基尼托·若阿金·巴兰加</t>
  </si>
  <si>
    <t>德尼瓦尔</t>
  </si>
  <si>
    <t>本合同长度：2年</t>
  </si>
  <si>
    <t>卡纳尔·埃金</t>
  </si>
  <si>
    <t>土耳其</t>
  </si>
  <si>
    <t>文森特·比卡纳</t>
  </si>
  <si>
    <t>喀麦隆</t>
  </si>
  <si>
    <t>伸大圣</t>
  </si>
  <si>
    <t>金哲范</t>
  </si>
  <si>
    <t>丹恩-伍德博格</t>
  </si>
  <si>
    <t>詹姆斯·伯恩</t>
  </si>
  <si>
    <t>中卫，中锋</t>
  </si>
  <si>
    <t>穆罕默德·迪亚拉</t>
  </si>
  <si>
    <t>法属新喀里多尼亚，法国</t>
  </si>
  <si>
    <t>后腰，中场，中卫，左边卫</t>
  </si>
  <si>
    <t>弗兰克·弗拉米</t>
  </si>
  <si>
    <t>萨摩亚</t>
  </si>
  <si>
    <t>弗拉基米尔·马哈里亚克</t>
  </si>
  <si>
    <t>乌克兰 内援</t>
  </si>
  <si>
    <t>范德龙格伦</t>
  </si>
  <si>
    <t>加西亚，荷兰</t>
  </si>
  <si>
    <t>尼格尔·罗伯萨</t>
  </si>
  <si>
    <t>库拉索、荷兰</t>
  </si>
  <si>
    <t>瓦巴萨朱树鸦B</t>
  </si>
  <si>
    <t>阿莱克斯·里克</t>
  </si>
  <si>
    <t>西班牙</t>
  </si>
  <si>
    <t>姜柱赫</t>
  </si>
  <si>
    <t>拉贾·纳因格兰</t>
  </si>
  <si>
    <t>比利时、印度尼西亚</t>
  </si>
  <si>
    <t>鲁纳尔·埃斯比约</t>
  </si>
  <si>
    <t>佩德罗·恩里克</t>
  </si>
  <si>
    <t>白永光</t>
  </si>
  <si>
    <t>后腰，中场，左边后卫，左边前锋</t>
  </si>
  <si>
    <t>元成</t>
  </si>
  <si>
    <t>崔锦南</t>
  </si>
  <si>
    <t>张国哲（小）</t>
  </si>
  <si>
    <t>左边锋，中场，左边后卫</t>
  </si>
  <si>
    <t>马马杜·萨科</t>
  </si>
  <si>
    <t>法国</t>
  </si>
  <si>
    <t>中后卫，后卫</t>
  </si>
  <si>
    <t>纳乔·吉尔</t>
  </si>
  <si>
    <t>右边中场，中场，左边前腰，右边前腰</t>
  </si>
  <si>
    <t>马尔科·伊拉伊马哈里特拉</t>
  </si>
  <si>
    <t>马达加斯加</t>
  </si>
  <si>
    <t>中场，后腰</t>
  </si>
  <si>
    <t>丹·哈尔</t>
  </si>
  <si>
    <t>尼法沙·博奇马斯</t>
  </si>
  <si>
    <t>左边锋，前锋，左边前腰</t>
  </si>
  <si>
    <t>金成民</t>
  </si>
  <si>
    <t>左边前腰，前锋</t>
  </si>
  <si>
    <t>西古尔索尔·贡纳尔松</t>
  </si>
  <si>
    <t>尤里·塞萨尔</t>
  </si>
  <si>
    <t>左边前腰，右边前腰，前腰</t>
  </si>
  <si>
    <t>费利克斯 阿夫纳詹</t>
  </si>
  <si>
    <t>左边前腰，右边前腰，前锋</t>
  </si>
  <si>
    <t>路易斯·安赫尔·迪亚斯</t>
  </si>
  <si>
    <t>哥伦比亚</t>
  </si>
  <si>
    <t>多尔·图尔格曼</t>
  </si>
  <si>
    <t>以色列</t>
  </si>
  <si>
    <t>拉斐尔·乌兹卡特吉</t>
  </si>
  <si>
    <t>莱昂德罗·马穆特</t>
  </si>
  <si>
    <t>阿根廷</t>
  </si>
  <si>
    <t>右边前腰，前腰</t>
  </si>
  <si>
    <t>金光镇</t>
  </si>
  <si>
    <t>朴勇冠</t>
  </si>
  <si>
    <t>后腰，中场，左边后卫，左边前腰</t>
  </si>
  <si>
    <t>何哲国</t>
  </si>
  <si>
    <t>金辉煌</t>
  </si>
  <si>
    <t>前腰，左边锋，前锋</t>
  </si>
  <si>
    <t>安成日(小)</t>
  </si>
  <si>
    <t>右边卫，右边飞翼，右边中场</t>
  </si>
  <si>
    <t>比尔·图伊洛马</t>
  </si>
  <si>
    <t>李康国</t>
  </si>
  <si>
    <t>威廉·克马希</t>
  </si>
  <si>
    <t>凯文·霍格-杨森</t>
  </si>
  <si>
    <t>瑞典</t>
  </si>
  <si>
    <t>中卫，后腰，中场，影子前锋</t>
  </si>
  <si>
    <t>佩德罗·德尔加多</t>
  </si>
  <si>
    <t>前腰，右边前腰，影子前锋，中场，前锋，左边前腰，右边中场</t>
  </si>
  <si>
    <t>列昂内尔-波拉基</t>
  </si>
  <si>
    <t>中卫，左边卫，右边卫</t>
  </si>
  <si>
    <t>丹尼尔·库蒂雅科夫</t>
  </si>
  <si>
    <t>俄罗斯</t>
  </si>
  <si>
    <t>丹·英汉姆</t>
  </si>
  <si>
    <t>萨摩亚，新西兰，澳大利亚</t>
  </si>
  <si>
    <t>右边后卫，右边飞翼，左边后卫，左边飞翼</t>
  </si>
  <si>
    <t>丰塔纳罗萨</t>
  </si>
  <si>
    <t>郑昌范</t>
  </si>
  <si>
    <t>左边锋，右边锋，前腰，前锋</t>
  </si>
  <si>
    <t>卡尔文·哈里斯</t>
  </si>
  <si>
    <t>英格兰，美国，中国香港</t>
  </si>
  <si>
    <t>左边锋，右边锋，前锋，前腰</t>
  </si>
  <si>
    <t>尼科拉·伊利耶夫</t>
  </si>
  <si>
    <t>保加利亚</t>
  </si>
  <si>
    <t>埃杜瓦尔多·维尔贾尼</t>
  </si>
  <si>
    <t>马尔科·萨拉</t>
  </si>
  <si>
    <t>赫塞达</t>
  </si>
  <si>
    <t>三宝敦</t>
  </si>
  <si>
    <t>尼科洛·斯奎帕佐</t>
  </si>
  <si>
    <t>金平焕</t>
  </si>
  <si>
    <t>后卫，后腰，中场</t>
  </si>
  <si>
    <t>金鹤景</t>
  </si>
  <si>
    <t>金维成</t>
  </si>
  <si>
    <t>首都守护者</t>
  </si>
  <si>
    <t>里卡多·梅尔格拉蒂</t>
  </si>
  <si>
    <t>安德雷斯·萨拉萨尔</t>
  </si>
  <si>
    <t>林哲民</t>
  </si>
  <si>
    <t>崔敏浩</t>
  </si>
  <si>
    <t>白忠诚</t>
  </si>
  <si>
    <t>右边锋，右中场</t>
  </si>
  <si>
    <t>崔成焕</t>
  </si>
  <si>
    <t>左边锋，右边锋</t>
  </si>
  <si>
    <t>盖扎·大卫·图里</t>
  </si>
  <si>
    <t>匈牙利</t>
  </si>
  <si>
    <t>颜骏凌</t>
  </si>
  <si>
    <t>李东日</t>
  </si>
  <si>
    <t>张成一</t>
  </si>
  <si>
    <t>徐景进</t>
  </si>
  <si>
    <t>盖伊·姆本扎</t>
  </si>
  <si>
    <t>刚果</t>
  </si>
  <si>
    <t>斯韦托斯拉夫·乌斯托夫</t>
  </si>
  <si>
    <t>多马哥·帕韦希奇</t>
  </si>
  <si>
    <t>克罗地亚</t>
  </si>
  <si>
    <t>中场，前腰，后腰</t>
  </si>
  <si>
    <t>马尔科姆·艾比奥维</t>
  </si>
  <si>
    <t>荷兰，英格兰</t>
  </si>
  <si>
    <t>左边前锋，右边前锋</t>
  </si>
  <si>
    <t>迪克森-乔布</t>
  </si>
  <si>
    <t>坦桑尼亚</t>
  </si>
  <si>
    <t>后卫，左边卫，右边卫</t>
  </si>
  <si>
    <t>纳吉·威尔斯</t>
  </si>
  <si>
    <t>百慕大</t>
  </si>
  <si>
    <t>金玉成</t>
  </si>
  <si>
    <t>卡约德·班克勒</t>
  </si>
  <si>
    <t>李哲成</t>
  </si>
  <si>
    <t>安大成</t>
  </si>
  <si>
    <t>托马斯·托特兰德</t>
  </si>
  <si>
    <t>克里斯托·罗梅罗</t>
  </si>
  <si>
    <t>左边后卫，左边飞翼，左中场，左边锋</t>
  </si>
  <si>
    <t>拉斐尔松·阮春山</t>
  </si>
  <si>
    <t>越南</t>
  </si>
  <si>
    <t>右边锋，左边锋，前锋</t>
  </si>
  <si>
    <t>内科塔尔·特兰蒂斯</t>
  </si>
  <si>
    <t>博比尔·阿布迪霍利科夫</t>
  </si>
  <si>
    <t>乌兹别克斯坦</t>
  </si>
  <si>
    <t>周定洋</t>
  </si>
  <si>
    <t>中国台湾</t>
  </si>
  <si>
    <t>艾卡尼特·潘亚</t>
  </si>
  <si>
    <t>泰国</t>
  </si>
  <si>
    <t>中场，左边锋，右边锋，前腰</t>
  </si>
  <si>
    <t>蒋光太</t>
  </si>
  <si>
    <t>奥顿兰海港</t>
  </si>
  <si>
    <t>乍伦沙·翁贡</t>
  </si>
  <si>
    <t>右边中场，右边前锋</t>
  </si>
  <si>
    <t>李可</t>
  </si>
  <si>
    <t>金成日</t>
  </si>
  <si>
    <t>穆扎德·阿卜杜赛义德</t>
  </si>
  <si>
    <t>中卫，后腰，前锋</t>
  </si>
  <si>
    <t>山口顺昭</t>
  </si>
  <si>
    <t>日本 内援</t>
  </si>
  <si>
    <t>前锋，左边锋，右边锋，前腰</t>
  </si>
  <si>
    <t>克里斯蒂安·伦德</t>
  </si>
  <si>
    <t>加西亚 挪威 内援</t>
  </si>
  <si>
    <t>奇内杜·恩东巴西</t>
  </si>
  <si>
    <t>尼日利亚 内援</t>
  </si>
  <si>
    <t>中卫，右边后卫，后腰</t>
  </si>
  <si>
    <t>马里奥·科勒</t>
  </si>
  <si>
    <t>纳斯鲁丁·扎拉尼</t>
  </si>
  <si>
    <t>达·桑托</t>
  </si>
  <si>
    <t>巴西 内援</t>
  </si>
  <si>
    <t>张玉宁</t>
  </si>
  <si>
    <t>苏忠日</t>
  </si>
  <si>
    <t>中场，左边锋，前腰</t>
  </si>
  <si>
    <t>李仁学</t>
  </si>
  <si>
    <t>金勇生</t>
  </si>
  <si>
    <t>右边后卫，右边飞翼</t>
  </si>
  <si>
    <t>韩成赫</t>
  </si>
  <si>
    <t>中后卫，后腰</t>
  </si>
  <si>
    <t>全世界</t>
  </si>
  <si>
    <t>尹敏</t>
  </si>
  <si>
    <t>右边中场，中场，前腰，右边前锋</t>
  </si>
  <si>
    <t>斯蒂法诺·斯图拉罗</t>
  </si>
  <si>
    <t>菲茨佔·天乐</t>
  </si>
  <si>
    <t>荷兰，中国香港</t>
  </si>
  <si>
    <t>后腰，中场，前腰</t>
  </si>
  <si>
    <t>塞尔吉尼奥</t>
  </si>
  <si>
    <t>奥斯卡·塔蒂</t>
  </si>
  <si>
    <t>马塞尔·洛贝尔</t>
  </si>
  <si>
    <t>斯洛文尼亚</t>
  </si>
  <si>
    <t>米格隆</t>
  </si>
  <si>
    <t>王钰栋</t>
  </si>
  <si>
    <t>左边锋，右边锋，中锋</t>
  </si>
  <si>
    <t>蒯纪闻</t>
  </si>
  <si>
    <t>前腰，左边锋，右边锋</t>
  </si>
  <si>
    <t>李新翔</t>
  </si>
  <si>
    <t>左边锋，影子前锋，右边锋</t>
  </si>
  <si>
    <t>吾米提江·玉苏普</t>
  </si>
  <si>
    <t>中卫，左右边后卫</t>
  </si>
  <si>
    <t>鲁曜辉</t>
  </si>
  <si>
    <t>陈威</t>
  </si>
  <si>
    <t>万项</t>
  </si>
  <si>
    <t>前腰，影子前锋</t>
  </si>
  <si>
    <t>胡荷韬</t>
  </si>
  <si>
    <t>左边后卫，左边中场，右边后卫</t>
  </si>
  <si>
    <t>木塔力甫·依明卡日</t>
  </si>
  <si>
    <t>后腰，中场，前腰，右边后卫</t>
  </si>
  <si>
    <t>刘诚宇</t>
  </si>
  <si>
    <t>朱鹏宇</t>
  </si>
  <si>
    <t>曹永竞</t>
  </si>
  <si>
    <t>左边后卫，左边前锋，右边前锋，前腰</t>
  </si>
  <si>
    <t>吴少聪</t>
  </si>
  <si>
    <t>柏杨</t>
  </si>
  <si>
    <t>王上源</t>
  </si>
  <si>
    <t>后腰，中场，中卫，右边后卫</t>
  </si>
  <si>
    <t>臧一锋</t>
  </si>
  <si>
    <t>前腰，左边中场，中场</t>
  </si>
  <si>
    <t>向余望</t>
  </si>
  <si>
    <t>谭龙</t>
  </si>
  <si>
    <t>李昊</t>
  </si>
  <si>
    <t>于金永</t>
  </si>
  <si>
    <t>蒋圣龙</t>
  </si>
  <si>
    <t>测试球员</t>
  </si>
  <si>
    <t>李镇全</t>
  </si>
  <si>
    <t>刘明仕</t>
  </si>
  <si>
    <t>右边后卫，右边中场，右边前锋</t>
  </si>
  <si>
    <t>姚浩洋</t>
  </si>
  <si>
    <t>黄希扬</t>
  </si>
  <si>
    <t>侯永永</t>
  </si>
  <si>
    <t>达斯塔·沙帕耶弗</t>
  </si>
  <si>
    <t>哈萨克斯坦</t>
  </si>
  <si>
    <t>右边锋，前锋，前腰</t>
  </si>
  <si>
    <t>郑泽彦</t>
  </si>
  <si>
    <t>左边卫，左边飞翼，左边中场，左边前锋</t>
  </si>
  <si>
    <t>西奥多·顾-迪彼得罗</t>
  </si>
  <si>
    <t>中场，前腰，左边锋，右边锋</t>
  </si>
  <si>
    <t>阿尔伯特·波夏达瓦</t>
  </si>
  <si>
    <t>波兰</t>
  </si>
  <si>
    <t>武磊</t>
  </si>
  <si>
    <t>左边锋，右边锋，前锋</t>
  </si>
  <si>
    <t>埃斯特里特·塞尔马尼</t>
  </si>
  <si>
    <t>科索沃</t>
  </si>
  <si>
    <t>前锋，左边锋，右边锋</t>
  </si>
  <si>
    <t>伊利扎提·艾合买提</t>
  </si>
  <si>
    <t>博·勒鲁瓦</t>
  </si>
  <si>
    <t>马尔科·斯塔门尼齐</t>
  </si>
  <si>
    <t>科巴·克因德雷迪</t>
  </si>
  <si>
    <t>新喀里多尼亚，法国</t>
  </si>
  <si>
    <t>赛万特·因戈尔松</t>
  </si>
  <si>
    <t>前腰</t>
  </si>
  <si>
    <t>岱州东岳</t>
  </si>
  <si>
    <t>阿布巴卡尔·赛迪·金特</t>
  </si>
  <si>
    <t>加布里埃尔齐尼奥</t>
  </si>
  <si>
    <t>右边锋，左边锋</t>
  </si>
  <si>
    <t>詹·威普特尼科</t>
  </si>
  <si>
    <t>大卫·布朗</t>
  </si>
  <si>
    <t>左边中场，右边锋，左边飞翼，左边锋</t>
  </si>
  <si>
    <t>拉扬·布尼达</t>
  </si>
  <si>
    <t>比利时</t>
  </si>
  <si>
    <t>奥利维尔·陈</t>
  </si>
  <si>
    <t>右边卫，右边飞翼</t>
  </si>
  <si>
    <t>王大雷</t>
  </si>
  <si>
    <t>亚瑟·蔡克</t>
  </si>
  <si>
    <t>福森晃斗</t>
  </si>
  <si>
    <t>日本</t>
  </si>
  <si>
    <t>穆波科泽利·姆博卡奇</t>
  </si>
  <si>
    <t>朱利安·保利</t>
  </si>
  <si>
    <t>埃莫森·帕塔</t>
  </si>
  <si>
    <t>右边前锋，右边中场，前锋</t>
  </si>
  <si>
    <t>马雷克·巴塔席格卢</t>
  </si>
  <si>
    <t>敏坤</t>
  </si>
  <si>
    <t>缅甸 青训</t>
  </si>
  <si>
    <t>左边后卫，右边后卫，左边飞翼，右边飞翼</t>
  </si>
  <si>
    <t>维罗尼·普罗布斯特</t>
  </si>
  <si>
    <t>加西亚，德国</t>
  </si>
  <si>
    <t>安格尔·图伊马莱桑加</t>
  </si>
  <si>
    <t>加西亚，汤加</t>
  </si>
  <si>
    <t>猪狩鸣人</t>
  </si>
  <si>
    <t>加西亚，日本</t>
  </si>
  <si>
    <t>左边锋，左边中场</t>
  </si>
  <si>
    <t>佩里·范卡斯尔</t>
  </si>
  <si>
    <t>后腰，中场，前腰，前锋</t>
  </si>
  <si>
    <t>约翰森·罗阿德</t>
  </si>
  <si>
    <t>塔尔沃·昆茨</t>
  </si>
  <si>
    <t>右边后卫，右边飞翼，右边中场，右边锋</t>
  </si>
  <si>
    <t>约书亚·麦克威廉姆斯</t>
  </si>
  <si>
    <t>中场，前腰，左边中场，左边锋</t>
  </si>
  <si>
    <t>蒂亚戈·阿松桑</t>
  </si>
  <si>
    <t>加西亚，葡萄牙</t>
  </si>
  <si>
    <t>后腰，中卫，左右边卫</t>
  </si>
  <si>
    <t>让·斯皮特里</t>
  </si>
  <si>
    <t>加西亚，马耳他</t>
  </si>
  <si>
    <t>左边后卫，左边锋，前锋，后腰，门将</t>
  </si>
  <si>
    <t>艾萨·沙拉</t>
  </si>
  <si>
    <t>加西亚，冈比亚</t>
  </si>
  <si>
    <t>西蒙·布阿布雷</t>
  </si>
  <si>
    <t>左边中场，前腰，中场，左边锋</t>
  </si>
  <si>
    <t>维克托·加布里埃尔</t>
  </si>
  <si>
    <t>左边卫，中卫，左边飞翼</t>
  </si>
  <si>
    <t>卡洛斯·埃斯皮</t>
  </si>
  <si>
    <t>伍小海</t>
  </si>
  <si>
    <t>右边飞翼，左边飞翼，左边锋，右边锋，右边后卫，左边后卫</t>
  </si>
  <si>
    <t>李泰和</t>
  </si>
  <si>
    <t>左边后卫，中卫，右边后卫</t>
  </si>
  <si>
    <t>泰兰·布伦特</t>
  </si>
  <si>
    <t>右边后卫，中卫，右边飞翼</t>
  </si>
  <si>
    <t>杨瑞安</t>
  </si>
  <si>
    <t>左边锋，右边锋，前腰，中场</t>
  </si>
  <si>
    <t>金瀚</t>
  </si>
  <si>
    <t>哈维·马丁内斯</t>
  </si>
  <si>
    <t>中卫，后腰，中场</t>
  </si>
  <si>
    <t>丹尼尔·巴蒂</t>
  </si>
  <si>
    <t>中国香港</t>
  </si>
  <si>
    <t>凯西努伊·黑尼斯</t>
  </si>
  <si>
    <t>罗伯托·陈</t>
  </si>
  <si>
    <t>钟启俊</t>
  </si>
  <si>
    <t>左边卫，右边卫</t>
  </si>
  <si>
    <t>罗梅奥·阿玛内</t>
  </si>
  <si>
    <t>科特迪瓦</t>
  </si>
  <si>
    <t>拉明·礼萨扬</t>
  </si>
  <si>
    <t>伊朗</t>
  </si>
  <si>
    <t>基里尔·格列波夫</t>
  </si>
  <si>
    <t>左边锋，前腰，右边锋，左边中场，右边中场</t>
  </si>
  <si>
    <t>马库斯·丹尼尔森</t>
  </si>
  <si>
    <t>尤西弗·塞义杜</t>
  </si>
  <si>
    <t>佩德罗·莫里斯克</t>
  </si>
  <si>
    <t>于汉超</t>
  </si>
  <si>
    <t>左边锋，右边锋，左边中场，右边中场</t>
  </si>
  <si>
    <t>杨皓宇</t>
  </si>
  <si>
    <t>汪海健</t>
  </si>
  <si>
    <t>崔龙日</t>
  </si>
  <si>
    <t>右边后卫，右边飞翼，右边中场，左边后卫</t>
  </si>
  <si>
    <t>曹国</t>
  </si>
  <si>
    <t>莱切特</t>
  </si>
  <si>
    <t>阿尔比恩·阿德米</t>
  </si>
  <si>
    <t>左边锋，右边锋，左右边中场</t>
  </si>
  <si>
    <t>德尼尔·卡斯蒂略</t>
  </si>
  <si>
    <t>厄瓜多尔</t>
  </si>
  <si>
    <t>穆萨·耶奥</t>
  </si>
  <si>
    <t>马里</t>
  </si>
  <si>
    <t>中场，右边锋</t>
  </si>
  <si>
    <t>韩鹏飞</t>
  </si>
  <si>
    <t>中后卫，右边后卫</t>
  </si>
  <si>
    <t>马里奥-米塔</t>
  </si>
  <si>
    <t>斯蒂文-谢潘迪</t>
  </si>
  <si>
    <t>贾希尔·阿萨尼</t>
  </si>
  <si>
    <t>右边锋，左边锋，右边中场，左边中场</t>
  </si>
  <si>
    <t>埃内·米哈伊</t>
  </si>
  <si>
    <t>贾科莫·弗利奥尼</t>
  </si>
  <si>
    <t>本·奥德</t>
  </si>
  <si>
    <t>新西兰</t>
  </si>
  <si>
    <t>左边中场，左边锋，中场</t>
  </si>
  <si>
    <t>丹尼尔·班加丘</t>
  </si>
  <si>
    <t>布拉扬·波奇</t>
  </si>
  <si>
    <t>左后卫，左边飞翼</t>
  </si>
  <si>
    <t>马里奥·巴洛特利</t>
  </si>
  <si>
    <t>谢文能</t>
  </si>
  <si>
    <t>右边锋，左边锋，右边中场，右边后卫</t>
  </si>
  <si>
    <t>杨希</t>
  </si>
  <si>
    <t>右边后卫，右边飞翼，中卫</t>
  </si>
  <si>
    <t>高准翼</t>
  </si>
  <si>
    <t>右边卫，左边卫，中卫</t>
  </si>
  <si>
    <t>李小恒</t>
  </si>
  <si>
    <t>右边锋，左边锋，中场，前锋</t>
  </si>
  <si>
    <t>张宸梁</t>
  </si>
  <si>
    <t>巴顿</t>
  </si>
  <si>
    <t>左右边锋，左右边中场，左右边卫，中场，前锋，前腰</t>
  </si>
  <si>
    <t>陈晋一</t>
  </si>
  <si>
    <t>左边后卫，左边中场，左边锋</t>
  </si>
  <si>
    <t>王汉龙</t>
  </si>
  <si>
    <t>戴伟浚</t>
  </si>
  <si>
    <t>右边中场，前腰，中场</t>
  </si>
  <si>
    <t>王振澳</t>
  </si>
  <si>
    <t>亚里斯祖</t>
  </si>
  <si>
    <t>斯隆-罗德里格斯</t>
  </si>
  <si>
    <t>左边锋，左右边中场，中场</t>
  </si>
  <si>
    <t>拜合拉木·阿卜杜外力</t>
  </si>
  <si>
    <t>右边前锋，右边中场，右边后卫，前锋，前腰，后腰</t>
  </si>
  <si>
    <t>罗克·瓦塔</t>
  </si>
  <si>
    <t>阿尔巴尼亚，爱尔兰</t>
  </si>
  <si>
    <t>左右边锋，前锋</t>
  </si>
  <si>
    <t>玄志健</t>
  </si>
  <si>
    <t>左边中场，左右边后卫</t>
  </si>
  <si>
    <t>姜志鹏</t>
  </si>
  <si>
    <t>左边后卫，左边飞翼</t>
  </si>
  <si>
    <t>李提香</t>
  </si>
  <si>
    <t>黄紫昌</t>
  </si>
  <si>
    <t>右边锋，右边中场</t>
  </si>
  <si>
    <t>刘若钒</t>
  </si>
  <si>
    <t>阿德里安-帕加西蒂</t>
  </si>
  <si>
    <t>加西亚-帕斯夸莱</t>
  </si>
  <si>
    <t>余在言</t>
  </si>
  <si>
    <t>左右边锋，中场，前腰</t>
  </si>
  <si>
    <t>斯文·乌尔赖希</t>
  </si>
  <si>
    <t>安特·雷比奇</t>
  </si>
  <si>
    <t>克罗地亚，波黑</t>
  </si>
  <si>
    <t>左边锋，前腰，前锋</t>
  </si>
  <si>
    <t>安逸斐</t>
  </si>
  <si>
    <t>杨云</t>
  </si>
  <si>
    <t>韩子龙</t>
  </si>
  <si>
    <t>栾毅</t>
  </si>
  <si>
    <t>德阳·伊利耶夫</t>
  </si>
  <si>
    <t>北马其顿</t>
  </si>
  <si>
    <t>张伯伦</t>
  </si>
  <si>
    <t>中场，左右边锋，前腰</t>
  </si>
  <si>
    <t>纳比·凯塔</t>
  </si>
  <si>
    <t>几内亚</t>
  </si>
  <si>
    <t>德米尔拜</t>
  </si>
  <si>
    <t>马蒂亚·德西利奥</t>
  </si>
  <si>
    <t>毛伟杰</t>
  </si>
  <si>
    <t>前腰，左右边锋，左右边中场</t>
  </si>
  <si>
    <t>崔日升</t>
  </si>
  <si>
    <t>崔玉哲</t>
  </si>
  <si>
    <t>郑辉男</t>
  </si>
  <si>
    <t>文仁柱</t>
  </si>
  <si>
    <t>左边后卫，右边后卫</t>
  </si>
  <si>
    <t>金国晋</t>
  </si>
  <si>
    <t>徐宏杰</t>
  </si>
  <si>
    <t>吴曦</t>
  </si>
  <si>
    <t>刘殿座</t>
  </si>
  <si>
    <t>林良铭</t>
  </si>
  <si>
    <t>魏翔鑫</t>
  </si>
  <si>
    <t>菲利普·比尔比亚</t>
  </si>
  <si>
    <t>左边锋 前腰 前锋</t>
  </si>
  <si>
    <t>阿贝尔·霍查</t>
  </si>
  <si>
    <t>石现俊</t>
  </si>
  <si>
    <t>韩国</t>
  </si>
  <si>
    <t>肖·卡希尔</t>
  </si>
  <si>
    <t>刘威登</t>
  </si>
  <si>
    <t>拉芬·奥拉夫松</t>
  </si>
  <si>
    <t>张贤秀</t>
  </si>
  <si>
    <t>高天意</t>
  </si>
  <si>
    <t>后腰，中场，前腰，右边中场，右边锋</t>
  </si>
  <si>
    <t>杨明阳</t>
  </si>
  <si>
    <t>图恩德</t>
  </si>
  <si>
    <t>隋维杰</t>
  </si>
  <si>
    <t>黄政宇</t>
  </si>
  <si>
    <t>后腰，中场，后卫</t>
  </si>
  <si>
    <t>胡家进</t>
  </si>
  <si>
    <t>前腰，左右边锋，中场，后腰</t>
  </si>
  <si>
    <t>本特克</t>
  </si>
  <si>
    <t>阿德姆·利亚伊奇</t>
  </si>
  <si>
    <t>塞尔维亚</t>
  </si>
  <si>
    <t>李源一</t>
  </si>
  <si>
    <t>吕文君</t>
  </si>
  <si>
    <t>DL, WBL, MR, ML, AMR, AML, AMC, ST</t>
  </si>
  <si>
    <t>朱云飞</t>
  </si>
  <si>
    <t>穆罕默德·阿特耶</t>
  </si>
  <si>
    <t>左右边锋，左右边中场</t>
  </si>
  <si>
    <t>卢克·米切尔</t>
  </si>
  <si>
    <t>安德烈·阿尤</t>
  </si>
  <si>
    <t>拉云·库尔扎瓦</t>
  </si>
  <si>
    <t>法国，瓜德罗普</t>
  </si>
  <si>
    <t>左边卫，左边飞翼</t>
  </si>
  <si>
    <t>拉阿纳</t>
  </si>
  <si>
    <t>安德烈亚·孔西利</t>
  </si>
  <si>
    <t>萨尔瓦托雷·西里古</t>
  </si>
  <si>
    <t>瓦茨利克</t>
  </si>
  <si>
    <t>捷克</t>
  </si>
  <si>
    <t>卢卡斯·波多尔斯基</t>
  </si>
  <si>
    <t>韦世豪</t>
  </si>
  <si>
    <t>左边锋，右边锋，左边中场，前锋</t>
  </si>
  <si>
    <t>新法鲁联盟</t>
  </si>
  <si>
    <t>贺一然</t>
  </si>
  <si>
    <t>左右边后卫，中卫</t>
  </si>
  <si>
    <t>乔纳森·瓦朗</t>
  </si>
  <si>
    <t>马提尼克</t>
  </si>
  <si>
    <t>罗纳德</t>
  </si>
  <si>
    <t>德勒·阿里</t>
  </si>
  <si>
    <t>英国</t>
  </si>
  <si>
    <t>赫塞</t>
  </si>
  <si>
    <t>前锋，左右边锋</t>
  </si>
  <si>
    <t>马蒂亚斯·布劳努德尔</t>
  </si>
  <si>
    <t>奥地利</t>
  </si>
  <si>
    <t>弗拉登·科瓦切维奇</t>
  </si>
  <si>
    <t>朱辰杰</t>
  </si>
  <si>
    <t>安永佳</t>
  </si>
  <si>
    <t>优素福·加齐贝戈维奇</t>
  </si>
  <si>
    <t>波黑</t>
  </si>
  <si>
    <t>右边卫</t>
  </si>
  <si>
    <t>埃尔达·西维奇</t>
  </si>
  <si>
    <t>梅敦·贝里沙</t>
  </si>
  <si>
    <t>科南·科德罗</t>
  </si>
  <si>
    <t>季家葆</t>
  </si>
  <si>
    <t>霍深坪</t>
  </si>
  <si>
    <t>张健智</t>
  </si>
  <si>
    <t>严鼎皓</t>
  </si>
  <si>
    <t>陈蒲</t>
  </si>
  <si>
    <t>刘洋</t>
  </si>
  <si>
    <t>左边卫</t>
  </si>
  <si>
    <t>谢鹏飞</t>
  </si>
  <si>
    <t>前腰，右边锋</t>
  </si>
  <si>
    <t>廖锦涛</t>
  </si>
  <si>
    <t>徐彬</t>
  </si>
  <si>
    <t>张修维</t>
  </si>
  <si>
    <t>唐淼</t>
  </si>
  <si>
    <t>谢维军</t>
  </si>
  <si>
    <t>前锋，左边后卫</t>
  </si>
  <si>
    <t>梁少文</t>
  </si>
  <si>
    <t>中卫，前锋</t>
  </si>
  <si>
    <t>张昱杰</t>
  </si>
  <si>
    <t>中卫，右边中场</t>
  </si>
  <si>
    <t>迪力木拉提</t>
  </si>
  <si>
    <t>左右边卫</t>
  </si>
  <si>
    <t>孙铭谦</t>
  </si>
  <si>
    <t>左边前锋，左边卫，前锋</t>
  </si>
  <si>
    <t>孙国文</t>
  </si>
  <si>
    <t>左右边卫，左右边中场</t>
  </si>
  <si>
    <t>杜月徵</t>
  </si>
  <si>
    <t>穆赫塔·盖耶</t>
  </si>
  <si>
    <t>塞内加尔</t>
  </si>
  <si>
    <t>托马斯·亨利</t>
  </si>
  <si>
    <t>塞巴斯蒂安·格隆宁</t>
  </si>
  <si>
    <t>托比亚斯·古达尔</t>
  </si>
  <si>
    <t>埃杜·加西亚</t>
  </si>
  <si>
    <t>左右中场、左右边锋、前腰</t>
  </si>
  <si>
    <t>米切尔·范贝尔亨</t>
  </si>
  <si>
    <t>右边中场，右边锋</t>
  </si>
  <si>
    <t>马特奥·利斯恰</t>
  </si>
  <si>
    <t>新利雅得胜利</t>
  </si>
  <si>
    <t>扎瓦德·阿尔耶米利</t>
  </si>
  <si>
    <t>左边锋，前腰</t>
  </si>
  <si>
    <t>穆萨·穆罕默德</t>
  </si>
  <si>
    <t>谢伊·艾里亚斯</t>
  </si>
  <si>
    <t>恩佐·罗克</t>
  </si>
  <si>
    <t>智利</t>
  </si>
  <si>
    <t>钟义浩</t>
  </si>
  <si>
    <t>左边锋，左边卫，左边中场</t>
  </si>
  <si>
    <t>童磊</t>
  </si>
  <si>
    <t>邓涵文</t>
  </si>
  <si>
    <t>马镇</t>
  </si>
  <si>
    <t>梁学铭</t>
  </si>
  <si>
    <t>左边锋，前锋</t>
  </si>
  <si>
    <t>薛思博</t>
  </si>
  <si>
    <t>张志雄</t>
  </si>
  <si>
    <t>黄振飞</t>
  </si>
  <si>
    <t>刘世博</t>
  </si>
  <si>
    <t>侯煜</t>
  </si>
  <si>
    <t>阿隆索·马丁内斯</t>
  </si>
  <si>
    <t>哥斯达黎加</t>
  </si>
  <si>
    <t>右边锋，前锋</t>
  </si>
  <si>
    <t>申桓铭</t>
  </si>
  <si>
    <t>于睿</t>
  </si>
  <si>
    <t>胡睿宝</t>
  </si>
  <si>
    <t>李智</t>
  </si>
  <si>
    <t>左边后卫，左中场</t>
  </si>
  <si>
    <t>张卫</t>
  </si>
  <si>
    <t>杨一鸣</t>
  </si>
  <si>
    <t>南松</t>
  </si>
  <si>
    <t>廖力生</t>
  </si>
  <si>
    <t>张晓彬</t>
  </si>
  <si>
    <t>李宁</t>
  </si>
  <si>
    <t>张煜东</t>
  </si>
  <si>
    <t>白余涛</t>
  </si>
  <si>
    <t>帕尔曼江</t>
  </si>
  <si>
    <t>艾沙江·库尔班</t>
  </si>
  <si>
    <t>左右边锋，右边中场</t>
  </si>
  <si>
    <t>埃斯米尔·巴伊拉克塔雷维奇</t>
  </si>
  <si>
    <t>右边锋，前腰</t>
  </si>
  <si>
    <t>阿德里安·巴伊拉米</t>
  </si>
  <si>
    <t>阿尔巴尼亚，瑞士</t>
  </si>
  <si>
    <t>艾汉·卡斯特拉迪</t>
  </si>
  <si>
    <t>内尔森·韦佩尔</t>
  </si>
  <si>
    <t>德国，波黑</t>
  </si>
  <si>
    <t>穆克利</t>
  </si>
  <si>
    <t>阿利奥斯基</t>
  </si>
  <si>
    <t>北马其顿，阿尔巴尼亚</t>
  </si>
  <si>
    <t>阿尔比昂·阿耶蒂</t>
  </si>
  <si>
    <t>瑞士，阿尔巴尼亚</t>
  </si>
  <si>
    <t>阿尔林德·阿耶蒂</t>
  </si>
  <si>
    <t>阿尔图罗·比达尔</t>
  </si>
  <si>
    <t>新达华哈海岸</t>
  </si>
  <si>
    <t>菲尔·尼诺</t>
  </si>
  <si>
    <t>弗洛伦特·哈德琼纳伊</t>
  </si>
  <si>
    <t>科索沃，阿尔巴尼亚</t>
  </si>
  <si>
    <t>安德烈斯·恩多伊</t>
  </si>
  <si>
    <t>希腊，阿尔巴尼亚</t>
  </si>
  <si>
    <t>赛尔希奥·帕拉西奥斯</t>
  </si>
  <si>
    <t>马尔文·楚尼</t>
  </si>
  <si>
    <t>泰克马联合</t>
  </si>
  <si>
    <t>埃尼斯·乌伊卡</t>
  </si>
  <si>
    <t>陈城云</t>
  </si>
  <si>
    <t>朱利安·谢胡</t>
  </si>
  <si>
    <t>阿尔比·多卡</t>
  </si>
  <si>
    <t>谢利夫·卡拉库</t>
  </si>
  <si>
    <t>中场，前腰，左边锋</t>
  </si>
  <si>
    <t>伯纳德·贝里沙</t>
  </si>
  <si>
    <t>埃尔顿·菲卡伊</t>
  </si>
  <si>
    <t>达尔丹·沙班哈克萨</t>
  </si>
  <si>
    <t>阿尔巴尼亚，奥地利</t>
  </si>
  <si>
    <t>莱昂·亚吉洛维奇</t>
  </si>
  <si>
    <t>中卫，左边卫</t>
  </si>
  <si>
    <t>穆拉登·茨维蒂诺维奇</t>
  </si>
  <si>
    <t>波黑，阿尔巴尼亚</t>
  </si>
  <si>
    <t>右边卫，中卫</t>
  </si>
  <si>
    <t>安赫尔·桑达特</t>
  </si>
  <si>
    <t>丹尼尔·谢夫利耶夫</t>
  </si>
  <si>
    <t>洛伦佐·迪米凯莱</t>
  </si>
  <si>
    <t>前锋，左边锋，前腰</t>
  </si>
  <si>
    <t>达夫拉谢利泽</t>
  </si>
  <si>
    <t>图多尔·内格卢萨</t>
  </si>
  <si>
    <t>加西亚，罗马尼亚</t>
  </si>
  <si>
    <t>凯文·博维</t>
  </si>
  <si>
    <t>中卫，后腰，右边锋</t>
  </si>
  <si>
    <t>丹尼尔·文华</t>
  </si>
  <si>
    <t>埃尔顿·米卡伊洛夫</t>
  </si>
  <si>
    <t>阿尔巴尼亚，阿塞拜疆</t>
  </si>
  <si>
    <t>本杰明·塔西洛维奇</t>
  </si>
  <si>
    <t>波斯尼亚和黑塞哥维那</t>
  </si>
  <si>
    <t>肖恩·久里奇</t>
  </si>
  <si>
    <t>德杨·洛夫伦</t>
  </si>
  <si>
    <t>波黑，克罗地亚</t>
  </si>
  <si>
    <t>哈里斯·塞法洛维奇</t>
  </si>
  <si>
    <t>瑞士，波黑</t>
  </si>
  <si>
    <t>米亚特·加西诺维奇</t>
  </si>
  <si>
    <t>塞尔维亚，波黑</t>
  </si>
  <si>
    <t>左右边锋，左右中场</t>
  </si>
  <si>
    <t>达利杨·博扬尼奇</t>
  </si>
  <si>
    <t>瑞典，波黑</t>
  </si>
  <si>
    <t>约西普·伊里希奇</t>
  </si>
  <si>
    <t>斯洛文尼亚，波黑</t>
  </si>
  <si>
    <t>赫鲁斯蒂奇</t>
  </si>
  <si>
    <t>澳大利亚，波黑</t>
  </si>
  <si>
    <t>科南·布苏拉日奇</t>
  </si>
  <si>
    <t>普雷修斯·乌古</t>
  </si>
  <si>
    <t>荷兰，波黑</t>
  </si>
  <si>
    <t>阿内斯·查尔达基利亚</t>
  </si>
  <si>
    <t>费塔·费泰</t>
  </si>
  <si>
    <t>埃尼斯·索卡伊</t>
  </si>
  <si>
    <t>凯基</t>
  </si>
  <si>
    <t>卡齐姆·拉齐</t>
  </si>
  <si>
    <t>斯塔夫罗斯·皮利奥斯</t>
  </si>
  <si>
    <t>贝尔凯·伊尔马兹</t>
  </si>
  <si>
    <t>容·梅尔斯纳伊</t>
  </si>
  <si>
    <t>简森·塞卡</t>
  </si>
  <si>
    <t>德国，阿尔巴尼亚</t>
  </si>
  <si>
    <t>齐布克·恩瓦伊武</t>
  </si>
  <si>
    <t>伊斯尼克·阿利米</t>
  </si>
  <si>
    <t>托马斯·海达拉</t>
  </si>
  <si>
    <t>阿根廷，阿尔巴尼亚</t>
  </si>
  <si>
    <t>拉扎鲁斯·罗塔</t>
  </si>
  <si>
    <t>巴顿·扎贝尔贾</t>
  </si>
  <si>
    <t>阿尔达·奥坎·库尔图兰</t>
  </si>
  <si>
    <t>土耳其，阿尔巴尼亚</t>
  </si>
  <si>
    <t>右边飞翼，右边中场，右边卫</t>
  </si>
  <si>
    <t>克莱斯·博扎纳伊</t>
  </si>
  <si>
    <t>丹尼尔·本尼</t>
  </si>
  <si>
    <t>澳大利亚，中国香港</t>
  </si>
  <si>
    <t>哲南·沙比奇</t>
  </si>
  <si>
    <t>左边卫，左边飞翼，左边锋</t>
  </si>
  <si>
    <t>安德森·阿罗约</t>
  </si>
  <si>
    <t>维萨尔·贝卡伊</t>
  </si>
  <si>
    <t>克劳德·贾苏拉</t>
  </si>
  <si>
    <t>阿莱克斯·费尔南德斯</t>
  </si>
  <si>
    <t>阿尔扬·马利奇</t>
  </si>
  <si>
    <t>萨尔科·哈姆基齐</t>
  </si>
  <si>
    <t>布尔扎诺维奇</t>
  </si>
  <si>
    <t>阿列克萨·久拉索韦齐</t>
  </si>
  <si>
    <t>刁天龙</t>
  </si>
  <si>
    <t>左右边中场</t>
  </si>
  <si>
    <t>纳兹米·格利普西</t>
  </si>
  <si>
    <t>威尔第·马拉</t>
  </si>
  <si>
    <t>埃拉尔多·希纳里</t>
  </si>
  <si>
    <t>菲登·阿利蒂</t>
  </si>
  <si>
    <t>伊万·罗曼</t>
  </si>
  <si>
    <t>里萨·杜尔米西</t>
  </si>
  <si>
    <t>丹麦，阿尔巴尼亚</t>
  </si>
  <si>
    <t>劳塔罗·米兰</t>
  </si>
  <si>
    <t>左纳坦·德雷沙伊</t>
  </si>
  <si>
    <t>卡皮诺</t>
  </si>
  <si>
    <t>阿尼斯·买合麦提</t>
  </si>
  <si>
    <t>威顿·贝里沙</t>
  </si>
  <si>
    <t>巴斯丁·托马</t>
  </si>
  <si>
    <t>铎尼斯·阿夫迪亚伊</t>
  </si>
  <si>
    <t>奥斯曼·迪奥</t>
  </si>
  <si>
    <t>瓦隆·贝里沙</t>
  </si>
  <si>
    <t>中场，左边中场，前腰</t>
  </si>
  <si>
    <t>左边前锋，前锋</t>
  </si>
  <si>
    <t>黎利姆·卡斯特拉迪</t>
  </si>
  <si>
    <t>马克西米利安·古铁雷斯</t>
  </si>
  <si>
    <t>斯蒂法诺·森西</t>
  </si>
  <si>
    <t>乌切纳·阿里里尔</t>
  </si>
  <si>
    <t>富安健洋</t>
  </si>
  <si>
    <t>中卫，左边后卫，左边飞翼</t>
  </si>
  <si>
    <t>雷南·洛迪</t>
  </si>
  <si>
    <t>巴西，意大利</t>
  </si>
  <si>
    <t>左边后卫，左边飞翼，左中场</t>
  </si>
  <si>
    <t>ACLE</t>
  </si>
  <si>
    <t>雷吉隆</t>
  </si>
  <si>
    <t>因西涅</t>
  </si>
  <si>
    <t>贝尔纳特</t>
  </si>
  <si>
    <t>后卫，左边飞翼，左中场</t>
  </si>
  <si>
    <t>博纳文图拉</t>
  </si>
  <si>
    <t>拉菲尼亚</t>
  </si>
  <si>
    <t>右边中场，前腰，右边锋</t>
  </si>
  <si>
    <t>迭戈·科斯塔</t>
  </si>
  <si>
    <t>巴西，西班牙</t>
  </si>
  <si>
    <t>毛罗·伊卡尔迪</t>
  </si>
  <si>
    <t>赛尔希奥·拉莫斯</t>
  </si>
  <si>
    <t>中后卫，前锋</t>
  </si>
  <si>
    <t>安托万·茹茹</t>
  </si>
  <si>
    <t>萨比</t>
  </si>
  <si>
    <t>内戈</t>
  </si>
  <si>
    <t>右边飞翼，右边中场，右边锋</t>
  </si>
  <si>
    <t>内马尼亚·科维奇</t>
  </si>
  <si>
    <t>阿兰·谢里</t>
  </si>
  <si>
    <t>南比斯恰城市</t>
  </si>
  <si>
    <t>卢卡斯·波西诺奥罗</t>
  </si>
  <si>
    <t>弗兰克·安德里亚舍维奇</t>
  </si>
  <si>
    <t>布巴卡尔·库亚特</t>
  </si>
  <si>
    <t>中卫，右后卫</t>
  </si>
  <si>
    <t>萨米尔·梅米舍维奇</t>
  </si>
  <si>
    <t>哈维尔·西蒙斯</t>
  </si>
  <si>
    <t>英格兰，斯里兰卡</t>
  </si>
  <si>
    <t>科尔基亚</t>
  </si>
  <si>
    <t>马尔文·塞纳亚</t>
  </si>
  <si>
    <t>涅斯托里·依兰昆达</t>
  </si>
  <si>
    <t>右边中场，右边锋，左边锋</t>
  </si>
  <si>
    <t>巴拉尔德松</t>
  </si>
  <si>
    <t>右边后卫，右边中场</t>
  </si>
  <si>
    <t>克里斯蒂安·利夫</t>
  </si>
  <si>
    <t>左边中场</t>
  </si>
  <si>
    <t>罗伯特·尼斯比特</t>
  </si>
  <si>
    <t>山田洋介</t>
  </si>
  <si>
    <t>萨里夫·西塞</t>
  </si>
  <si>
    <t>埃马努埃尔·甘博亚</t>
  </si>
  <si>
    <t>左边卫，中卫</t>
  </si>
  <si>
    <t>亚历杭德罗·布拉日奇</t>
  </si>
  <si>
    <t>高登·马夫文塔</t>
  </si>
  <si>
    <t>加西亚，赞比亚</t>
  </si>
  <si>
    <t>佩尼亚兰达</t>
  </si>
  <si>
    <t>卢卡斯·谢伦博格</t>
  </si>
  <si>
    <t>清道夫，中卫，后腰</t>
  </si>
  <si>
    <t>约翰·斯坦马克</t>
  </si>
  <si>
    <t>伊利亚·巴特利切维奇</t>
  </si>
  <si>
    <t>加西亚，黑山</t>
  </si>
  <si>
    <t>内马尼亚·凯尔凯兹</t>
  </si>
  <si>
    <t>加西亚，克罗地亚</t>
  </si>
  <si>
    <t>右边后卫，右边飞翼，右边中场，后腰</t>
  </si>
  <si>
    <t>朴相骏</t>
  </si>
  <si>
    <t>韩国 内援</t>
  </si>
  <si>
    <t>西慎之介</t>
  </si>
  <si>
    <t>克里斯托弗·乌赫</t>
  </si>
  <si>
    <t>裴俊昊</t>
  </si>
  <si>
    <t>严智星</t>
  </si>
  <si>
    <t>信敏河</t>
  </si>
  <si>
    <t>菲利普·塔拉巴</t>
  </si>
  <si>
    <t>金珍珠</t>
  </si>
  <si>
    <t>若泽·马尔萨</t>
  </si>
  <si>
    <t>李汉范</t>
  </si>
  <si>
    <t>素帕纳·穆安塔</t>
  </si>
  <si>
    <t>约安·加杜</t>
  </si>
  <si>
    <t>尼古拉斯·米科尔森</t>
  </si>
  <si>
    <t>尤瑟夫·埃拉比</t>
  </si>
  <si>
    <t>瑞典，阿富汗</t>
  </si>
  <si>
    <t>肯尼特·施密特</t>
  </si>
  <si>
    <t>越南，德国</t>
  </si>
  <si>
    <t>奎因·沙利文</t>
  </si>
  <si>
    <t>孟加拉国</t>
  </si>
  <si>
    <t>高宇洋</t>
  </si>
  <si>
    <t>埃里克·卡尔</t>
  </si>
  <si>
    <t>瑞典，泰国</t>
  </si>
  <si>
    <t>左边卫，左边飞翼，中卫</t>
  </si>
  <si>
    <t>齐达内·伊克巴尔</t>
  </si>
  <si>
    <t>阿富汗</t>
  </si>
  <si>
    <t>内森·德卡特</t>
  </si>
  <si>
    <t>莱昂·戈尔基奇</t>
  </si>
  <si>
    <t>马丁·兹洛马斯里奇</t>
  </si>
  <si>
    <t>黄添喜</t>
  </si>
  <si>
    <t>新加坡</t>
  </si>
  <si>
    <t>安德烈亚斯·荣达尔</t>
  </si>
  <si>
    <t>新加坡，比利时</t>
  </si>
  <si>
    <t>凯里姆·阿拉伊贝戈维奇</t>
  </si>
  <si>
    <t>左右侧中场，中场，左右边锋，前腰</t>
  </si>
  <si>
    <t>扬·费尔吉利</t>
  </si>
  <si>
    <t>李浩宰</t>
  </si>
  <si>
    <t>吴宰硕</t>
  </si>
  <si>
    <t>达伊科</t>
  </si>
  <si>
    <t>里瓦·布尔楚</t>
  </si>
  <si>
    <t>瓦希德·法吉尔</t>
  </si>
  <si>
    <t>西门·林布</t>
  </si>
  <si>
    <t>罗伯特·沃洛德</t>
  </si>
  <si>
    <t>波黑，德国</t>
  </si>
  <si>
    <t>沙克尔·范佩西</t>
  </si>
  <si>
    <t>克雷桑</t>
  </si>
  <si>
    <t>威廉·索尔·威廉森</t>
  </si>
  <si>
    <t>若阿希姆·塞斯</t>
  </si>
  <si>
    <t>左右边后卫，左右边飞翼</t>
  </si>
  <si>
    <t>米哈伊洛·伊万诺维奇</t>
  </si>
  <si>
    <t>西梅奥内·桑托罗</t>
  </si>
  <si>
    <t>后腰，前锋</t>
  </si>
  <si>
    <t>史蒂芬·科瓦茨</t>
  </si>
  <si>
    <t>布莱恩·卡约</t>
  </si>
  <si>
    <t>美国，菲律宾</t>
  </si>
  <si>
    <t>李健熙</t>
  </si>
  <si>
    <t>黄度尹</t>
  </si>
  <si>
    <t>素巴楚</t>
  </si>
  <si>
    <t>左右边锋，前腰</t>
  </si>
  <si>
    <t>金镇铉</t>
  </si>
  <si>
    <t>黄才媛</t>
  </si>
  <si>
    <t>后腰，中场，右边飞翼，右边卫</t>
  </si>
  <si>
    <t>米切尔·巴迪西莫</t>
  </si>
  <si>
    <t>克劳迪奥·卡门克内克特</t>
  </si>
  <si>
    <t>斯里兰卡</t>
  </si>
  <si>
    <t>乌奈·埃尔南德斯</t>
  </si>
  <si>
    <t>李记帝</t>
  </si>
  <si>
    <t>陈成忠</t>
  </si>
  <si>
    <t>越南，保加利亚</t>
  </si>
  <si>
    <t>若热·许路德</t>
  </si>
  <si>
    <t>新加坡，荷兰</t>
  </si>
  <si>
    <t>中场，前腰，右边中场</t>
  </si>
  <si>
    <t>亚历山大·武科蒂奇</t>
  </si>
  <si>
    <t>波黑，塞尔维亚</t>
  </si>
  <si>
    <t>弗里曼·孟文明</t>
  </si>
  <si>
    <t>瑞士，越南</t>
  </si>
  <si>
    <t>左后卫，中卫</t>
  </si>
  <si>
    <t>吉尔维·索尔·西于尔兹松</t>
  </si>
  <si>
    <t>马蒂亚斯·加拉尔扎</t>
  </si>
  <si>
    <t>古斯塔沃</t>
  </si>
  <si>
    <t>萨普里特·辛格</t>
  </si>
  <si>
    <t>印度，澳大利亚</t>
  </si>
  <si>
    <t>延·丹达</t>
  </si>
  <si>
    <t>印度，英格兰</t>
  </si>
  <si>
    <t>塞巴斯蒂安·博塞利</t>
  </si>
  <si>
    <t>乌拉圭</t>
  </si>
  <si>
    <t>扬尼克·博拉西耶</t>
  </si>
  <si>
    <t>民主刚果</t>
  </si>
  <si>
    <t>埃尔·阿祖里</t>
  </si>
  <si>
    <t>埃尔·哈吉</t>
  </si>
  <si>
    <t>摩洛哥</t>
  </si>
  <si>
    <t>恩维尔·库拉欣</t>
  </si>
  <si>
    <t>关川郁万</t>
  </si>
  <si>
    <t>阿米尔·哈齐亚赫姆托维奇</t>
  </si>
  <si>
    <t>朴进勇</t>
  </si>
  <si>
    <t>李承晚</t>
  </si>
  <si>
    <t>贝沙德·沙波维奇</t>
  </si>
  <si>
    <t>波黑，瑞典</t>
  </si>
  <si>
    <t>塞米尔·特拉洛维奇</t>
  </si>
  <si>
    <t>吉瓦尔·哲齐耶尔</t>
  </si>
  <si>
    <t>荷兰，印度尼西亚</t>
  </si>
  <si>
    <t>卡耶·弗洛</t>
  </si>
  <si>
    <t>阿卜杜拉·伊克巴尔</t>
  </si>
  <si>
    <t>巴基斯坦</t>
  </si>
  <si>
    <t>安德烈·戈麦斯</t>
  </si>
  <si>
    <t>贾斯丁·范德西茨</t>
  </si>
  <si>
    <t>菲律宾，德国</t>
  </si>
  <si>
    <t>右边飞翼，右边卫</t>
  </si>
  <si>
    <t>欧文·沃尔夫</t>
  </si>
  <si>
    <t>中场，后腰，右边中场</t>
  </si>
  <si>
    <t>泰勒·沃尔夫</t>
  </si>
  <si>
    <t>右边锋，右边中场，左边锋</t>
  </si>
  <si>
    <t>塞巴斯蒂安·安德森</t>
  </si>
  <si>
    <t>美国，韩国</t>
  </si>
  <si>
    <t>穆罕默德·布柳巴希奇</t>
  </si>
  <si>
    <t>杰里科·加夫里奇</t>
  </si>
  <si>
    <t>左边锋，右边锋，前腰</t>
  </si>
  <si>
    <t>丹尼·巴斯</t>
  </si>
  <si>
    <t>英国，印度，巴基斯坦</t>
  </si>
  <si>
    <t>加布里埃尔·梅克</t>
  </si>
  <si>
    <t>泰克马职业</t>
  </si>
  <si>
    <t>马尔科·约翰</t>
  </si>
  <si>
    <t>李光淵</t>
  </si>
  <si>
    <t>阿德姆·阿夫迪奇</t>
  </si>
  <si>
    <t>弗洛里安·恩格尔哈特</t>
  </si>
  <si>
    <t>马里乌斯·沃尔</t>
  </si>
  <si>
    <t>登里享平</t>
  </si>
  <si>
    <t>日本，中国</t>
  </si>
  <si>
    <t>瓦蒂姆·拉科夫</t>
  </si>
  <si>
    <t>塞尔达·萨奇</t>
  </si>
  <si>
    <t>诺阿·桑盖伊</t>
  </si>
  <si>
    <t>丹尼斯·哈齐卡杜尼齐</t>
  </si>
  <si>
    <t>简森·杜伊文</t>
  </si>
  <si>
    <t>荷兰，马来西亚</t>
  </si>
  <si>
    <t>杰米·沙克尔顿</t>
  </si>
  <si>
    <t>英格兰，马来西亚</t>
  </si>
  <si>
    <t>右边卫，右边飞翼，中卫，右边中场，中场</t>
  </si>
  <si>
    <t>塞姆·谢培尔曼</t>
  </si>
  <si>
    <t>后腰，中场，前锋</t>
  </si>
  <si>
    <t>约书亚·劳林斯</t>
  </si>
  <si>
    <t>澳大利亚，马来西亚</t>
  </si>
  <si>
    <t>左右边后卫，中场，右边飞翼</t>
  </si>
  <si>
    <t>刘易斯·多彬</t>
  </si>
  <si>
    <t>左右边锋，前腰，前锋</t>
  </si>
  <si>
    <t>戴恩·桑德森</t>
  </si>
  <si>
    <t>埃尔汉·马索维奇</t>
  </si>
  <si>
    <t>普雷夫利亚克</t>
  </si>
  <si>
    <t>佐兰·库尔日奇</t>
  </si>
  <si>
    <t>右边后卫，右边飞翼，右边中场</t>
  </si>
  <si>
    <t>MT·马特乌斯·阿劳霍</t>
  </si>
  <si>
    <t>巴西， 葡萄牙</t>
  </si>
  <si>
    <t>中卫，左边卫，左边中场，左边飞翼，右边卫</t>
  </si>
  <si>
    <t>扬·西芒·西马拉</t>
  </si>
  <si>
    <t>埃尔维斯·沙利奇</t>
  </si>
  <si>
    <t>曼普利特·萨卡里亚</t>
  </si>
  <si>
    <t>印度，奥地利</t>
  </si>
  <si>
    <t>加斯东·贝内德蒂</t>
  </si>
  <si>
    <t>金东现</t>
  </si>
  <si>
    <t>奇诚庸</t>
  </si>
  <si>
    <t>若昂·菲格雷多</t>
  </si>
  <si>
    <t>马来西亚，巴西</t>
  </si>
  <si>
    <t>前锋，左边锋</t>
  </si>
  <si>
    <t>南泰熙</t>
  </si>
  <si>
    <t>林祭砇</t>
  </si>
  <si>
    <t>薛英佑</t>
  </si>
  <si>
    <t>金智秀</t>
  </si>
  <si>
    <t>洛兰</t>
  </si>
  <si>
    <t>马克斯·埃邦</t>
  </si>
  <si>
    <t>白俄罗斯，喀麦隆，俄罗斯</t>
  </si>
  <si>
    <t>霍亚克巴耳·阿里约诺夫</t>
  </si>
  <si>
    <t>奥古斯特·普里斯克</t>
  </si>
  <si>
    <t>杨贤俊</t>
  </si>
  <si>
    <t>波斯富尔特·泽内利</t>
  </si>
  <si>
    <t>瑞典，阿尔巴尼亚</t>
  </si>
  <si>
    <t>崔容俊</t>
  </si>
  <si>
    <t>菲提瓦·素提塔马库尔</t>
  </si>
  <si>
    <t>本·戴维斯</t>
  </si>
  <si>
    <t>达夫·夸克曼</t>
  </si>
  <si>
    <t>奥斯东·奥卢诺弗</t>
  </si>
  <si>
    <t>马克西姆·萨姆罗多夫</t>
  </si>
  <si>
    <t>百合提亚尔·扎伊努丁诺夫</t>
  </si>
  <si>
    <t>后腰，中场，左中场</t>
  </si>
  <si>
    <t>胡塞因·诺查耶夫</t>
  </si>
  <si>
    <t>谢尔佐德·铁米洛夫</t>
  </si>
  <si>
    <t>穆罕默迪·奥林波耶夫</t>
  </si>
  <si>
    <t>胡斯尼丁·阿雷库洛夫</t>
  </si>
  <si>
    <t>左右边卫，中卫</t>
  </si>
  <si>
    <t>金泰铉</t>
  </si>
  <si>
    <t>后腰，中场，前腰，左右边中场</t>
  </si>
  <si>
    <t>高铭锡</t>
  </si>
  <si>
    <t>埃斯米尔·贝戈维奇</t>
  </si>
  <si>
    <t>奥莱·萨特尔</t>
  </si>
  <si>
    <t>挪威，巴基斯坦</t>
  </si>
  <si>
    <t>布兰顿·威廉姆斯</t>
  </si>
  <si>
    <t>帕斯卡尔-洛伦兹</t>
  </si>
  <si>
    <t>瑞士</t>
  </si>
  <si>
    <t>米尔克·托皮奇</t>
  </si>
  <si>
    <t>谢尔佐德·纳斯鲁拉耶夫</t>
  </si>
  <si>
    <t>凯迪·巴雷</t>
  </si>
  <si>
    <t>后腰，左边中场，中场</t>
  </si>
  <si>
    <t>文科·罗基奇</t>
  </si>
  <si>
    <t>前腰，左右边锋</t>
  </si>
  <si>
    <t>基基·库亚特</t>
  </si>
  <si>
    <t>王海</t>
  </si>
  <si>
    <t>韩伟</t>
  </si>
  <si>
    <t>后腰，中后卫</t>
  </si>
  <si>
    <t>卞俊洙</t>
  </si>
  <si>
    <t>恩诺克·马斯托拉斯</t>
  </si>
  <si>
    <t>右边卫，中卫，后腰，右边飞翼，中场，右中场</t>
  </si>
  <si>
    <t>马德斯·恩高</t>
  </si>
  <si>
    <t>埃登·卡尔采夫</t>
  </si>
  <si>
    <t>亚格·卡列洛</t>
  </si>
  <si>
    <t>阿金库米·阿莫</t>
  </si>
  <si>
    <t>米恰·伊莱尼奇</t>
  </si>
  <si>
    <t>阿马杜·恩迪亚耶</t>
  </si>
  <si>
    <t>马尔科·索尔多</t>
  </si>
  <si>
    <t>内尔明·霍吉齐</t>
  </si>
  <si>
    <t>阿贡·埃莱奇</t>
  </si>
  <si>
    <t>马其顿，波黑</t>
  </si>
  <si>
    <t>内尔明·霍日奇</t>
  </si>
  <si>
    <t>阿梅尔·姆扬尼奇</t>
  </si>
  <si>
    <t>亚历山大·卡赫维奇</t>
  </si>
  <si>
    <t>伊斯梅特·卢沙库</t>
  </si>
  <si>
    <t>哈伊丁·萨利胡</t>
  </si>
  <si>
    <t>波黑，科索沃，阿尔巴尼亚</t>
  </si>
  <si>
    <t>克里斯托斯·埃莱奇</t>
  </si>
  <si>
    <t>达尔·瓦雷萨诺维奇</t>
  </si>
  <si>
    <t>阿内尔·雅库波维奇</t>
  </si>
  <si>
    <t>斯铁潘·拉德里奇</t>
  </si>
  <si>
    <t>埃尔明·比卡克西奇</t>
  </si>
  <si>
    <t>达尼尔·艾弗森</t>
  </si>
  <si>
    <t>阿伦·哈利洛维奇</t>
  </si>
  <si>
    <t>左边前锋，前腰，右边前锋，中场</t>
  </si>
  <si>
    <t>金玄率</t>
  </si>
  <si>
    <t>韩国，巴西</t>
  </si>
  <si>
    <t>郑又荣</t>
  </si>
  <si>
    <t>尹光河</t>
  </si>
  <si>
    <t>文宣民</t>
  </si>
  <si>
    <t>权敬原</t>
  </si>
  <si>
    <t>池东沅</t>
  </si>
  <si>
    <t>金基熙</t>
  </si>
  <si>
    <t>权昶勋</t>
  </si>
  <si>
    <t>姜贤茂</t>
  </si>
  <si>
    <t>姜祥佑</t>
  </si>
  <si>
    <t>左右边后卫，左边中场，左边锋</t>
  </si>
  <si>
    <t>柳在文</t>
  </si>
  <si>
    <t>安铉范</t>
  </si>
  <si>
    <t>延济恩</t>
  </si>
  <si>
    <t>克里斯蒂安·布劳兹曼</t>
  </si>
  <si>
    <t>吉尔吉斯斯坦</t>
  </si>
  <si>
    <t>阿德里安·斯考格马尔</t>
  </si>
  <si>
    <t>泰国，瑞典</t>
  </si>
  <si>
    <t>右边飞翼，右边后卫，右边中场，右边锋，后腰，中卫，前腰</t>
  </si>
  <si>
    <t>亚历山大·马蒂诺维奇</t>
  </si>
  <si>
    <t>白俄罗斯</t>
  </si>
  <si>
    <t>达里奥·久米奇</t>
  </si>
  <si>
    <t>戈伊克·西米洛特</t>
  </si>
  <si>
    <t>格哈德·普罗格尼</t>
  </si>
  <si>
    <t>右边锋，前腰，前锋</t>
  </si>
  <si>
    <t>李铭殊</t>
  </si>
  <si>
    <t>艾山·阿希尔别克</t>
  </si>
  <si>
    <t>后腰，中场，右边飞翼</t>
  </si>
  <si>
    <t>阿德莱特·萨迪贝科夫</t>
  </si>
  <si>
    <t>阿斯卡特·塔吉贝尔根</t>
  </si>
  <si>
    <t>右边锋，前腰，中场，右边中场</t>
  </si>
  <si>
    <t>亚历山大·默克尔</t>
  </si>
  <si>
    <t>提拉通·汶马探</t>
  </si>
  <si>
    <t>左边后卫，中卫，左边飞翼，左边中场，中场</t>
  </si>
  <si>
    <t>提拉西·当达</t>
  </si>
  <si>
    <t>埃兹塔兹·侯赛因</t>
  </si>
  <si>
    <t>崔勇军</t>
  </si>
  <si>
    <t>罗纳尔多·德·热苏斯</t>
  </si>
  <si>
    <t>巴拉圭</t>
  </si>
  <si>
    <t>林德近</t>
  </si>
  <si>
    <t>河昌来</t>
  </si>
  <si>
    <t>渔祯元</t>
  </si>
  <si>
    <t>左右边后卫，中卫，后腰</t>
  </si>
  <si>
    <t>阿米尔·穆罕默德·拉扎齐尼亚</t>
  </si>
  <si>
    <t>纳达夫·尼达姆</t>
  </si>
  <si>
    <t>李期奕</t>
  </si>
  <si>
    <t>球员名称</t>
    <phoneticPr fontId="1" type="noConversion"/>
  </si>
  <si>
    <t>年龄</t>
    <phoneticPr fontId="1" type="noConversion"/>
  </si>
  <si>
    <t>国家/地区籍</t>
    <phoneticPr fontId="1" type="noConversion"/>
  </si>
  <si>
    <t>身高</t>
    <phoneticPr fontId="1" type="noConversion"/>
  </si>
  <si>
    <t>体重</t>
    <phoneticPr fontId="1" type="noConversion"/>
  </si>
  <si>
    <t>CA</t>
    <phoneticPr fontId="1" type="noConversion"/>
  </si>
  <si>
    <t>PA</t>
    <phoneticPr fontId="1" type="noConversion"/>
  </si>
  <si>
    <t>合约到期</t>
    <phoneticPr fontId="1" type="noConversion"/>
  </si>
  <si>
    <t>违约金</t>
    <phoneticPr fontId="1" type="noConversion"/>
  </si>
  <si>
    <t>位置</t>
    <phoneticPr fontId="1" type="noConversion"/>
  </si>
  <si>
    <t>年薪</t>
    <phoneticPr fontId="1" type="noConversion"/>
  </si>
  <si>
    <t>所在球队</t>
    <phoneticPr fontId="1" type="noConversion"/>
  </si>
  <si>
    <t>合同类型</t>
    <phoneticPr fontId="1" type="noConversion"/>
  </si>
  <si>
    <t>合同备注</t>
    <phoneticPr fontId="1" type="noConversion"/>
  </si>
  <si>
    <t>玩家：抖音kolo</t>
  </si>
  <si>
    <t>马雷克奥体中心</t>
  </si>
  <si>
    <t>球探等级：10</t>
  </si>
  <si>
    <t>南太平洋大学</t>
  </si>
  <si>
    <t>玩家：你哈哥 黄教授</t>
  </si>
  <si>
    <t>新泰体育中心专业足球场</t>
  </si>
  <si>
    <t>可征战世大运</t>
  </si>
  <si>
    <t>新阿尔米利亚提公园球场</t>
  </si>
  <si>
    <t>里拉赫球场</t>
  </si>
  <si>
    <t>玩家: 阿古</t>
  </si>
  <si>
    <t>安倍萨足球场</t>
  </si>
  <si>
    <t>玩家：墩子</t>
  </si>
  <si>
    <t>哈贾丹橄榄球场</t>
  </si>
  <si>
    <t>玩家：抖音577842845</t>
  </si>
  <si>
    <t>总统国立竞技场</t>
  </si>
  <si>
    <t>玩家: 抖音@宾</t>
  </si>
  <si>
    <t>里卡多-罗德里格斯</t>
  </si>
  <si>
    <t>乌克斯布里德竞技场</t>
  </si>
  <si>
    <t>可征战法国杯第一圈</t>
  </si>
  <si>
    <t>玩家: 云龙</t>
  </si>
  <si>
    <t>瓦巴萨朱运动场</t>
  </si>
  <si>
    <t>球探等级：5</t>
  </si>
  <si>
    <t>玩家: 抖音春飘雨</t>
  </si>
  <si>
    <t>穆拉哈体育场</t>
  </si>
  <si>
    <t>玩家:抖音1.1595</t>
  </si>
  <si>
    <t>玩家: 鬼才</t>
  </si>
  <si>
    <t>沙波卢瓦球场</t>
  </si>
  <si>
    <t>英国足总杯预选赛阶段第一圈</t>
  </si>
  <si>
    <t>玩家: 慕尼黑二次元</t>
  </si>
  <si>
    <t>玩家: 雀狗蛋</t>
  </si>
  <si>
    <t>玩家: 陈志</t>
  </si>
  <si>
    <t>可征战荷兰杯第一圈</t>
  </si>
  <si>
    <t>玩家：抖音pedri</t>
  </si>
  <si>
    <t>玩家：抖音RMA</t>
  </si>
  <si>
    <t>史蒂夫·波茨</t>
  </si>
  <si>
    <t>泰克足球场</t>
  </si>
  <si>
    <t>玩家：抖音云中歌</t>
  </si>
  <si>
    <t>新泰市泰山区泰山体育场</t>
  </si>
  <si>
    <t>玩家：抖音港迷</t>
  </si>
  <si>
    <t>巴峰总统纪念球场</t>
  </si>
  <si>
    <t>朱马第一中学操场</t>
  </si>
  <si>
    <t>新利雅得新月</t>
  </si>
  <si>
    <t>抖音：79215334364</t>
  </si>
  <si>
    <t>新利雅得琛止苏丹球场</t>
  </si>
  <si>
    <t>抖音：Hanksjiang</t>
  </si>
  <si>
    <t>彼得·斯特罗热</t>
  </si>
  <si>
    <t>拉阿纳体育场</t>
  </si>
  <si>
    <t>抖音Zones</t>
  </si>
  <si>
    <t>南萨乌萨乌奥体中心</t>
  </si>
  <si>
    <t>玩家：首都老哥&amp;联合</t>
  </si>
  <si>
    <t>国立竞技场外场</t>
  </si>
  <si>
    <t>玩家：mason7</t>
  </si>
  <si>
    <t>东平县运动场</t>
  </si>
  <si>
    <t>哈卡拉托特卡海牛</t>
  </si>
  <si>
    <t>玩家：维斯兰</t>
  </si>
  <si>
    <t>哈卡拉托特卡运动场</t>
  </si>
  <si>
    <t>玩家：马雷克&amp;瓦城</t>
  </si>
  <si>
    <t>国立大学东木校区体育场</t>
  </si>
  <si>
    <t>新法鲁大里斯本联盟</t>
  </si>
  <si>
    <t>玩家：椤楠</t>
  </si>
  <si>
    <t>索尔斯沙尔</t>
  </si>
  <si>
    <t>奎罗斯足球场</t>
  </si>
  <si>
    <t>玩家：T.5</t>
  </si>
  <si>
    <t>新吕伐登黑森林球场</t>
  </si>
  <si>
    <t>玩家：EEEEEd</t>
  </si>
  <si>
    <t>奥顿兰海岸球场</t>
  </si>
  <si>
    <t>玩家：我嘞个骚邦</t>
  </si>
  <si>
    <t>玩家：A..2</t>
  </si>
  <si>
    <t>布鲁诺·拉巴迪亚</t>
  </si>
  <si>
    <t>色温岱州东岳</t>
  </si>
  <si>
    <t>玩家：对方正在输入</t>
  </si>
  <si>
    <t>金大仪</t>
  </si>
  <si>
    <t>岱岳青年人足球场</t>
  </si>
  <si>
    <t>玩家：刘易斯汉密尔顿</t>
  </si>
  <si>
    <t>陈涛</t>
  </si>
  <si>
    <t>玩家：宝于</t>
  </si>
  <si>
    <t>鲁伊·博尔热斯</t>
  </si>
  <si>
    <t>大同体育场</t>
  </si>
  <si>
    <t>玩家：不看谢周三</t>
  </si>
  <si>
    <t>曾加</t>
  </si>
  <si>
    <t>南比斯恰奥体球场</t>
  </si>
  <si>
    <t>玩家：门兴球迷</t>
  </si>
  <si>
    <t>玩家：兰州球迷</t>
  </si>
  <si>
    <t>奥坎·布鲁克</t>
  </si>
  <si>
    <t>斯波托普运动场</t>
  </si>
  <si>
    <t xml:space="preserve">玩家: 抖音@66 </t>
    <phoneticPr fontId="1" type="noConversion"/>
  </si>
  <si>
    <t>球队名</t>
    <phoneticPr fontId="1" type="noConversion"/>
  </si>
  <si>
    <t>玩家</t>
    <phoneticPr fontId="1" type="noConversion"/>
  </si>
  <si>
    <t>教练组</t>
    <phoneticPr fontId="1" type="noConversion"/>
  </si>
  <si>
    <t>主场</t>
    <phoneticPr fontId="1" type="noConversion"/>
  </si>
  <si>
    <t>座席数</t>
    <phoneticPr fontId="1" type="noConversion"/>
  </si>
  <si>
    <t>场均上座</t>
    <phoneticPr fontId="1" type="noConversion"/>
  </si>
  <si>
    <t>上座率</t>
    <phoneticPr fontId="1" type="noConversion"/>
  </si>
  <si>
    <t>收入</t>
    <phoneticPr fontId="1" type="noConversion"/>
  </si>
  <si>
    <t>球队资金</t>
    <phoneticPr fontId="1" type="noConversion"/>
  </si>
  <si>
    <t>赞助商1</t>
    <phoneticPr fontId="1" type="noConversion"/>
  </si>
  <si>
    <t>赞助商2</t>
    <phoneticPr fontId="1" type="noConversion"/>
  </si>
  <si>
    <t>青训</t>
    <phoneticPr fontId="1" type="noConversion"/>
  </si>
  <si>
    <t>其他</t>
    <phoneticPr fontId="1" type="noConversion"/>
  </si>
  <si>
    <t>东木市职业</t>
  </si>
  <si>
    <t>新泰泰山</t>
  </si>
  <si>
    <t>泰克马职业</t>
    <phoneticPr fontId="1" type="noConversion"/>
  </si>
  <si>
    <t>新泰泰山</t>
    <phoneticPr fontId="1" type="noConversion"/>
  </si>
  <si>
    <t>泰克马联合</t>
    <phoneticPr fontId="1" type="noConversion"/>
  </si>
  <si>
    <t>Daan van der Berg</t>
    <phoneticPr fontId="1" type="noConversion"/>
  </si>
  <si>
    <t>球队筛选</t>
    <phoneticPr fontId="1" type="noConversion"/>
  </si>
  <si>
    <t>命中行号</t>
    <phoneticPr fontId="1" type="noConversion"/>
  </si>
  <si>
    <t>新吕伐登黑森林竞技场</t>
    <phoneticPr fontId="1" type="noConversion"/>
  </si>
  <si>
    <t>年薪总和</t>
    <phoneticPr fontId="1" type="noConversion"/>
  </si>
  <si>
    <t>球队赛季末剩余资金</t>
    <phoneticPr fontId="1" type="noConversion"/>
  </si>
  <si>
    <t>均Age</t>
    <phoneticPr fontId="1" type="noConversion"/>
  </si>
  <si>
    <t>均CA</t>
    <phoneticPr fontId="1" type="noConversion"/>
  </si>
  <si>
    <t>均PA</t>
    <phoneticPr fontId="1" type="noConversion"/>
  </si>
  <si>
    <t>仍处于可增长范围牛数</t>
    <phoneticPr fontId="1" type="noConversion"/>
  </si>
  <si>
    <t>最老登</t>
    <phoneticPr fontId="1" type="noConversion"/>
  </si>
  <si>
    <t>最小登</t>
    <phoneticPr fontId="1" type="noConversion"/>
  </si>
  <si>
    <t>球场票房上赛季收入</t>
    <phoneticPr fontId="1" type="noConversion"/>
  </si>
  <si>
    <t>自由球员</t>
    <phoneticPr fontId="1" type="noConversion"/>
  </si>
  <si>
    <t>哈贾丹太平洋人</t>
    <phoneticPr fontId="1" type="noConversion"/>
  </si>
  <si>
    <t>菲尔·哈雷斯</t>
    <phoneticPr fontId="1" type="noConversion"/>
  </si>
  <si>
    <t>德国</t>
    <phoneticPr fontId="1" type="noConversion"/>
  </si>
  <si>
    <t>前锋</t>
    <phoneticPr fontId="1" type="noConversion"/>
  </si>
  <si>
    <t>拉阿纳</t>
    <phoneticPr fontId="1" type="noConversion"/>
  </si>
  <si>
    <t>全额保障</t>
    <phoneticPr fontId="1" type="noConversion"/>
  </si>
  <si>
    <t>若热·卡贝罗</t>
    <phoneticPr fontId="1" type="noConversion"/>
  </si>
  <si>
    <t>西班牙</t>
    <phoneticPr fontId="1" type="noConversion"/>
  </si>
  <si>
    <t>左边后卫，中卫</t>
    <phoneticPr fontId="1" type="noConversion"/>
  </si>
  <si>
    <t>李昶旻</t>
    <phoneticPr fontId="1" type="noConversion"/>
  </si>
  <si>
    <t>韩国</t>
    <phoneticPr fontId="1" type="noConversion"/>
  </si>
  <si>
    <t>中场，前腰</t>
    <phoneticPr fontId="1" type="noConversion"/>
  </si>
  <si>
    <t>李长根</t>
    <phoneticPr fontId="1" type="noConversion"/>
  </si>
  <si>
    <t>门将</t>
    <phoneticPr fontId="1" type="noConversion"/>
  </si>
  <si>
    <t>安东·舒曼斯基</t>
    <phoneticPr fontId="1" type="noConversion"/>
  </si>
  <si>
    <t>白俄罗斯</t>
    <phoneticPr fontId="1" type="noConversion"/>
  </si>
  <si>
    <t>岱州东岳</t>
    <phoneticPr fontId="1" type="noConversion"/>
  </si>
  <si>
    <t>费多尔·拉普霍夫</t>
    <phoneticPr fontId="1" type="noConversion"/>
  </si>
  <si>
    <t>尼拉斯·佩雷拉</t>
    <phoneticPr fontId="1" type="noConversion"/>
  </si>
  <si>
    <t>斯里兰卡，意大利</t>
    <phoneticPr fontId="1" type="noConversion"/>
  </si>
  <si>
    <t>左边后卫，左边飞翼</t>
    <phoneticPr fontId="1" type="noConversion"/>
  </si>
  <si>
    <t>弗拉季斯拉夫·托洛普</t>
    <phoneticPr fontId="1" type="noConversion"/>
  </si>
  <si>
    <t>俄罗斯</t>
    <phoneticPr fontId="1" type="noConversion"/>
  </si>
  <si>
    <t>首都-东木联合B</t>
    <phoneticPr fontId="1" type="noConversion"/>
  </si>
  <si>
    <t>高荣俊</t>
    <phoneticPr fontId="1" type="noConversion"/>
  </si>
  <si>
    <t>前腰</t>
    <phoneticPr fontId="1" type="noConversion"/>
  </si>
  <si>
    <t>已转出</t>
    <phoneticPr fontId="1" type="noConversion"/>
  </si>
  <si>
    <t>巴峰</t>
    <phoneticPr fontId="1" type="noConversion"/>
  </si>
  <si>
    <t>伊克尔·阿尔瓦雷斯</t>
    <phoneticPr fontId="1" type="noConversion"/>
  </si>
  <si>
    <t>安道尔</t>
    <phoneticPr fontId="1" type="noConversion"/>
  </si>
  <si>
    <t>伊丽莎白女王镇联合</t>
    <phoneticPr fontId="1" type="noConversion"/>
  </si>
  <si>
    <t>毛里西奥·阿马罗</t>
    <phoneticPr fontId="1" type="noConversion"/>
  </si>
  <si>
    <t>乌拉圭</t>
    <phoneticPr fontId="1" type="noConversion"/>
  </si>
  <si>
    <t>后腰，中场</t>
    <phoneticPr fontId="1" type="noConversion"/>
  </si>
  <si>
    <t>中卫、左边后卫</t>
    <phoneticPr fontId="1" type="noConversion"/>
  </si>
  <si>
    <t>中卫，左边后卫，后腰</t>
    <phoneticPr fontId="1" type="noConversion"/>
  </si>
  <si>
    <t>福井太智</t>
    <phoneticPr fontId="1" type="noConversion"/>
  </si>
  <si>
    <t>日本</t>
    <phoneticPr fontId="1" type="noConversion"/>
  </si>
  <si>
    <t>南太平洋大学色温校区</t>
    <phoneticPr fontId="1" type="noConversion"/>
  </si>
  <si>
    <t>尼古拉斯·杜贝萨斯基</t>
    <phoneticPr fontId="1" type="noConversion"/>
  </si>
  <si>
    <t>阿根廷</t>
    <phoneticPr fontId="1" type="noConversion"/>
  </si>
  <si>
    <t>伊赫桑·凡迪</t>
    <phoneticPr fontId="1" type="noConversion"/>
  </si>
  <si>
    <t>新加坡</t>
    <phoneticPr fontId="1" type="noConversion"/>
  </si>
  <si>
    <t>前腰，前锋</t>
    <phoneticPr fontId="1" type="noConversion"/>
  </si>
  <si>
    <t>奥顿兰海港</t>
    <phoneticPr fontId="1" type="noConversion"/>
  </si>
  <si>
    <t>伊尔汗·凡迪</t>
    <phoneticPr fontId="1" type="noConversion"/>
  </si>
  <si>
    <t>玩家: 小律</t>
    <phoneticPr fontId="1" type="noConversion"/>
  </si>
  <si>
    <t>皇家萨乌萨乌</t>
    <phoneticPr fontId="1" type="noConversion"/>
  </si>
  <si>
    <t>卞俊秀</t>
    <phoneticPr fontId="1" type="noConversion"/>
  </si>
  <si>
    <t>中卫</t>
    <phoneticPr fontId="1" type="noConversion"/>
  </si>
  <si>
    <t>金炳宽</t>
    <phoneticPr fontId="1" type="noConversion"/>
  </si>
  <si>
    <t>左边锋，前腰</t>
    <phoneticPr fontId="1" type="noConversion"/>
  </si>
  <si>
    <t>姜承真</t>
    <phoneticPr fontId="1" type="noConversion"/>
  </si>
  <si>
    <t>前腰，右边锋</t>
    <phoneticPr fontId="1" type="noConversion"/>
  </si>
  <si>
    <t>金承斌</t>
    <phoneticPr fontId="1" type="noConversion"/>
  </si>
  <si>
    <t>吾麦尔·法洛克·纳西姆</t>
    <phoneticPr fontId="1" type="noConversion"/>
  </si>
  <si>
    <t>巴基斯坦</t>
    <phoneticPr fontId="1" type="noConversion"/>
  </si>
  <si>
    <t>瑞安·蒂格</t>
    <phoneticPr fontId="1" type="noConversion"/>
  </si>
  <si>
    <t>澳大利亚，马来西亚</t>
    <phoneticPr fontId="1" type="noConversion"/>
  </si>
  <si>
    <t>刘浩帆</t>
    <phoneticPr fontId="1" type="noConversion"/>
  </si>
  <si>
    <t>中国</t>
    <phoneticPr fontId="1" type="noConversion"/>
  </si>
  <si>
    <t>左边后卫，中卫，左边飞翼</t>
    <phoneticPr fontId="1" type="noConversion"/>
  </si>
  <si>
    <t>张瑷珲</t>
    <phoneticPr fontId="1" type="noConversion"/>
  </si>
  <si>
    <t>中卫，右边后卫</t>
    <phoneticPr fontId="1" type="noConversion"/>
  </si>
  <si>
    <t>吉尔吉斯斯坦</t>
    <phoneticPr fontId="1" type="noConversion"/>
  </si>
  <si>
    <t>安德烈·拉克西米坎特</t>
    <phoneticPr fontId="1" type="noConversion"/>
  </si>
  <si>
    <t>印度，葡萄牙</t>
    <phoneticPr fontId="1" type="noConversion"/>
  </si>
  <si>
    <t>若埃尔·科乔</t>
    <phoneticPr fontId="1" type="noConversion"/>
  </si>
  <si>
    <t>奥顿兰海鸥</t>
    <phoneticPr fontId="1" type="noConversion"/>
  </si>
  <si>
    <t>东平雄鹰</t>
    <phoneticPr fontId="1" type="noConversion"/>
  </si>
  <si>
    <t>扬·当达</t>
    <phoneticPr fontId="1" type="noConversion"/>
  </si>
  <si>
    <t>印度</t>
    <phoneticPr fontId="1" type="noConversion"/>
  </si>
  <si>
    <t>左右边锋，前腰，中场</t>
    <phoneticPr fontId="1" type="noConversion"/>
  </si>
  <si>
    <t>穆罕默德·伊哈塔伦</t>
    <phoneticPr fontId="1" type="noConversion"/>
  </si>
  <si>
    <t>荷兰，摩洛哥</t>
    <phoneticPr fontId="1" type="noConversion"/>
  </si>
  <si>
    <t>中场，左右边锋，前腰</t>
    <phoneticPr fontId="1" type="noConversion"/>
  </si>
  <si>
    <t>胡安·克鲁斯·德洛斯桑托斯</t>
    <phoneticPr fontId="1" type="noConversion"/>
  </si>
  <si>
    <t>左右边锋</t>
    <phoneticPr fontId="1" type="noConversion"/>
  </si>
  <si>
    <t>罗伊·雷维沃</t>
    <phoneticPr fontId="1" type="noConversion"/>
  </si>
  <si>
    <t>以色列</t>
    <phoneticPr fontId="1" type="noConversion"/>
  </si>
  <si>
    <t>左边后卫</t>
    <phoneticPr fontId="1" type="noConversion"/>
  </si>
  <si>
    <t>提拉沙·菲孟姆</t>
    <phoneticPr fontId="1" type="noConversion"/>
  </si>
  <si>
    <t>泰国</t>
    <phoneticPr fontId="1" type="noConversion"/>
  </si>
  <si>
    <t>右边锋，前锋</t>
    <phoneticPr fontId="1" type="noConversion"/>
  </si>
  <si>
    <t>乔纳森·坤定</t>
    <phoneticPr fontId="1" type="noConversion"/>
  </si>
  <si>
    <t>他纳瓦·颂七纳翁</t>
    <phoneticPr fontId="1" type="noConversion"/>
  </si>
  <si>
    <t>大卫·恩瓦布埃泽</t>
    <phoneticPr fontId="1" type="noConversion"/>
  </si>
  <si>
    <t>加西亚，尼日利亚</t>
    <phoneticPr fontId="1" type="noConversion"/>
  </si>
  <si>
    <t>中卫，右边卫</t>
    <phoneticPr fontId="1" type="noConversion"/>
  </si>
  <si>
    <t>半保障</t>
    <phoneticPr fontId="1" type="noConversion"/>
  </si>
  <si>
    <t>史蒂文·楚克乌埃布卡</t>
    <phoneticPr fontId="1" type="noConversion"/>
  </si>
  <si>
    <t>加西亚，加纳</t>
    <phoneticPr fontId="1" type="noConversion"/>
  </si>
  <si>
    <t>后腰，中场，中卫</t>
    <phoneticPr fontId="1" type="noConversion"/>
  </si>
  <si>
    <t>乌切楚克乌·乌克杰</t>
    <phoneticPr fontId="1" type="noConversion"/>
  </si>
  <si>
    <t>加西亚</t>
    <phoneticPr fontId="1" type="noConversion"/>
  </si>
  <si>
    <t>前锋，左边锋，左边中场</t>
    <phoneticPr fontId="1" type="noConversion"/>
  </si>
  <si>
    <t>乌尔文·范黑克伦</t>
    <phoneticPr fontId="1" type="noConversion"/>
  </si>
  <si>
    <t>加西亚，荷兰</t>
    <phoneticPr fontId="1" type="noConversion"/>
  </si>
  <si>
    <t>坎布尔新吕伐登</t>
    <phoneticPr fontId="1" type="noConversion"/>
  </si>
  <si>
    <t>普林斯·宽萨</t>
    <phoneticPr fontId="1" type="noConversion"/>
  </si>
  <si>
    <t>右边中场，右边飞翼</t>
    <phoneticPr fontId="1" type="noConversion"/>
  </si>
  <si>
    <t>张煜玹</t>
    <phoneticPr fontId="1" type="noConversion"/>
  </si>
  <si>
    <t>中场</t>
    <phoneticPr fontId="1" type="noConversion"/>
  </si>
  <si>
    <t>李柏羽</t>
    <phoneticPr fontId="1" type="noConversion"/>
  </si>
  <si>
    <t>中场，后腰</t>
    <phoneticPr fontId="1" type="noConversion"/>
  </si>
  <si>
    <t>马雷克青春之城</t>
    <phoneticPr fontId="1" type="noConversion"/>
  </si>
  <si>
    <t>赞亚·奥多诺霍</t>
    <phoneticPr fontId="1" type="noConversion"/>
  </si>
  <si>
    <t>左右边卫，中卫</t>
    <phoneticPr fontId="1" type="noConversion"/>
  </si>
  <si>
    <t>阿尔明·斯肯德罗维奇</t>
    <phoneticPr fontId="1" type="noConversion"/>
  </si>
  <si>
    <t>右边卫</t>
    <phoneticPr fontId="1" type="noConversion"/>
  </si>
  <si>
    <t>德吉布里尔·盖耶</t>
    <phoneticPr fontId="1" type="noConversion"/>
  </si>
  <si>
    <t>后腰，中卫</t>
    <phoneticPr fontId="1" type="noConversion"/>
  </si>
  <si>
    <t>东木市职业</t>
    <phoneticPr fontId="1" type="noConversion"/>
  </si>
  <si>
    <t>蒂格·兰德</t>
    <phoneticPr fontId="1" type="noConversion"/>
  </si>
  <si>
    <t>荷兰</t>
    <phoneticPr fontId="1" type="noConversion"/>
  </si>
  <si>
    <t>黑森林球场外场</t>
    <phoneticPr fontId="1" type="noConversion"/>
  </si>
  <si>
    <t>东木市体育场</t>
    <phoneticPr fontId="1" type="noConversion"/>
  </si>
  <si>
    <t>Whitecliff Stadium球场</t>
    <phoneticPr fontId="1" type="noConversion"/>
  </si>
  <si>
    <t>阿尔特弗雷奇流浪者</t>
    <phoneticPr fontId="1" type="noConversion"/>
  </si>
  <si>
    <t>三宝敦</t>
    <phoneticPr fontId="1" type="noConversion"/>
  </si>
  <si>
    <t>西蒙尼·迪力波里</t>
    <phoneticPr fontId="1" type="noConversion"/>
  </si>
  <si>
    <t>意大利</t>
    <phoneticPr fontId="1" type="noConversion"/>
  </si>
  <si>
    <t>尼基·贝洛克</t>
    <phoneticPr fontId="1" type="noConversion"/>
  </si>
  <si>
    <t>瑞士</t>
    <phoneticPr fontId="1" type="noConversion"/>
  </si>
  <si>
    <t>齐尼奥·范赫斯登</t>
    <phoneticPr fontId="1" type="noConversion"/>
  </si>
  <si>
    <t>比利时</t>
    <phoneticPr fontId="1" type="noConversion"/>
  </si>
  <si>
    <t>中卫，后腰</t>
    <phoneticPr fontId="1" type="noConversion"/>
  </si>
  <si>
    <t>玩家：乌萨奇百宝箱</t>
    <phoneticPr fontId="1" type="noConversion"/>
  </si>
  <si>
    <t>马丁·兹洛米斯里奇</t>
    <phoneticPr fontId="1" type="noConversion"/>
  </si>
  <si>
    <t>波黑</t>
    <phoneticPr fontId="1" type="noConversion"/>
  </si>
  <si>
    <t>首都守护者</t>
    <phoneticPr fontId="1" type="noConversion"/>
  </si>
  <si>
    <t>具相珉</t>
    <phoneticPr fontId="1" type="noConversion"/>
  </si>
  <si>
    <t>金顺凯</t>
    <phoneticPr fontId="1" type="noConversion"/>
  </si>
  <si>
    <t>刘易斯·巴特</t>
    <phoneticPr fontId="1" type="noConversion"/>
  </si>
  <si>
    <t>英格兰</t>
    <phoneticPr fontId="1" type="noConversion"/>
  </si>
  <si>
    <t>法维奥·阿尔瓦雷斯</t>
    <phoneticPr fontId="1" type="noConversion"/>
  </si>
  <si>
    <t>左右边锋，前腰</t>
    <phoneticPr fontId="1" type="noConversion"/>
  </si>
  <si>
    <t>马尔科斯·保罗</t>
    <phoneticPr fontId="1" type="noConversion"/>
  </si>
  <si>
    <t>巴西，葡萄牙</t>
    <phoneticPr fontId="1" type="noConversion"/>
  </si>
  <si>
    <t>左边锋，前锋</t>
    <phoneticPr fontId="1" type="noConversion"/>
  </si>
  <si>
    <t>铁米尔兰·阿纳尔贝科夫</t>
    <phoneticPr fontId="1" type="noConversion"/>
  </si>
  <si>
    <t>哈萨克斯坦</t>
    <phoneticPr fontId="1" type="noConversion"/>
  </si>
  <si>
    <t>曹侑珉</t>
    <phoneticPr fontId="1" type="noConversion"/>
  </si>
  <si>
    <t>大卫·莫雷拉</t>
    <phoneticPr fontId="1" type="noConversion"/>
  </si>
  <si>
    <t>东帝汶，佛得角</t>
    <phoneticPr fontId="1" type="noConversion"/>
  </si>
  <si>
    <t>奥斯卡·阿里巴斯</t>
    <phoneticPr fontId="1" type="noConversion"/>
  </si>
  <si>
    <t>菲律宾</t>
    <phoneticPr fontId="1" type="noConversion"/>
  </si>
  <si>
    <t>李炫助</t>
    <phoneticPr fontId="1" type="noConversion"/>
  </si>
  <si>
    <t>金洙承</t>
    <phoneticPr fontId="1" type="noConversion"/>
  </si>
  <si>
    <t>安以恩</t>
    <phoneticPr fontId="1" type="noConversion"/>
  </si>
  <si>
    <t>中国台湾</t>
    <phoneticPr fontId="1" type="noConversion"/>
  </si>
  <si>
    <t>左右边锋，前腰，前锋</t>
    <phoneticPr fontId="1" type="noConversion"/>
  </si>
  <si>
    <t>诺维奇港</t>
    <phoneticPr fontId="1" type="noConversion"/>
  </si>
  <si>
    <t>吉列尔梅·马德鲁加</t>
    <phoneticPr fontId="1" type="noConversion"/>
  </si>
  <si>
    <t>巴西</t>
    <phoneticPr fontId="1" type="noConversion"/>
  </si>
  <si>
    <t>瓦巴萨朱树鸦B</t>
    <phoneticPr fontId="1" type="noConversion"/>
  </si>
  <si>
    <t>伊斯特伍德海岸线</t>
    <phoneticPr fontId="1" type="noConversion"/>
  </si>
  <si>
    <t>热费尼奥</t>
    <phoneticPr fontId="1" type="noConversion"/>
  </si>
  <si>
    <t>帕夫勒·瓦日奇</t>
    <phoneticPr fontId="1" type="noConversion"/>
  </si>
  <si>
    <t>瑞典、波黑</t>
    <phoneticPr fontId="1" type="noConversion"/>
  </si>
  <si>
    <t>让·克劳德·比龙</t>
    <phoneticPr fontId="1" type="noConversion"/>
  </si>
  <si>
    <t>多哥</t>
    <phoneticPr fontId="1" type="noConversion"/>
  </si>
  <si>
    <t>中卫，后腰，中场</t>
    <phoneticPr fontId="1" type="noConversion"/>
  </si>
  <si>
    <t>泽尼斯·布尔尼齐</t>
    <phoneticPr fontId="1" type="noConversion"/>
  </si>
  <si>
    <t>后腰，右中场，中场</t>
    <phoneticPr fontId="1" type="noConversion"/>
  </si>
  <si>
    <t>肖恩·戴奇</t>
    <phoneticPr fontId="1" type="noConversion"/>
  </si>
  <si>
    <t>奥西·奥莫伊胡安弗</t>
    <phoneticPr fontId="1" type="noConversion"/>
  </si>
  <si>
    <t>挪威</t>
    <phoneticPr fontId="1" type="noConversion"/>
  </si>
  <si>
    <t>威尔逊·马纳法</t>
    <phoneticPr fontId="1" type="noConversion"/>
  </si>
  <si>
    <t>葡萄牙</t>
    <phoneticPr fontId="1" type="noConversion"/>
  </si>
  <si>
    <t>右边后卫，右边飞翼，右边中场，左右边锋</t>
    <phoneticPr fontId="1" type="noConversion"/>
  </si>
  <si>
    <t>吉列尔梅·谢迪内</t>
    <phoneticPr fontId="1" type="noConversion"/>
  </si>
  <si>
    <t>若热·赫尔南德斯</t>
    <phoneticPr fontId="1" type="noConversion"/>
  </si>
  <si>
    <t>墨西哥</t>
    <phoneticPr fontId="1" type="noConversion"/>
  </si>
  <si>
    <t>伊布拉辛·阿马杜</t>
    <phoneticPr fontId="1" type="noConversion"/>
  </si>
  <si>
    <t>法国</t>
    <phoneticPr fontId="1" type="noConversion"/>
  </si>
  <si>
    <t>吴彦澍</t>
    <phoneticPr fontId="1" type="noConversion"/>
  </si>
  <si>
    <t>邓淳泽</t>
    <phoneticPr fontId="1" type="noConversion"/>
  </si>
  <si>
    <t>右边中场，右边锋</t>
    <phoneticPr fontId="1" type="noConversion"/>
  </si>
  <si>
    <t>马成浩</t>
    <phoneticPr fontId="1" type="noConversion"/>
  </si>
  <si>
    <t>贾博琰</t>
    <phoneticPr fontId="1" type="noConversion"/>
  </si>
  <si>
    <t>张志雄</t>
    <phoneticPr fontId="1" type="noConversion"/>
  </si>
  <si>
    <t>北泰克马队</t>
  </si>
  <si>
    <t>北泰克马队</t>
    <phoneticPr fontId="1" type="noConversion"/>
  </si>
  <si>
    <t>马克西米利亚诺·戈麦斯</t>
    <phoneticPr fontId="1" type="noConversion"/>
  </si>
  <si>
    <t>诺尔曼·巴塞特</t>
    <phoneticPr fontId="1" type="noConversion"/>
  </si>
  <si>
    <t>米尔扎·恰托维奇</t>
    <phoneticPr fontId="1" type="noConversion"/>
  </si>
  <si>
    <t>塞尔维亚，波黑</t>
    <phoneticPr fontId="1" type="noConversion"/>
  </si>
  <si>
    <t>新南城</t>
    <phoneticPr fontId="1" type="noConversion"/>
  </si>
  <si>
    <t>泰勒·宾顿</t>
    <phoneticPr fontId="1" type="noConversion"/>
  </si>
  <si>
    <t>新西兰</t>
    <phoneticPr fontId="1" type="noConversion"/>
  </si>
  <si>
    <t>银河竞技场</t>
    <phoneticPr fontId="1" type="noConversion"/>
  </si>
  <si>
    <t>泰克足球场</t>
    <phoneticPr fontId="1" type="noConversion"/>
  </si>
  <si>
    <t>迪沃克·奥里吉</t>
    <phoneticPr fontId="1" type="noConversion"/>
  </si>
  <si>
    <t>威灵顿·席尔瓦</t>
    <phoneticPr fontId="1" type="noConversion"/>
  </si>
  <si>
    <t>左右边锋，前锋，前腰</t>
    <phoneticPr fontId="1" type="noConversion"/>
  </si>
  <si>
    <t>斯波托普城市</t>
    <phoneticPr fontId="1" type="noConversion"/>
  </si>
  <si>
    <t>瓦莱里·卡扎伊什维利</t>
    <phoneticPr fontId="1" type="noConversion"/>
  </si>
  <si>
    <t>格鲁吉亚</t>
    <phoneticPr fontId="1" type="noConversion"/>
  </si>
  <si>
    <t>里切利</t>
    <phoneticPr fontId="1" type="noConversion"/>
  </si>
  <si>
    <t>金纹奂</t>
    <phoneticPr fontId="1" type="noConversion"/>
  </si>
  <si>
    <t>右边后卫</t>
    <phoneticPr fontId="1" type="noConversion"/>
  </si>
  <si>
    <t>马克斯·格鲁格尔</t>
    <phoneticPr fontId="1" type="noConversion"/>
  </si>
  <si>
    <t>哈卡拉托特卡海牛</t>
    <phoneticPr fontId="1" type="noConversion"/>
  </si>
  <si>
    <t>扎乌恩·哈德贾</t>
    <phoneticPr fontId="1" type="noConversion"/>
  </si>
  <si>
    <t>阿尔及利亚</t>
    <phoneticPr fontId="1" type="noConversion"/>
  </si>
  <si>
    <t>左边卫，左边飞翼</t>
    <phoneticPr fontId="1" type="noConversion"/>
  </si>
  <si>
    <t>阿奇孜别克·托尔金贝科夫</t>
    <phoneticPr fontId="1" type="noConversion"/>
  </si>
  <si>
    <t>乌兹别克斯坦</t>
    <phoneticPr fontId="1" type="noConversion"/>
  </si>
  <si>
    <t>尼古拉斯·沙特尔伯格</t>
    <phoneticPr fontId="1" type="noConversion"/>
  </si>
  <si>
    <t>奥地利</t>
    <phoneticPr fontId="1" type="noConversion"/>
  </si>
  <si>
    <t>艾曼·卡里</t>
    <phoneticPr fontId="1" type="noConversion"/>
  </si>
  <si>
    <t>穆拉哈西部</t>
    <phoneticPr fontId="1" type="noConversion"/>
  </si>
  <si>
    <t>安东尼奥·莫亚诺</t>
    <phoneticPr fontId="1" type="noConversion"/>
  </si>
  <si>
    <t>后腰，中场，前腰</t>
    <phoneticPr fontId="1" type="noConversion"/>
  </si>
  <si>
    <t>新利雅得新月</t>
    <phoneticPr fontId="1" type="noConversion"/>
  </si>
  <si>
    <t>塔佩罗·马赛科</t>
    <phoneticPr fontId="1" type="noConversion"/>
  </si>
  <si>
    <t>南非</t>
    <phoneticPr fontId="1" type="noConversion"/>
  </si>
  <si>
    <t>玩家：鹭菀苧</t>
    <phoneticPr fontId="1" type="noConversion"/>
  </si>
  <si>
    <t>谢尔汉·卡姆尔扎</t>
    <phoneticPr fontId="1" type="noConversion"/>
  </si>
  <si>
    <t>刘易斯·米勒</t>
    <phoneticPr fontId="1" type="noConversion"/>
  </si>
  <si>
    <t>澳大利亚</t>
    <phoneticPr fontId="1" type="noConversion"/>
  </si>
  <si>
    <t>右边后卫，中后卫，右边飞翼</t>
    <phoneticPr fontId="1" type="noConversion"/>
  </si>
  <si>
    <t>安塔尔·雅克比什维利</t>
    <phoneticPr fontId="1" type="noConversion"/>
  </si>
  <si>
    <t>匈牙利</t>
    <phoneticPr fontId="1" type="noConversion"/>
  </si>
  <si>
    <t>格奥尔基·朱可夫</t>
    <phoneticPr fontId="1" type="noConversion"/>
  </si>
  <si>
    <t>塔里克·卡里奇</t>
    <phoneticPr fontId="1" type="noConversion"/>
  </si>
  <si>
    <t>达尔文·瓜瓜</t>
    <phoneticPr fontId="1" type="noConversion"/>
  </si>
  <si>
    <t>厄瓜多尔</t>
    <phoneticPr fontId="1" type="noConversion"/>
  </si>
  <si>
    <t>前腰，左边锋</t>
    <phoneticPr fontId="1" type="noConversion"/>
  </si>
  <si>
    <t>元斗载</t>
    <phoneticPr fontId="1" type="noConversion"/>
  </si>
  <si>
    <t>肯尼特·埃奇霍恩</t>
    <phoneticPr fontId="1" type="noConversion"/>
  </si>
  <si>
    <t>赫塞·科尔多瓦</t>
    <phoneticPr fontId="1" type="noConversion"/>
  </si>
  <si>
    <t>巴拿马</t>
    <phoneticPr fontId="1" type="noConversion"/>
  </si>
  <si>
    <t>左后卫，中卫</t>
    <phoneticPr fontId="1" type="noConversion"/>
  </si>
  <si>
    <t>雨果·坎比罗斯</t>
    <phoneticPr fontId="1" type="noConversion"/>
  </si>
  <si>
    <t>右边锋，前腰</t>
    <phoneticPr fontId="1" type="noConversion"/>
  </si>
  <si>
    <t>哈克竞技</t>
  </si>
  <si>
    <t>哈克竞技</t>
    <phoneticPr fontId="1" type="noConversion"/>
  </si>
  <si>
    <t>哈克足球场</t>
    <phoneticPr fontId="1" type="noConversion"/>
  </si>
  <si>
    <t>道莱特·奥延巴萨尔</t>
    <phoneticPr fontId="1" type="noConversion"/>
  </si>
  <si>
    <t>三宝敦乐邦战士</t>
  </si>
  <si>
    <t>三宝敦乐邦战士</t>
    <phoneticPr fontId="1" type="noConversion"/>
  </si>
  <si>
    <t>/</t>
    <phoneticPr fontId="1" type="noConversion"/>
  </si>
  <si>
    <t>英国足总杯预选赛阶段第一圈</t>
    <phoneticPr fontId="1" type="noConversion"/>
  </si>
  <si>
    <t>球员卡面</t>
    <phoneticPr fontId="1" type="noConversion"/>
  </si>
  <si>
    <t>球员卡身</t>
    <phoneticPr fontId="1" type="noConversion"/>
  </si>
  <si>
    <t>https://i.pinimg.com/564x/89/b5/39/89b5392d6321520990ce45b123a24edc.jpg</t>
    <phoneticPr fontId="1" type="noConversion"/>
  </si>
  <si>
    <t>https://i.pinimg.com/564x/89/b5/39/89b5392d6321520990ce45b123a25edc.jpg</t>
  </si>
  <si>
    <t>https://i.pinimg.com/564x/89/b5/39/89b5392d6321520990ce45b123a26edc.jpg</t>
  </si>
  <si>
    <t>https://i.pinimg.com/564x/89/b5/39/89b5392d6321520990ce45b123a27edc.jpg</t>
  </si>
  <si>
    <t>https://i.pinimg.com/564x/89/b5/39/89b5392d6321520990ce45b123a28edc.jpg</t>
  </si>
  <si>
    <t>https://i.pinimg.com/564x/89/b5/39/89b5392d6321520990ce45b123a29edc.jpg</t>
  </si>
  <si>
    <t>https://i.pinimg.com/564x/89/b5/39/89b5392d6321520990ce45b123a30edc.jpg</t>
  </si>
  <si>
    <t>https://i.pinimg.com/564x/89/b5/39/89b5392d6321520990ce45b123a31edc.jpg</t>
  </si>
  <si>
    <t>https://i.pinimg.com/564x/89/b5/39/89b5392d6321520990ce45b123a32edc.jpg</t>
  </si>
  <si>
    <t>https://i.pinimg.com/564x/89/b5/39/89b5392d6321520990ce45b123a33edc.jpg</t>
  </si>
  <si>
    <t>https://i.pinimg.com/564x/89/b5/39/89b5392d6321520990ce45b123a34edc.jpg</t>
  </si>
  <si>
    <t>https://i.pinimg.com/564x/89/b5/39/89b5392d6321520990ce45b123a35edc.jpg</t>
  </si>
  <si>
    <t>https://i.pinimg.com/564x/89/b5/39/89b5392d6321520990ce45b123a36edc.jpg</t>
  </si>
  <si>
    <t>https://i.pinimg.com/564x/89/b5/39/89b5392d6321520990ce45b123a37edc.jpg</t>
  </si>
  <si>
    <t>https://i.pinimg.com/564x/89/b5/39/89b5392d6321520990ce45b123a38edc.jpg</t>
  </si>
  <si>
    <t>https://i.pinimg.com/564x/89/b5/39/89b5392d6321520990ce45b123a39edc.jpg</t>
  </si>
  <si>
    <t>https://i.pinimg.com/564x/89/b5/39/89b5392d6321520990ce45b123a40edc.jpg</t>
  </si>
  <si>
    <t>https://i.pinimg.com/564x/89/b5/39/89b5392d6321520990ce45b123a41edc.jpg</t>
  </si>
  <si>
    <t>https://i.pinimg.com/564x/89/b5/39/89b5392d6321520990ce45b123a42edc.jpg</t>
  </si>
  <si>
    <t>https://i.pinimg.com/564x/89/b5/39/89b5392d6321520990ce45b123a43edc.jpg</t>
  </si>
  <si>
    <t>https://i.pinimg.com/564x/89/b5/39/89b5392d6321520990ce45b123a44edc.jpg</t>
  </si>
  <si>
    <t>https://i.pinimg.com/564x/89/b5/39/89b5392d6321520990ce45b123a45edc.jpg</t>
  </si>
  <si>
    <t>https://i.pinimg.com/564x/89/b5/39/89b5392d6321520990ce45b123a46edc.jpg</t>
  </si>
  <si>
    <t>https://i.pinimg.com/564x/89/b5/39/89b5392d6321520990ce45b123a47edc.jpg</t>
  </si>
  <si>
    <t>https://i.pinimg.com/564x/89/b5/39/89b5392d6321520990ce45b123a48edc.jpg</t>
  </si>
  <si>
    <t>https://i.pinimg.com/564x/89/b5/39/89b5392d6321520990ce45b123a49edc.jpg</t>
  </si>
  <si>
    <t>https://i.pinimg.com/564x/89/b5/39/89b5392d6321520990ce45b123a50edc.jpg</t>
  </si>
  <si>
    <t>https://i.pinimg.com/564x/89/b5/39/89b5392d6321520990ce45b123a51edc.jpg</t>
  </si>
  <si>
    <t>https://i.pinimg.com/564x/89/b5/39/89b5392d6321520990ce45b123a52edc.jpg</t>
  </si>
  <si>
    <t>https://i.pinimg.com/564x/89/b5/39/89b5392d6321520990ce45b123a53edc.jpg</t>
  </si>
  <si>
    <t>https://i.pinimg.com/564x/89/b5/39/89b5392d6321520990ce45b123a54edc.jpg</t>
  </si>
  <si>
    <t>https://i.pinimg.com/564x/89/b5/39/89b5392d6321520990ce45b123a55edc.jpg</t>
  </si>
  <si>
    <t>https://i.pinimg.com/564x/89/b5/39/89b5392d6321520990ce45b123a56edc.jpg</t>
  </si>
  <si>
    <t>https://i.pinimg.com/564x/89/b5/39/89b5392d6321520990ce45b123a57edc.jpg</t>
  </si>
  <si>
    <t>https://i.pinimg.com/564x/89/b5/39/89b5392d6321520990ce45b123a58edc.jpg</t>
  </si>
  <si>
    <t>https://i.pinimg.com/564x/89/b5/39/89b5392d6321520990ce45b123a59edc.jpg</t>
  </si>
  <si>
    <t>https://i.pinimg.com/564x/89/b5/39/89b5392d6321520990ce45b123a60edc.jpg</t>
  </si>
  <si>
    <t>https://i.pinimg.com/564x/89/b5/39/89b5392d6321520990ce45b123a61edc.jpg</t>
  </si>
  <si>
    <t>https://i.pinimg.com/564x/89/b5/39/89b5392d6321520990ce45b123a62edc.jpg</t>
  </si>
  <si>
    <t>https://i.pinimg.com/564x/89/b5/39/89b5392d6321520990ce45b123a63edc.jpg</t>
  </si>
  <si>
    <t>https://i.pinimg.com/564x/89/b5/39/89b5392d6321520990ce45b123a64edc.jpg</t>
  </si>
  <si>
    <t>https://i.pinimg.com/564x/89/b5/39/89b5392d6321520990ce45b123a65edc.jpg</t>
  </si>
  <si>
    <t>https://i.pinimg.com/564x/89/b5/39/89b5392d6321520990ce45b123a66edc.jpg</t>
  </si>
  <si>
    <t>https://i.pinimg.com/564x/89/b5/39/89b5392d6321520990ce45b123a67edc.jpg</t>
  </si>
  <si>
    <t>https://i.pinimg.com/564x/89/b5/39/89b5392d6321520990ce45b123a68edc.jpg</t>
  </si>
  <si>
    <t>https://i.pinimg.com/564x/89/b5/39/89b5392d6321520990ce45b123a69edc.jpg</t>
  </si>
  <si>
    <t>https://i.pinimg.com/564x/89/b5/39/89b5392d6321520990ce45b123a70edc.jpg</t>
  </si>
  <si>
    <t>https://i.pinimg.com/564x/89/b5/39/89b5392d6321520990ce45b123a71edc.jpg</t>
  </si>
  <si>
    <t>https://i.pinimg.com/564x/89/b5/39/89b5392d6321520990ce45b123a72edc.jpg</t>
  </si>
  <si>
    <t>https://i.pinimg.com/564x/89/b5/39/89b5392d6321520990ce45b123a73edc.jpg</t>
  </si>
  <si>
    <t>https://i.pinimg.com/564x/89/b5/39/89b5392d6321520990ce45b123a74edc.jpg</t>
  </si>
  <si>
    <t>https://i.pinimg.com/564x/89/b5/39/89b5392d6321520990ce45b123a75edc.jpg</t>
  </si>
  <si>
    <t>https://i.pinimg.com/564x/89/b5/39/89b5392d6321520990ce45b123a76edc.jpg</t>
  </si>
  <si>
    <t>https://i.pinimg.com/564x/89/b5/39/89b5392d6321520990ce45b123a77edc.jpg</t>
  </si>
  <si>
    <t>https://i.pinimg.com/564x/89/b5/39/89b5392d6321520990ce45b123a78edc.jpg</t>
  </si>
  <si>
    <t>https://i.pinimg.com/564x/89/b5/39/89b5392d6321520990ce45b123a79edc.jpg</t>
  </si>
  <si>
    <t>https://i.pinimg.com/564x/89/b5/39/89b5392d6321520990ce45b123a80edc.jpg</t>
  </si>
  <si>
    <t>https://i.pinimg.com/564x/89/b5/39/89b5392d6321520990ce45b123a81edc.jpg</t>
  </si>
  <si>
    <t>https://i.pinimg.com/564x/89/b5/39/89b5392d6321520990ce45b123a82edc.jpg</t>
  </si>
  <si>
    <t>https://i.pinimg.com/564x/89/b5/39/89b5392d6321520990ce45b123a83edc.jpg</t>
  </si>
  <si>
    <t>https://i.pinimg.com/564x/89/b5/39/89b5392d6321520990ce45b123a84edc.jpg</t>
  </si>
  <si>
    <t>https://i.pinimg.com/564x/89/b5/39/89b5392d6321520990ce45b123a85edc.jpg</t>
  </si>
  <si>
    <t>https://i.pinimg.com/564x/89/b5/39/89b5392d6321520990ce45b123a86edc.jpg</t>
  </si>
  <si>
    <t>https://i.pinimg.com/564x/89/b5/39/89b5392d6321520990ce45b123a87edc.jpg</t>
  </si>
  <si>
    <t>https://i.pinimg.com/564x/89/b5/39/89b5392d6321520990ce45b123a88edc.jpg</t>
  </si>
  <si>
    <t>https://i.pinimg.com/564x/89/b5/39/89b5392d6321520990ce45b123a89edc.jpg</t>
  </si>
  <si>
    <t>https://i.pinimg.com/564x/89/b5/39/89b5392d6321520990ce45b123a90edc.jpg</t>
  </si>
  <si>
    <t>https://i.pinimg.com/564x/89/b5/39/89b5392d6321520990ce45b123a91edc.jpg</t>
  </si>
  <si>
    <t>https://i.pinimg.com/564x/89/b5/39/89b5392d6321520990ce45b123a92edc.jpg</t>
  </si>
  <si>
    <t>https://i.pinimg.com/564x/89/b5/39/89b5392d6321520990ce45b123a93edc.jpg</t>
  </si>
  <si>
    <t>https://i.pinimg.com/564x/89/b5/39/89b5392d6321520990ce45b123a94edc.jpg</t>
  </si>
  <si>
    <t>https://i.pinimg.com/564x/89/b5/39/89b5392d6321520990ce45b123a95edc.jpg</t>
  </si>
  <si>
    <t>https://i.pinimg.com/564x/89/b5/39/89b5392d6321520990ce45b123a96edc.jpg</t>
  </si>
  <si>
    <t>https://i.pinimg.com/564x/89/b5/39/89b5392d6321520990ce45b123a97edc.jpg</t>
  </si>
  <si>
    <t>https://i.pinimg.com/564x/89/b5/39/89b5392d6321520990ce45b123a98edc.jpg</t>
  </si>
  <si>
    <t>https://i.pinimg.com/564x/89/b5/39/89b5392d6321520990ce45b123a99edc.jpg</t>
  </si>
  <si>
    <t>https://i.pinimg.com/564x/89/b5/39/89b5392d6321520990ce45b123a100edc.jpg</t>
  </si>
  <si>
    <t>https://i.pinimg.com/564x/89/b5/39/89b5392d6321520990ce45b123a101edc.jpg</t>
  </si>
  <si>
    <t>https://i.pinimg.com/564x/89/b5/39/89b5392d6321520990ce45b123a102edc.jpg</t>
  </si>
  <si>
    <t>https://i.pinimg.com/564x/89/b5/39/89b5392d6321520990ce45b123a103edc.jpg</t>
  </si>
  <si>
    <t>https://i.pinimg.com/564x/89/b5/39/89b5392d6321520990ce45b123a104edc.jpg</t>
  </si>
  <si>
    <t>https://i.pinimg.com/564x/89/b5/39/89b5392d6321520990ce45b123a105edc.jpg</t>
  </si>
  <si>
    <t>https://i.pinimg.com/564x/89/b5/39/89b5392d6321520990ce45b123a106edc.jpg</t>
  </si>
  <si>
    <t>https://i.pinimg.com/564x/89/b5/39/89b5392d6321520990ce45b123a107edc.jpg</t>
  </si>
  <si>
    <t>https://i.pinimg.com/564x/89/b5/39/89b5392d6321520990ce45b123a108edc.jpg</t>
  </si>
  <si>
    <t>https://i.pinimg.com/564x/89/b5/39/89b5392d6321520990ce45b123a109edc.jpg</t>
  </si>
  <si>
    <t>https://i.pinimg.com/564x/89/b5/39/89b5392d6321520990ce45b123a110edc.jpg</t>
  </si>
  <si>
    <t>https://i.pinimg.com/564x/89/b5/39/89b5392d6321520990ce45b123a111edc.jpg</t>
  </si>
  <si>
    <t>https://i.pinimg.com/564x/89/b5/39/89b5392d6321520990ce45b123a112edc.jpg</t>
  </si>
  <si>
    <t>https://i.pinimg.com/564x/89/b5/39/89b5392d6321520990ce45b123a113edc.jpg</t>
  </si>
  <si>
    <t>https://i.pinimg.com/564x/89/b5/39/89b5392d6321520990ce45b123a114edc.jpg</t>
  </si>
  <si>
    <t>https://i.pinimg.com/564x/89/b5/39/89b5392d6321520990ce45b123a115edc.jpg</t>
  </si>
  <si>
    <t>https://i.pinimg.com/564x/89/b5/39/89b5392d6321520990ce45b123a116edc.jpg</t>
  </si>
  <si>
    <t>https://i.pinimg.com/564x/89/b5/39/89b5392d6321520990ce45b123a117edc.jpg</t>
  </si>
  <si>
    <t>https://i.pinimg.com/564x/89/b5/39/89b5392d6321520990ce45b123a118edc.jpg</t>
  </si>
  <si>
    <t>https://i.pinimg.com/564x/89/b5/39/89b5392d6321520990ce45b123a119edc.jpg</t>
  </si>
  <si>
    <t>https://i.pinimg.com/564x/89/b5/39/89b5392d6321520990ce45b123a120edc.jpg</t>
  </si>
  <si>
    <t>https://i.pinimg.com/564x/89/b5/39/89b5392d6321520990ce45b123a121edc.jpg</t>
  </si>
  <si>
    <t>https://i.pinimg.com/564x/89/b5/39/89b5392d6321520990ce45b123a122edc.jpg</t>
  </si>
  <si>
    <t>https://i.pinimg.com/564x/89/b5/39/89b5392d6321520990ce45b123a123edc.jpg</t>
  </si>
  <si>
    <t>https://i.pinimg.com/564x/89/b5/39/89b5392d6321520990ce45b123a124edc.jpg</t>
  </si>
  <si>
    <t>https://i.pinimg.com/564x/89/b5/39/89b5392d6321520990ce45b123a125edc.jpg</t>
  </si>
  <si>
    <t>https://i.pinimg.com/564x/89/b5/39/89b5392d6321520990ce45b123a126edc.jpg</t>
  </si>
  <si>
    <t>https://i.pinimg.com/564x/89/b5/39/89b5392d6321520990ce45b123a127edc.jpg</t>
  </si>
  <si>
    <t>https://i.pinimg.com/564x/89/b5/39/89b5392d6321520990ce45b123a128edc.jpg</t>
  </si>
  <si>
    <t>https://i.pinimg.com/564x/89/b5/39/89b5392d6321520990ce45b123a129edc.jpg</t>
  </si>
  <si>
    <t>https://i.pinimg.com/564x/89/b5/39/89b5392d6321520990ce45b123a130edc.jpg</t>
  </si>
  <si>
    <t>https://i.pinimg.com/564x/89/b5/39/89b5392d6321520990ce45b123a131edc.jpg</t>
  </si>
  <si>
    <t>https://i.pinimg.com/564x/89/b5/39/89b5392d6321520990ce45b123a132edc.jpg</t>
  </si>
  <si>
    <t>https://i.pinimg.com/564x/89/b5/39/89b5392d6321520990ce45b123a133edc.jpg</t>
  </si>
  <si>
    <t>https://i.pinimg.com/564x/89/b5/39/89b5392d6321520990ce45b123a134edc.jpg</t>
  </si>
  <si>
    <t>https://i.pinimg.com/564x/89/b5/39/89b5392d6321520990ce45b123a135edc.jpg</t>
  </si>
  <si>
    <t>https://i.pinimg.com/564x/89/b5/39/89b5392d6321520990ce45b123a136edc.jpg</t>
  </si>
  <si>
    <t>https://i.pinimg.com/564x/89/b5/39/89b5392d6321520990ce45b123a137edc.jpg</t>
  </si>
  <si>
    <t>https://i.pinimg.com/564x/89/b5/39/89b5392d6321520990ce45b123a138edc.jpg</t>
  </si>
  <si>
    <t>https://i.pinimg.com/564x/89/b5/39/89b5392d6321520990ce45b123a139edc.jpg</t>
  </si>
  <si>
    <t>https://i.pinimg.com/564x/89/b5/39/89b5392d6321520990ce45b123a140edc.jpg</t>
  </si>
  <si>
    <t>https://i.pinimg.com/564x/89/b5/39/89b5392d6321520990ce45b123a141edc.jpg</t>
  </si>
  <si>
    <t>https://i.pinimg.com/564x/89/b5/39/89b5392d6321520990ce45b123a142edc.jpg</t>
  </si>
  <si>
    <t>https://i.pinimg.com/564x/89/b5/39/89b5392d6321520990ce45b123a143edc.jpg</t>
  </si>
  <si>
    <t>https://i.pinimg.com/564x/89/b5/39/89b5392d6321520990ce45b123a144edc.jpg</t>
  </si>
  <si>
    <t>https://i.pinimg.com/564x/89/b5/39/89b5392d6321520990ce45b123a145edc.jpg</t>
  </si>
  <si>
    <t>https://i.pinimg.com/564x/89/b5/39/89b5392d6321520990ce45b123a146edc.jpg</t>
  </si>
  <si>
    <t>https://i.pinimg.com/564x/89/b5/39/89b5392d6321520990ce45b123a147edc.jpg</t>
  </si>
  <si>
    <t>https://i.pinimg.com/564x/89/b5/39/89b5392d6321520990ce45b123a148edc.jpg</t>
  </si>
  <si>
    <t>https://i.pinimg.com/564x/89/b5/39/89b5392d6321520990ce45b123a149edc.jpg</t>
  </si>
  <si>
    <t>https://i.pinimg.com/564x/89/b5/39/89b5392d6321520990ce45b123a150edc.jpg</t>
  </si>
  <si>
    <t>https://i.pinimg.com/564x/89/b5/39/89b5392d6321520990ce45b123a151edc.jpg</t>
  </si>
  <si>
    <t>https://i.pinimg.com/564x/89/b5/39/89b5392d6321520990ce45b123a152edc.jpg</t>
  </si>
  <si>
    <t>https://i.pinimg.com/564x/89/b5/39/89b5392d6321520990ce45b123a153edc.jpg</t>
  </si>
  <si>
    <t>https://i.pinimg.com/564x/89/b5/39/89b5392d6321520990ce45b123a154edc.jpg</t>
  </si>
  <si>
    <t>https://i.pinimg.com/564x/89/b5/39/89b5392d6321520990ce45b123a155edc.jpg</t>
  </si>
  <si>
    <t>https://i.pinimg.com/564x/89/b5/39/89b5392d6321520990ce45b123a156edc.jpg</t>
  </si>
  <si>
    <t>https://i.pinimg.com/564x/89/b5/39/89b5392d6321520990ce45b123a157edc.jpg</t>
  </si>
  <si>
    <t>https://i.pinimg.com/564x/89/b5/39/89b5392d6321520990ce45b123a158edc.jpg</t>
  </si>
  <si>
    <t>https://i.pinimg.com/564x/89/b5/39/89b5392d6321520990ce45b123a159edc.jpg</t>
  </si>
  <si>
    <t>https://i.pinimg.com/564x/89/b5/39/89b5392d6321520990ce45b123a160edc.jpg</t>
  </si>
  <si>
    <t>https://i.pinimg.com/564x/89/b5/39/89b5392d6321520990ce45b123a161edc.jpg</t>
  </si>
  <si>
    <t>https://i.pinimg.com/564x/89/b5/39/89b5392d6321520990ce45b123a162edc.jpg</t>
  </si>
  <si>
    <t>https://i.pinimg.com/564x/89/b5/39/89b5392d6321520990ce45b123a163edc.jpg</t>
  </si>
  <si>
    <t>https://i.pinimg.com/564x/89/b5/39/89b5392d6321520990ce45b123a164edc.jpg</t>
  </si>
  <si>
    <t>https://i.pinimg.com/564x/89/b5/39/89b5392d6321520990ce45b123a165edc.jpg</t>
  </si>
  <si>
    <t>https://i.pinimg.com/564x/89/b5/39/89b5392d6321520990ce45b123a166edc.jpg</t>
  </si>
  <si>
    <t>https://i.pinimg.com/564x/89/b5/39/89b5392d6321520990ce45b123a167edc.jpg</t>
  </si>
  <si>
    <t>https://i.pinimg.com/564x/89/b5/39/89b5392d6321520990ce45b123a168edc.jpg</t>
  </si>
  <si>
    <t>https://i.pinimg.com/564x/89/b5/39/89b5392d6321520990ce45b123a169edc.jpg</t>
  </si>
  <si>
    <t>https://i.pinimg.com/564x/89/b5/39/89b5392d6321520990ce45b123a170edc.jpg</t>
  </si>
  <si>
    <t>https://i.pinimg.com/564x/89/b5/39/89b5392d6321520990ce45b123a171edc.jpg</t>
  </si>
  <si>
    <t>https://i.pinimg.com/564x/89/b5/39/89b5392d6321520990ce45b123a172edc.jpg</t>
  </si>
  <si>
    <t>https://i.pinimg.com/564x/89/b5/39/89b5392d6321520990ce45b123a173edc.jpg</t>
  </si>
  <si>
    <t>https://i.pinimg.com/564x/89/b5/39/89b5392d6321520990ce45b123a174edc.jpg</t>
  </si>
  <si>
    <t>https://i.pinimg.com/564x/89/b5/39/89b5392d6321520990ce45b123a175edc.jpg</t>
  </si>
  <si>
    <t>https://i.pinimg.com/564x/89/b5/39/89b5392d6321520990ce45b123a176edc.jpg</t>
  </si>
  <si>
    <t>https://i.pinimg.com/564x/89/b5/39/89b5392d6321520990ce45b123a177edc.jpg</t>
  </si>
  <si>
    <t>https://i.pinimg.com/564x/89/b5/39/89b5392d6321520990ce45b123a178edc.jpg</t>
  </si>
  <si>
    <t>https://i.pinimg.com/564x/89/b5/39/89b5392d6321520990ce45b123a179edc.jpg</t>
  </si>
  <si>
    <t>https://i.pinimg.com/564x/89/b5/39/89b5392d6321520990ce45b123a180edc.jpg</t>
  </si>
  <si>
    <t>https://i.pinimg.com/564x/89/b5/39/89b5392d6321520990ce45b123a181edc.jpg</t>
  </si>
  <si>
    <t>https://i.pinimg.com/564x/89/b5/39/89b5392d6321520990ce45b123a182edc.jpg</t>
  </si>
  <si>
    <t>https://i.pinimg.com/564x/89/b5/39/89b5392d6321520990ce45b123a183edc.jpg</t>
  </si>
  <si>
    <t>https://i.pinimg.com/564x/89/b5/39/89b5392d6321520990ce45b123a184edc.jpg</t>
  </si>
  <si>
    <t>https://i.pinimg.com/564x/89/b5/39/89b5392d6321520990ce45b123a185edc.jpg</t>
  </si>
  <si>
    <t>https://i.pinimg.com/564x/89/b5/39/89b5392d6321520990ce45b123a186edc.jpg</t>
  </si>
  <si>
    <t>https://i.pinimg.com/564x/89/b5/39/89b5392d6321520990ce45b123a187edc.jpg</t>
  </si>
  <si>
    <t>https://i.pinimg.com/564x/89/b5/39/89b5392d6321520990ce45b123a188edc.jpg</t>
  </si>
  <si>
    <t>https://i.pinimg.com/564x/89/b5/39/89b5392d6321520990ce45b123a189edc.jpg</t>
  </si>
  <si>
    <t>https://i.pinimg.com/564x/89/b5/39/89b5392d6321520990ce45b123a190edc.jpg</t>
  </si>
  <si>
    <t>https://i.pinimg.com/564x/89/b5/39/89b5392d6321520990ce45b123a191edc.jpg</t>
  </si>
  <si>
    <t>https://i.pinimg.com/564x/89/b5/39/89b5392d6321520990ce45b123a192edc.jpg</t>
  </si>
  <si>
    <t>https://i.pinimg.com/564x/89/b5/39/89b5392d6321520990ce45b123a193edc.jpg</t>
  </si>
  <si>
    <t>https://i.pinimg.com/564x/89/b5/39/89b5392d6321520990ce45b123a194edc.jpg</t>
  </si>
  <si>
    <t>https://i.pinimg.com/564x/89/b5/39/89b5392d6321520990ce45b123a195edc.jpg</t>
  </si>
  <si>
    <t>https://i.pinimg.com/564x/89/b5/39/89b5392d6321520990ce45b123a196edc.jpg</t>
  </si>
  <si>
    <t>https://i.pinimg.com/564x/89/b5/39/89b5392d6321520990ce45b123a197edc.jpg</t>
  </si>
  <si>
    <t>https://i.pinimg.com/564x/89/b5/39/89b5392d6321520990ce45b123a198edc.jpg</t>
  </si>
  <si>
    <t>https://i.pinimg.com/564x/89/b5/39/89b5392d6321520990ce45b123a199edc.jpg</t>
  </si>
  <si>
    <t>https://i.pinimg.com/564x/89/b5/39/89b5392d6321520990ce45b123a200edc.jpg</t>
  </si>
  <si>
    <t>https://i.pinimg.com/564x/89/b5/39/89b5392d6321520990ce45b123a201edc.jpg</t>
  </si>
  <si>
    <t>https://i.pinimg.com/564x/89/b5/39/89b5392d6321520990ce45b123a202edc.jpg</t>
  </si>
  <si>
    <t>https://i.pinimg.com/564x/89/b5/39/89b5392d6321520990ce45b123a203edc.jpg</t>
  </si>
  <si>
    <t>https://i.pinimg.com/564x/89/b5/39/89b5392d6321520990ce45b123a204edc.jpg</t>
  </si>
  <si>
    <t>https://i.pinimg.com/564x/89/b5/39/89b5392d6321520990ce45b123a205edc.jpg</t>
  </si>
  <si>
    <t>https://i.pinimg.com/564x/89/b5/39/89b5392d6321520990ce45b123a206edc.jpg</t>
  </si>
  <si>
    <t>https://i.pinimg.com/564x/89/b5/39/89b5392d6321520990ce45b123a207edc.jpg</t>
  </si>
  <si>
    <t>https://i.pinimg.com/564x/89/b5/39/89b5392d6321520990ce45b123a208edc.jpg</t>
  </si>
  <si>
    <t>https://i.pinimg.com/564x/89/b5/39/89b5392d6321520990ce45b123a209edc.jpg</t>
  </si>
  <si>
    <t>https://i.pinimg.com/564x/89/b5/39/89b5392d6321520990ce45b123a210edc.jpg</t>
  </si>
  <si>
    <t>https://i.pinimg.com/564x/89/b5/39/89b5392d6321520990ce45b123a211edc.jpg</t>
  </si>
  <si>
    <t>https://i.pinimg.com/564x/89/b5/39/89b5392d6321520990ce45b123a212edc.jpg</t>
  </si>
  <si>
    <t>https://i.pinimg.com/564x/89/b5/39/89b5392d6321520990ce45b123a213edc.jpg</t>
  </si>
  <si>
    <t>https://i.pinimg.com/564x/89/b5/39/89b5392d6321520990ce45b123a214edc.jpg</t>
  </si>
  <si>
    <t>https://i.pinimg.com/564x/89/b5/39/89b5392d6321520990ce45b123a215edc.jpg</t>
  </si>
  <si>
    <t>https://i.pinimg.com/564x/89/b5/39/89b5392d6321520990ce45b123a216edc.jpg</t>
  </si>
  <si>
    <t>https://i.pinimg.com/564x/89/b5/39/89b5392d6321520990ce45b123a217edc.jpg</t>
  </si>
  <si>
    <t>https://i.pinimg.com/564x/89/b5/39/89b5392d6321520990ce45b123a218edc.jpg</t>
  </si>
  <si>
    <t>https://i.pinimg.com/564x/89/b5/39/89b5392d6321520990ce45b123a219edc.jpg</t>
  </si>
  <si>
    <t>https://i.pinimg.com/564x/89/b5/39/89b5392d6321520990ce45b123a220edc.jpg</t>
  </si>
  <si>
    <t>https://i.pinimg.com/564x/89/b5/39/89b5392d6321520990ce45b123a221edc.jpg</t>
  </si>
  <si>
    <t>https://i.pinimg.com/564x/89/b5/39/89b5392d6321520990ce45b123a222edc.jpg</t>
  </si>
  <si>
    <t>https://i.pinimg.com/564x/89/b5/39/89b5392d6321520990ce45b123a223edc.jpg</t>
  </si>
  <si>
    <t>https://i.pinimg.com/564x/89/b5/39/89b5392d6321520990ce45b123a224edc.jpg</t>
  </si>
  <si>
    <t>https://i.pinimg.com/564x/89/b5/39/89b5392d6321520990ce45b123a225edc.jpg</t>
  </si>
  <si>
    <t>https://i.pinimg.com/564x/89/b5/39/89b5392d6321520990ce45b123a226edc.jpg</t>
  </si>
  <si>
    <t>https://i.pinimg.com/564x/89/b5/39/89b5392d6321520990ce45b123a227edc.jpg</t>
  </si>
  <si>
    <t>https://i.pinimg.com/564x/89/b5/39/89b5392d6321520990ce45b123a228edc.jpg</t>
  </si>
  <si>
    <t>https://i.pinimg.com/564x/89/b5/39/89b5392d6321520990ce45b123a229edc.jpg</t>
  </si>
  <si>
    <t>https://i.pinimg.com/564x/89/b5/39/89b5392d6321520990ce45b123a230edc.jpg</t>
  </si>
  <si>
    <t>https://i.pinimg.com/564x/89/b5/39/89b5392d6321520990ce45b123a231edc.jpg</t>
  </si>
  <si>
    <t>https://i.pinimg.com/564x/89/b5/39/89b5392d6321520990ce45b123a232edc.jpg</t>
  </si>
  <si>
    <t>https://i.pinimg.com/564x/89/b5/39/89b5392d6321520990ce45b123a233edc.jpg</t>
  </si>
  <si>
    <t>https://i.pinimg.com/564x/89/b5/39/89b5392d6321520990ce45b123a234edc.jpg</t>
  </si>
  <si>
    <t>https://i.pinimg.com/564x/89/b5/39/89b5392d6321520990ce45b123a235edc.jpg</t>
  </si>
  <si>
    <t>https://i.pinimg.com/564x/89/b5/39/89b5392d6321520990ce45b123a236edc.jpg</t>
  </si>
  <si>
    <t>https://i.pinimg.com/564x/89/b5/39/89b5392d6321520990ce45b123a237edc.jpg</t>
  </si>
  <si>
    <t>https://i.pinimg.com/564x/89/b5/39/89b5392d6321520990ce45b123a238edc.jpg</t>
  </si>
  <si>
    <t>https://i.pinimg.com/564x/89/b5/39/89b5392d6321520990ce45b123a239edc.jpg</t>
  </si>
  <si>
    <t>https://i.pinimg.com/564x/89/b5/39/89b5392d6321520990ce45b123a240edc.jpg</t>
  </si>
  <si>
    <t>https://i.pinimg.com/564x/89/b5/39/89b5392d6321520990ce45b123a241edc.jpg</t>
  </si>
  <si>
    <t>https://i.pinimg.com/564x/89/b5/39/89b5392d6321520990ce45b123a242edc.jpg</t>
  </si>
  <si>
    <t>https://i.pinimg.com/564x/89/b5/39/89b5392d6321520990ce45b123a243edc.jpg</t>
  </si>
  <si>
    <t>https://i.pinimg.com/564x/89/b5/39/89b5392d6321520990ce45b123a244edc.jpg</t>
  </si>
  <si>
    <t>https://i.pinimg.com/564x/89/b5/39/89b5392d6321520990ce45b123a245edc.jpg</t>
  </si>
  <si>
    <t>https://i.pinimg.com/564x/89/b5/39/89b5392d6321520990ce45b123a246edc.jpg</t>
  </si>
  <si>
    <t>https://i.pinimg.com/564x/89/b5/39/89b5392d6321520990ce45b123a247edc.jpg</t>
  </si>
  <si>
    <t>https://i.pinimg.com/564x/89/b5/39/89b5392d6321520990ce45b123a248edc.jpg</t>
  </si>
  <si>
    <t>https://i.pinimg.com/564x/89/b5/39/89b5392d6321520990ce45b123a249edc.jpg</t>
  </si>
  <si>
    <t>https://i.pinimg.com/564x/89/b5/39/89b5392d6321520990ce45b123a250edc.jpg</t>
  </si>
  <si>
    <t>https://i.pinimg.com/564x/89/b5/39/89b5392d6321520990ce45b123a251edc.jpg</t>
  </si>
  <si>
    <t>https://i.pinimg.com/564x/89/b5/39/89b5392d6321520990ce45b123a252edc.jpg</t>
  </si>
  <si>
    <t>https://i.pinimg.com/564x/89/b5/39/89b5392d6321520990ce45b123a253edc.jpg</t>
  </si>
  <si>
    <t>https://i.pinimg.com/564x/89/b5/39/89b5392d6321520990ce45b123a254edc.jpg</t>
  </si>
  <si>
    <t>https://i.pinimg.com/564x/89/b5/39/89b5392d6321520990ce45b123a255edc.jpg</t>
  </si>
  <si>
    <t>https://i.pinimg.com/564x/89/b5/39/89b5392d6321520990ce45b123a256edc.jpg</t>
  </si>
  <si>
    <t>https://i.pinimg.com/564x/89/b5/39/89b5392d6321520990ce45b123a257edc.jpg</t>
  </si>
  <si>
    <t>https://i.pinimg.com/564x/89/b5/39/89b5392d6321520990ce45b123a258edc.jpg</t>
  </si>
  <si>
    <t>https://i.pinimg.com/564x/89/b5/39/89b5392d6321520990ce45b123a259edc.jpg</t>
  </si>
  <si>
    <t>https://i.pinimg.com/564x/89/b5/39/89b5392d6321520990ce45b123a260edc.jpg</t>
  </si>
  <si>
    <t>https://i.pinimg.com/564x/89/b5/39/89b5392d6321520990ce45b123a261edc.jpg</t>
  </si>
  <si>
    <t>https://i.pinimg.com/564x/89/b5/39/89b5392d6321520990ce45b123a262edc.jpg</t>
  </si>
  <si>
    <t>https://i.pinimg.com/564x/89/b5/39/89b5392d6321520990ce45b123a263edc.jpg</t>
  </si>
  <si>
    <t>https://i.pinimg.com/564x/89/b5/39/89b5392d6321520990ce45b123a264edc.jpg</t>
  </si>
  <si>
    <t>https://i.pinimg.com/564x/89/b5/39/89b5392d6321520990ce45b123a265edc.jpg</t>
  </si>
  <si>
    <t>https://i.pinimg.com/564x/89/b5/39/89b5392d6321520990ce45b123a266edc.jpg</t>
  </si>
  <si>
    <t>https://i.pinimg.com/564x/89/b5/39/89b5392d6321520990ce45b123a267edc.jpg</t>
  </si>
  <si>
    <t>https://i.pinimg.com/564x/89/b5/39/89b5392d6321520990ce45b123a268edc.jpg</t>
  </si>
  <si>
    <t>https://i.pinimg.com/564x/89/b5/39/89b5392d6321520990ce45b123a269edc.jpg</t>
  </si>
  <si>
    <t>https://i.pinimg.com/564x/89/b5/39/89b5392d6321520990ce45b123a270edc.jpg</t>
  </si>
  <si>
    <t>https://i.pinimg.com/564x/89/b5/39/89b5392d6321520990ce45b123a271edc.jpg</t>
  </si>
  <si>
    <t>https://i.pinimg.com/564x/89/b5/39/89b5392d6321520990ce45b123a272edc.jpg</t>
  </si>
  <si>
    <t>https://i.pinimg.com/564x/89/b5/39/89b5392d6321520990ce45b123a273edc.jpg</t>
  </si>
  <si>
    <t>https://i.pinimg.com/564x/89/b5/39/89b5392d6321520990ce45b123a274edc.jpg</t>
  </si>
  <si>
    <t>https://i.pinimg.com/564x/89/b5/39/89b5392d6321520990ce45b123a275edc.jpg</t>
  </si>
  <si>
    <t>https://i.pinimg.com/564x/89/b5/39/89b5392d6321520990ce45b123a276edc.jpg</t>
  </si>
  <si>
    <t>https://i.pinimg.com/564x/89/b5/39/89b5392d6321520990ce45b123a277edc.jpg</t>
  </si>
  <si>
    <t>https://i.pinimg.com/564x/89/b5/39/89b5392d6321520990ce45b123a278edc.jpg</t>
  </si>
  <si>
    <t>https://i.pinimg.com/564x/89/b5/39/89b5392d6321520990ce45b123a279edc.jpg</t>
  </si>
  <si>
    <t>https://i.pinimg.com/564x/89/b5/39/89b5392d6321520990ce45b123a280edc.jpg</t>
  </si>
  <si>
    <t>https://i.pinimg.com/564x/89/b5/39/89b5392d6321520990ce45b123a281edc.jpg</t>
  </si>
  <si>
    <t>https://i.pinimg.com/564x/89/b5/39/89b5392d6321520990ce45b123a282edc.jpg</t>
  </si>
  <si>
    <t>https://i.pinimg.com/564x/89/b5/39/89b5392d6321520990ce45b123a283edc.jpg</t>
  </si>
  <si>
    <t>https://i.pinimg.com/564x/89/b5/39/89b5392d6321520990ce45b123a284edc.jpg</t>
  </si>
  <si>
    <t>https://i.pinimg.com/564x/89/b5/39/89b5392d6321520990ce45b123a285edc.jpg</t>
  </si>
  <si>
    <t>https://i.pinimg.com/564x/89/b5/39/89b5392d6321520990ce45b123a286edc.jpg</t>
  </si>
  <si>
    <t>https://i.pinimg.com/564x/89/b5/39/89b5392d6321520990ce45b123a287edc.jpg</t>
  </si>
  <si>
    <t>https://i.pinimg.com/564x/89/b5/39/89b5392d6321520990ce45b123a288edc.jpg</t>
  </si>
  <si>
    <t>https://i.pinimg.com/564x/89/b5/39/89b5392d6321520990ce45b123a289edc.jpg</t>
  </si>
  <si>
    <t>https://i.pinimg.com/564x/89/b5/39/89b5392d6321520990ce45b123a290edc.jpg</t>
  </si>
  <si>
    <t>https://i.pinimg.com/564x/89/b5/39/89b5392d6321520990ce45b123a291edc.jpg</t>
  </si>
  <si>
    <t>https://i.pinimg.com/564x/89/b5/39/89b5392d6321520990ce45b123a292edc.jpg</t>
  </si>
  <si>
    <t>https://i.pinimg.com/564x/89/b5/39/89b5392d6321520990ce45b123a293edc.jpg</t>
  </si>
  <si>
    <t>https://i.pinimg.com/564x/89/b5/39/89b5392d6321520990ce45b123a294edc.jpg</t>
  </si>
  <si>
    <t>https://i.pinimg.com/564x/89/b5/39/89b5392d6321520990ce45b123a295edc.jpg</t>
  </si>
  <si>
    <t>https://i.pinimg.com/564x/89/b5/39/89b5392d6321520990ce45b123a296edc.jpg</t>
  </si>
  <si>
    <t>https://i.pinimg.com/564x/89/b5/39/89b5392d6321520990ce45b123a297edc.jpg</t>
  </si>
  <si>
    <t>https://i.pinimg.com/564x/89/b5/39/89b5392d6321520990ce45b123a298edc.jpg</t>
  </si>
  <si>
    <t>https://i.pinimg.com/564x/89/b5/39/89b5392d6321520990ce45b123a299edc.jpg</t>
  </si>
  <si>
    <t>https://i.pinimg.com/564x/89/b5/39/89b5392d6321520990ce45b123a300edc.jpg</t>
  </si>
  <si>
    <t>https://i.pinimg.com/564x/89/b5/39/89b5392d6321520990ce45b123a301edc.jpg</t>
  </si>
  <si>
    <t>https://i.pinimg.com/564x/89/b5/39/89b5392d6321520990ce45b123a302edc.jpg</t>
  </si>
  <si>
    <t>https://i.pinimg.com/564x/89/b5/39/89b5392d6321520990ce45b123a303edc.jpg</t>
  </si>
  <si>
    <t>https://i.pinimg.com/564x/89/b5/39/89b5392d6321520990ce45b123a304edc.jpg</t>
  </si>
  <si>
    <t>https://i.pinimg.com/564x/89/b5/39/89b5392d6321520990ce45b123a305edc.jpg</t>
  </si>
  <si>
    <t>https://i.pinimg.com/564x/89/b5/39/89b5392d6321520990ce45b123a306edc.jpg</t>
  </si>
  <si>
    <t>https://i.pinimg.com/564x/89/b5/39/89b5392d6321520990ce45b123a307edc.jpg</t>
  </si>
  <si>
    <t>https://i.pinimg.com/564x/89/b5/39/89b5392d6321520990ce45b123a308edc.jpg</t>
  </si>
  <si>
    <t>https://i.pinimg.com/564x/89/b5/39/89b5392d6321520990ce45b123a309edc.jpg</t>
  </si>
  <si>
    <t>https://i.pinimg.com/564x/89/b5/39/89b5392d6321520990ce45b123a310edc.jpg</t>
  </si>
  <si>
    <t>https://i.pinimg.com/564x/89/b5/39/89b5392d6321520990ce45b123a311edc.jpg</t>
  </si>
  <si>
    <t>https://i.pinimg.com/564x/89/b5/39/89b5392d6321520990ce45b123a312edc.jpg</t>
  </si>
  <si>
    <t>https://i.pinimg.com/564x/89/b5/39/89b5392d6321520990ce45b123a313edc.jpg</t>
  </si>
  <si>
    <t>https://i.pinimg.com/564x/89/b5/39/89b5392d6321520990ce45b123a314edc.jpg</t>
  </si>
  <si>
    <t>https://i.pinimg.com/564x/89/b5/39/89b5392d6321520990ce45b123a315edc.jpg</t>
  </si>
  <si>
    <t>https://i.pinimg.com/564x/89/b5/39/89b5392d6321520990ce45b123a316edc.jpg</t>
  </si>
  <si>
    <t>https://i.pinimg.com/564x/89/b5/39/89b5392d6321520990ce45b123a317edc.jpg</t>
  </si>
  <si>
    <t>https://i.pinimg.com/564x/89/b5/39/89b5392d6321520990ce45b123a318edc.jpg</t>
  </si>
  <si>
    <t>https://i.pinimg.com/564x/89/b5/39/89b5392d6321520990ce45b123a319edc.jpg</t>
  </si>
  <si>
    <t>https://i.pinimg.com/564x/89/b5/39/89b5392d6321520990ce45b123a320edc.jpg</t>
  </si>
  <si>
    <t>https://i.pinimg.com/564x/89/b5/39/89b5392d6321520990ce45b123a321edc.jpg</t>
  </si>
  <si>
    <t>https://i.pinimg.com/564x/89/b5/39/89b5392d6321520990ce45b123a322edc.jpg</t>
  </si>
  <si>
    <t>https://i.pinimg.com/564x/89/b5/39/89b5392d6321520990ce45b123a323edc.jpg</t>
  </si>
  <si>
    <t>https://i.pinimg.com/564x/89/b5/39/89b5392d6321520990ce45b123a324edc.jpg</t>
  </si>
  <si>
    <t>https://i.pinimg.com/564x/89/b5/39/89b5392d6321520990ce45b123a325edc.jpg</t>
  </si>
  <si>
    <t>https://i.pinimg.com/564x/89/b5/39/89b5392d6321520990ce45b123a326edc.jpg</t>
  </si>
  <si>
    <t>https://i.pinimg.com/564x/89/b5/39/89b5392d6321520990ce45b123a327edc.jpg</t>
  </si>
  <si>
    <t>https://i.pinimg.com/564x/89/b5/39/89b5392d6321520990ce45b123a328edc.jpg</t>
  </si>
  <si>
    <t>https://i.pinimg.com/564x/89/b5/39/89b5392d6321520990ce45b123a329edc.jpg</t>
  </si>
  <si>
    <t>https://i.pinimg.com/564x/89/b5/39/89b5392d6321520990ce45b123a330edc.jpg</t>
  </si>
  <si>
    <t>https://i.pinimg.com/564x/89/b5/39/89b5392d6321520990ce45b123a331edc.jpg</t>
  </si>
  <si>
    <t>https://i.pinimg.com/564x/89/b5/39/89b5392d6321520990ce45b123a332edc.jpg</t>
  </si>
  <si>
    <t>https://i.pinimg.com/564x/89/b5/39/89b5392d6321520990ce45b123a333edc.jpg</t>
  </si>
  <si>
    <t>https://i.pinimg.com/564x/89/b5/39/89b5392d6321520990ce45b123a334edc.jpg</t>
  </si>
  <si>
    <t>https://i.pinimg.com/564x/89/b5/39/89b5392d6321520990ce45b123a335edc.jpg</t>
  </si>
  <si>
    <t>https://i.pinimg.com/564x/89/b5/39/89b5392d6321520990ce45b123a336edc.jpg</t>
  </si>
  <si>
    <t>https://i.pinimg.com/564x/89/b5/39/89b5392d6321520990ce45b123a337edc.jpg</t>
  </si>
  <si>
    <t>https://i.pinimg.com/564x/89/b5/39/89b5392d6321520990ce45b123a338edc.jpg</t>
  </si>
  <si>
    <t>https://i.pinimg.com/564x/89/b5/39/89b5392d6321520990ce45b123a339edc.jpg</t>
  </si>
  <si>
    <t>https://i.pinimg.com/564x/89/b5/39/89b5392d6321520990ce45b123a340edc.jpg</t>
  </si>
  <si>
    <t>https://i.pinimg.com/564x/89/b5/39/89b5392d6321520990ce45b123a341edc.jpg</t>
  </si>
  <si>
    <t>https://i.pinimg.com/564x/89/b5/39/89b5392d6321520990ce45b123a342edc.jpg</t>
  </si>
  <si>
    <t>https://i.pinimg.com/564x/89/b5/39/89b5392d6321520990ce45b123a343edc.jpg</t>
  </si>
  <si>
    <t>https://i.pinimg.com/564x/89/b5/39/89b5392d6321520990ce45b123a344edc.jpg</t>
  </si>
  <si>
    <t>https://i.pinimg.com/564x/89/b5/39/89b5392d6321520990ce45b123a345edc.jpg</t>
  </si>
  <si>
    <t>https://i.pinimg.com/564x/89/b5/39/89b5392d6321520990ce45b123a346edc.jpg</t>
  </si>
  <si>
    <t>https://i.pinimg.com/564x/89/b5/39/89b5392d6321520990ce45b123a347edc.jpg</t>
  </si>
  <si>
    <t>https://i.pinimg.com/564x/89/b5/39/89b5392d6321520990ce45b123a348edc.jpg</t>
  </si>
  <si>
    <t>https://i.pinimg.com/564x/89/b5/39/89b5392d6321520990ce45b123a349edc.jpg</t>
  </si>
  <si>
    <t>https://i.pinimg.com/564x/89/b5/39/89b5392d6321520990ce45b123a350edc.jpg</t>
  </si>
  <si>
    <t>https://i.pinimg.com/564x/89/b5/39/89b5392d6321520990ce45b123a351edc.jpg</t>
  </si>
  <si>
    <t>https://i.pinimg.com/564x/89/b5/39/89b5392d6321520990ce45b123a352edc.jpg</t>
  </si>
  <si>
    <t>https://i.pinimg.com/564x/89/b5/39/89b5392d6321520990ce45b123a353edc.jpg</t>
  </si>
  <si>
    <t>https://i.pinimg.com/564x/89/b5/39/89b5392d6321520990ce45b123a354edc.jpg</t>
  </si>
  <si>
    <t>https://i.pinimg.com/564x/89/b5/39/89b5392d6321520990ce45b123a355edc.jpg</t>
  </si>
  <si>
    <t>https://i.pinimg.com/564x/89/b5/39/89b5392d6321520990ce45b123a356edc.jpg</t>
  </si>
  <si>
    <t>https://i.pinimg.com/564x/89/b5/39/89b5392d6321520990ce45b123a357edc.jpg</t>
  </si>
  <si>
    <t>https://i.pinimg.com/564x/89/b5/39/89b5392d6321520990ce45b123a358edc.jpg</t>
  </si>
  <si>
    <t>https://i.pinimg.com/564x/89/b5/39/89b5392d6321520990ce45b123a359edc.jpg</t>
  </si>
  <si>
    <t>https://i.pinimg.com/564x/89/b5/39/89b5392d6321520990ce45b123a360edc.jpg</t>
  </si>
  <si>
    <t>https://i.pinimg.com/564x/89/b5/39/89b5392d6321520990ce45b123a361edc.jpg</t>
  </si>
  <si>
    <t>https://i.pinimg.com/564x/89/b5/39/89b5392d6321520990ce45b123a362edc.jpg</t>
  </si>
  <si>
    <t>https://i.pinimg.com/564x/89/b5/39/89b5392d6321520990ce45b123a363edc.jpg</t>
  </si>
  <si>
    <t>https://i.pinimg.com/564x/89/b5/39/89b5392d6321520990ce45b123a364edc.jpg</t>
  </si>
  <si>
    <t>https://i.pinimg.com/564x/89/b5/39/89b5392d6321520990ce45b123a365edc.jpg</t>
  </si>
  <si>
    <t>https://i.pinimg.com/564x/89/b5/39/89b5392d6321520990ce45b123a366edc.jpg</t>
  </si>
  <si>
    <t>https://i.pinimg.com/564x/89/b5/39/89b5392d6321520990ce45b123a367edc.jpg</t>
  </si>
  <si>
    <t>https://i.pinimg.com/564x/89/b5/39/89b5392d6321520990ce45b123a368edc.jpg</t>
  </si>
  <si>
    <t>https://i.pinimg.com/564x/89/b5/39/89b5392d6321520990ce45b123a369edc.jpg</t>
  </si>
  <si>
    <t>https://i.pinimg.com/564x/89/b5/39/89b5392d6321520990ce45b123a370edc.jpg</t>
  </si>
  <si>
    <t>https://i.pinimg.com/564x/89/b5/39/89b5392d6321520990ce45b123a371edc.jpg</t>
  </si>
  <si>
    <t>https://i.pinimg.com/564x/89/b5/39/89b5392d6321520990ce45b123a372edc.jpg</t>
  </si>
  <si>
    <t>https://i.pinimg.com/564x/89/b5/39/89b5392d6321520990ce45b123a373edc.jpg</t>
  </si>
  <si>
    <t>https://i.pinimg.com/564x/89/b5/39/89b5392d6321520990ce45b123a374edc.jpg</t>
  </si>
  <si>
    <t>https://i.pinimg.com/564x/89/b5/39/89b5392d6321520990ce45b123a375edc.jpg</t>
  </si>
  <si>
    <t>https://i.pinimg.com/564x/89/b5/39/89b5392d6321520990ce45b123a376edc.jpg</t>
  </si>
  <si>
    <t>https://i.pinimg.com/564x/89/b5/39/89b5392d6321520990ce45b123a377edc.jpg</t>
  </si>
  <si>
    <t>https://i.pinimg.com/564x/89/b5/39/89b5392d6321520990ce45b123a378edc.jpg</t>
  </si>
  <si>
    <t>https://i.pinimg.com/564x/89/b5/39/89b5392d6321520990ce45b123a379edc.jpg</t>
  </si>
  <si>
    <t>https://i.pinimg.com/564x/89/b5/39/89b5392d6321520990ce45b123a380edc.jpg</t>
  </si>
  <si>
    <t>https://i.pinimg.com/564x/89/b5/39/89b5392d6321520990ce45b123a381edc.jpg</t>
  </si>
  <si>
    <t>https://i.pinimg.com/564x/89/b5/39/89b5392d6321520990ce45b123a382edc.jpg</t>
  </si>
  <si>
    <t>https://i.pinimg.com/564x/89/b5/39/89b5392d6321520990ce45b123a383edc.jpg</t>
  </si>
  <si>
    <t>https://i.pinimg.com/564x/89/b5/39/89b5392d6321520990ce45b123a384edc.jpg</t>
  </si>
  <si>
    <t>https://i.pinimg.com/564x/89/b5/39/89b5392d6321520990ce45b123a385edc.jpg</t>
  </si>
  <si>
    <t>https://i.pinimg.com/564x/89/b5/39/89b5392d6321520990ce45b123a386edc.jpg</t>
  </si>
  <si>
    <t>https://i.pinimg.com/564x/89/b5/39/89b5392d6321520990ce45b123a387edc.jpg</t>
  </si>
  <si>
    <t>https://i.pinimg.com/564x/89/b5/39/89b5392d6321520990ce45b123a388edc.jpg</t>
  </si>
  <si>
    <t>https://i.pinimg.com/564x/89/b5/39/89b5392d6321520990ce45b123a389edc.jpg</t>
  </si>
  <si>
    <t>https://i.pinimg.com/564x/89/b5/39/89b5392d6321520990ce45b123a390edc.jpg</t>
  </si>
  <si>
    <t>https://i.pinimg.com/564x/89/b5/39/89b5392d6321520990ce45b123a391edc.jpg</t>
  </si>
  <si>
    <t>https://i.pinimg.com/564x/89/b5/39/89b5392d6321520990ce45b123a392edc.jpg</t>
  </si>
  <si>
    <t>https://i.pinimg.com/564x/89/b5/39/89b5392d6321520990ce45b123a393edc.jpg</t>
  </si>
  <si>
    <t>https://i.pinimg.com/564x/89/b5/39/89b5392d6321520990ce45b123a394edc.jpg</t>
  </si>
  <si>
    <t>https://i.pinimg.com/564x/89/b5/39/89b5392d6321520990ce45b123a395edc.jpg</t>
  </si>
  <si>
    <t>https://i.pinimg.com/564x/89/b5/39/89b5392d6321520990ce45b123a396edc.jpg</t>
  </si>
  <si>
    <t>https://i.pinimg.com/564x/89/b5/39/89b5392d6321520990ce45b123a397edc.jpg</t>
  </si>
  <si>
    <t>https://i.pinimg.com/564x/89/b5/39/89b5392d6321520990ce45b123a398edc.jpg</t>
  </si>
  <si>
    <t>https://i.pinimg.com/564x/89/b5/39/89b5392d6321520990ce45b123a399edc.jpg</t>
  </si>
  <si>
    <t>https://i.pinimg.com/564x/89/b5/39/89b5392d6321520990ce45b123a400edc.jpg</t>
  </si>
  <si>
    <t>https://i.pinimg.com/564x/89/b5/39/89b5392d6321520990ce45b123a401edc.jpg</t>
  </si>
  <si>
    <t>https://i.pinimg.com/564x/89/b5/39/89b5392d6321520990ce45b123a402edc.jpg</t>
  </si>
  <si>
    <t>https://i.pinimg.com/564x/89/b5/39/89b5392d6321520990ce45b123a403edc.jpg</t>
  </si>
  <si>
    <t>https://i.pinimg.com/564x/89/b5/39/89b5392d6321520990ce45b123a404edc.jpg</t>
  </si>
  <si>
    <t>https://i.pinimg.com/564x/89/b5/39/89b5392d6321520990ce45b123a405edc.jpg</t>
  </si>
  <si>
    <t>https://i.pinimg.com/564x/89/b5/39/89b5392d6321520990ce45b123a406edc.jpg</t>
  </si>
  <si>
    <t>https://i.pinimg.com/564x/89/b5/39/89b5392d6321520990ce45b123a407edc.jpg</t>
  </si>
  <si>
    <t>https://i.pinimg.com/564x/89/b5/39/89b5392d6321520990ce45b123a408edc.jpg</t>
  </si>
  <si>
    <t>https://i.pinimg.com/564x/89/b5/39/89b5392d6321520990ce45b123a409edc.jpg</t>
  </si>
  <si>
    <t>https://i.pinimg.com/564x/89/b5/39/89b5392d6321520990ce45b123a410edc.jpg</t>
  </si>
  <si>
    <t>https://i.pinimg.com/564x/89/b5/39/89b5392d6321520990ce45b123a411edc.jpg</t>
  </si>
  <si>
    <t>https://i.pinimg.com/564x/89/b5/39/89b5392d6321520990ce45b123a412edc.jpg</t>
  </si>
  <si>
    <t>https://i.pinimg.com/564x/89/b5/39/89b5392d6321520990ce45b123a413edc.jpg</t>
  </si>
  <si>
    <t>https://i.pinimg.com/564x/89/b5/39/89b5392d6321520990ce45b123a414edc.jpg</t>
  </si>
  <si>
    <t>https://i.pinimg.com/564x/89/b5/39/89b5392d6321520990ce45b123a415edc.jpg</t>
  </si>
  <si>
    <t>https://i.pinimg.com/564x/89/b5/39/89b5392d6321520990ce45b123a416edc.jpg</t>
  </si>
  <si>
    <t>https://i.pinimg.com/564x/89/b5/39/89b5392d6321520990ce45b123a417edc.jpg</t>
  </si>
  <si>
    <t>https://i.pinimg.com/564x/89/b5/39/89b5392d6321520990ce45b123a418edc.jpg</t>
  </si>
  <si>
    <t>https://i.pinimg.com/564x/89/b5/39/89b5392d6321520990ce45b123a419edc.jpg</t>
  </si>
  <si>
    <t>https://i.pinimg.com/564x/89/b5/39/89b5392d6321520990ce45b123a420edc.jpg</t>
  </si>
  <si>
    <t>https://i.pinimg.com/564x/89/b5/39/89b5392d6321520990ce45b123a421edc.jpg</t>
  </si>
  <si>
    <t>https://i.pinimg.com/564x/89/b5/39/89b5392d6321520990ce45b123a422edc.jpg</t>
  </si>
  <si>
    <t>https://i.pinimg.com/564x/89/b5/39/89b5392d6321520990ce45b123a423edc.jpg</t>
  </si>
  <si>
    <t>https://i.pinimg.com/564x/89/b5/39/89b5392d6321520990ce45b123a424edc.jpg</t>
  </si>
  <si>
    <t>https://i.pinimg.com/564x/89/b5/39/89b5392d6321520990ce45b123a425edc.jpg</t>
  </si>
  <si>
    <t>https://i.pinimg.com/564x/89/b5/39/89b5392d6321520990ce45b123a426edc.jpg</t>
  </si>
  <si>
    <t>https://i.pinimg.com/564x/89/b5/39/89b5392d6321520990ce45b123a427edc.jpg</t>
  </si>
  <si>
    <t>https://i.pinimg.com/564x/89/b5/39/89b5392d6321520990ce45b123a428edc.jpg</t>
  </si>
  <si>
    <t>https://i.pinimg.com/564x/89/b5/39/89b5392d6321520990ce45b123a429edc.jpg</t>
  </si>
  <si>
    <t>https://i.pinimg.com/564x/89/b5/39/89b5392d6321520990ce45b123a430edc.jpg</t>
  </si>
  <si>
    <t>https://i.pinimg.com/564x/89/b5/39/89b5392d6321520990ce45b123a431edc.jpg</t>
  </si>
  <si>
    <t>https://i.pinimg.com/564x/89/b5/39/89b5392d6321520990ce45b123a432edc.jpg</t>
  </si>
  <si>
    <t>https://i.pinimg.com/564x/89/b5/39/89b5392d6321520990ce45b123a433edc.jpg</t>
  </si>
  <si>
    <t>https://i.pinimg.com/564x/89/b5/39/89b5392d6321520990ce45b123a434edc.jpg</t>
  </si>
  <si>
    <t>https://i.pinimg.com/564x/89/b5/39/89b5392d6321520990ce45b123a435edc.jpg</t>
  </si>
  <si>
    <t>https://i.pinimg.com/564x/89/b5/39/89b5392d6321520990ce45b123a436edc.jpg</t>
  </si>
  <si>
    <t>https://i.pinimg.com/564x/89/b5/39/89b5392d6321520990ce45b123a437edc.jpg</t>
  </si>
  <si>
    <t>https://i.pinimg.com/564x/89/b5/39/89b5392d6321520990ce45b123a438edc.jpg</t>
  </si>
  <si>
    <t>https://i.pinimg.com/564x/89/b5/39/89b5392d6321520990ce45b123a439edc.jpg</t>
  </si>
  <si>
    <t>https://i.pinimg.com/564x/89/b5/39/89b5392d6321520990ce45b123a440edc.jpg</t>
  </si>
  <si>
    <t>https://i.pinimg.com/564x/89/b5/39/89b5392d6321520990ce45b123a441edc.jpg</t>
  </si>
  <si>
    <t>https://i.pinimg.com/564x/89/b5/39/89b5392d6321520990ce45b123a442edc.jpg</t>
  </si>
  <si>
    <t>https://i.pinimg.com/564x/89/b5/39/89b5392d6321520990ce45b123a443edc.jpg</t>
  </si>
  <si>
    <t>https://i.pinimg.com/564x/89/b5/39/89b5392d6321520990ce45b123a444edc.jpg</t>
  </si>
  <si>
    <t>https://i.pinimg.com/564x/89/b5/39/89b5392d6321520990ce45b123a445edc.jpg</t>
  </si>
  <si>
    <t>https://i.pinimg.com/564x/89/b5/39/89b5392d6321520990ce45b123a446edc.jpg</t>
  </si>
  <si>
    <t>https://i.pinimg.com/564x/89/b5/39/89b5392d6321520990ce45b123a447edc.jpg</t>
  </si>
  <si>
    <t>https://i.pinimg.com/564x/89/b5/39/89b5392d6321520990ce45b123a448edc.jpg</t>
  </si>
  <si>
    <t>https://i.pinimg.com/564x/89/b5/39/89b5392d6321520990ce45b123a449edc.jpg</t>
  </si>
  <si>
    <t>https://i.pinimg.com/564x/89/b5/39/89b5392d6321520990ce45b123a450edc.jpg</t>
  </si>
  <si>
    <t>https://i.pinimg.com/564x/89/b5/39/89b5392d6321520990ce45b123a451edc.jpg</t>
  </si>
  <si>
    <t>https://i.pinimg.com/564x/89/b5/39/89b5392d6321520990ce45b123a452edc.jpg</t>
  </si>
  <si>
    <t>https://i.pinimg.com/564x/89/b5/39/89b5392d6321520990ce45b123a453edc.jpg</t>
  </si>
  <si>
    <t>https://i.pinimg.com/564x/89/b5/39/89b5392d6321520990ce45b123a454edc.jpg</t>
  </si>
  <si>
    <t>https://i.pinimg.com/564x/89/b5/39/89b5392d6321520990ce45b123a455edc.jpg</t>
  </si>
  <si>
    <t>https://i.pinimg.com/564x/89/b5/39/89b5392d6321520990ce45b123a456edc.jpg</t>
  </si>
  <si>
    <t>https://i.pinimg.com/564x/89/b5/39/89b5392d6321520990ce45b123a457edc.jpg</t>
  </si>
  <si>
    <t>https://i.pinimg.com/564x/89/b5/39/89b5392d6321520990ce45b123a458edc.jpg</t>
  </si>
  <si>
    <t>https://i.pinimg.com/564x/89/b5/39/89b5392d6321520990ce45b123a459edc.jpg</t>
  </si>
  <si>
    <t>https://i.pinimg.com/564x/89/b5/39/89b5392d6321520990ce45b123a460edc.jpg</t>
  </si>
  <si>
    <t>https://i.pinimg.com/564x/89/b5/39/89b5392d6321520990ce45b123a461edc.jpg</t>
  </si>
  <si>
    <t>https://i.pinimg.com/564x/89/b5/39/89b5392d6321520990ce45b123a462edc.jpg</t>
  </si>
  <si>
    <t>https://i.pinimg.com/564x/89/b5/39/89b5392d6321520990ce45b123a463edc.jpg</t>
  </si>
  <si>
    <t>https://i.pinimg.com/564x/89/b5/39/89b5392d6321520990ce45b123a464edc.jpg</t>
  </si>
  <si>
    <t>https://i.pinimg.com/564x/89/b5/39/89b5392d6321520990ce45b123a465edc.jpg</t>
  </si>
  <si>
    <t>https://i.pinimg.com/564x/89/b5/39/89b5392d6321520990ce45b123a466edc.jpg</t>
  </si>
  <si>
    <t>https://i.pinimg.com/564x/89/b5/39/89b5392d6321520990ce45b123a467edc.jpg</t>
  </si>
  <si>
    <t>https://i.pinimg.com/564x/89/b5/39/89b5392d6321520990ce45b123a468edc.jpg</t>
  </si>
  <si>
    <t>https://i.pinimg.com/564x/89/b5/39/89b5392d6321520990ce45b123a469edc.jpg</t>
  </si>
  <si>
    <t>https://i.pinimg.com/564x/89/b5/39/89b5392d6321520990ce45b123a470edc.jpg</t>
  </si>
  <si>
    <t>https://i.pinimg.com/564x/89/b5/39/89b5392d6321520990ce45b123a471edc.jpg</t>
  </si>
  <si>
    <t>https://i.pinimg.com/564x/89/b5/39/89b5392d6321520990ce45b123a472edc.jpg</t>
  </si>
  <si>
    <t>https://i.pinimg.com/564x/89/b5/39/89b5392d6321520990ce45b123a473edc.jpg</t>
  </si>
  <si>
    <t>https://i.pinimg.com/564x/89/b5/39/89b5392d6321520990ce45b123a474edc.jpg</t>
  </si>
  <si>
    <t>https://i.pinimg.com/564x/89/b5/39/89b5392d6321520990ce45b123a475edc.jpg</t>
  </si>
  <si>
    <t>https://i.pinimg.com/564x/89/b5/39/89b5392d6321520990ce45b123a476edc.jpg</t>
  </si>
  <si>
    <t>https://i.pinimg.com/564x/89/b5/39/89b5392d6321520990ce45b123a477edc.jpg</t>
  </si>
  <si>
    <t>https://i.pinimg.com/564x/89/b5/39/89b5392d6321520990ce45b123a478edc.jpg</t>
  </si>
  <si>
    <t>https://i.pinimg.com/564x/89/b5/39/89b5392d6321520990ce45b123a479edc.jpg</t>
  </si>
  <si>
    <t>https://i.pinimg.com/564x/89/b5/39/89b5392d6321520990ce45b123a480edc.jpg</t>
  </si>
  <si>
    <t>https://i.pinimg.com/564x/89/b5/39/89b5392d6321520990ce45b123a481edc.jpg</t>
  </si>
  <si>
    <t>https://i.pinimg.com/564x/89/b5/39/89b5392d6321520990ce45b123a482edc.jpg</t>
  </si>
  <si>
    <t>https://i.pinimg.com/564x/89/b5/39/89b5392d6321520990ce45b123a483edc.jpg</t>
  </si>
  <si>
    <t>https://i.pinimg.com/564x/89/b5/39/89b5392d6321520990ce45b123a484edc.jpg</t>
  </si>
  <si>
    <t>https://i.pinimg.com/564x/89/b5/39/89b5392d6321520990ce45b123a485edc.jpg</t>
  </si>
  <si>
    <t>https://i.pinimg.com/564x/89/b5/39/89b5392d6321520990ce45b123a486edc.jpg</t>
  </si>
  <si>
    <t>https://i.pinimg.com/564x/89/b5/39/89b5392d6321520990ce45b123a487edc.jpg</t>
  </si>
  <si>
    <t>https://i.pinimg.com/564x/89/b5/39/89b5392d6321520990ce45b123a488edc.jpg</t>
  </si>
  <si>
    <t>https://i.pinimg.com/564x/89/b5/39/89b5392d6321520990ce45b123a489edc.jpg</t>
  </si>
  <si>
    <t>https://i.pinimg.com/564x/89/b5/39/89b5392d6321520990ce45b123a490edc.jpg</t>
  </si>
  <si>
    <t>https://i.pinimg.com/564x/89/b5/39/89b5392d6321520990ce45b123a491edc.jpg</t>
  </si>
  <si>
    <t>https://i.pinimg.com/564x/89/b5/39/89b5392d6321520990ce45b123a492edc.jpg</t>
  </si>
  <si>
    <t>https://i.pinimg.com/564x/89/b5/39/89b5392d6321520990ce45b123a493edc.jpg</t>
  </si>
  <si>
    <t>https://i.pinimg.com/564x/89/b5/39/89b5392d6321520990ce45b123a494edc.jpg</t>
  </si>
  <si>
    <t>https://i.pinimg.com/564x/89/b5/39/89b5392d6321520990ce45b123a495edc.jpg</t>
  </si>
  <si>
    <t>https://i.pinimg.com/564x/89/b5/39/89b5392d6321520990ce45b123a496edc.jpg</t>
  </si>
  <si>
    <t>https://i.pinimg.com/564x/89/b5/39/89b5392d6321520990ce45b123a497edc.jpg</t>
  </si>
  <si>
    <t>https://i.pinimg.com/564x/89/b5/39/89b5392d6321520990ce45b123a498edc.jpg</t>
  </si>
  <si>
    <t>https://i.pinimg.com/564x/89/b5/39/89b5392d6321520990ce45b123a499edc.jpg</t>
  </si>
  <si>
    <t>https://i.pinimg.com/564x/89/b5/39/89b5392d6321520990ce45b123a500edc.jpg</t>
  </si>
  <si>
    <t>https://i.pinimg.com/564x/89/b5/39/89b5392d6321520990ce45b123a501edc.jpg</t>
  </si>
  <si>
    <t>https://i.pinimg.com/564x/89/b5/39/89b5392d6321520990ce45b123a502edc.jpg</t>
  </si>
  <si>
    <t>https://i.pinimg.com/564x/89/b5/39/89b5392d6321520990ce45b123a503edc.jpg</t>
  </si>
  <si>
    <t>https://i.pinimg.com/564x/89/b5/39/89b5392d6321520990ce45b123a504edc.jpg</t>
  </si>
  <si>
    <t>https://i.pinimg.com/564x/89/b5/39/89b5392d6321520990ce45b123a505edc.jpg</t>
  </si>
  <si>
    <t>https://i.pinimg.com/564x/89/b5/39/89b5392d6321520990ce45b123a506edc.jpg</t>
  </si>
  <si>
    <t>https://i.pinimg.com/564x/89/b5/39/89b5392d6321520990ce45b123a507edc.jpg</t>
  </si>
  <si>
    <t>https://i.pinimg.com/564x/89/b5/39/89b5392d6321520990ce45b123a508edc.jpg</t>
  </si>
  <si>
    <t>https://i.pinimg.com/564x/89/b5/39/89b5392d6321520990ce45b123a509edc.jpg</t>
  </si>
  <si>
    <t>https://i.pinimg.com/564x/89/b5/39/89b5392d6321520990ce45b123a510edc.jpg</t>
  </si>
  <si>
    <t>https://i.pinimg.com/564x/89/b5/39/89b5392d6321520990ce45b123a511edc.jpg</t>
  </si>
  <si>
    <t>https://i.pinimg.com/564x/89/b5/39/89b5392d6321520990ce45b123a512edc.jpg</t>
  </si>
  <si>
    <t>https://i.pinimg.com/564x/89/b5/39/89b5392d6321520990ce45b123a513edc.jpg</t>
  </si>
  <si>
    <t>https://i.pinimg.com/564x/89/b5/39/89b5392d6321520990ce45b123a514edc.jpg</t>
  </si>
  <si>
    <t>https://i.pinimg.com/564x/89/b5/39/89b5392d6321520990ce45b123a515edc.jpg</t>
  </si>
  <si>
    <t>https://i.pinimg.com/564x/89/b5/39/89b5392d6321520990ce45b123a516edc.jpg</t>
  </si>
  <si>
    <t>https://i.pinimg.com/564x/89/b5/39/89b5392d6321520990ce45b123a517edc.jpg</t>
  </si>
  <si>
    <t>https://i.pinimg.com/564x/89/b5/39/89b5392d6321520990ce45b123a518edc.jpg</t>
  </si>
  <si>
    <t>https://i.pinimg.com/564x/89/b5/39/89b5392d6321520990ce45b123a519edc.jpg</t>
  </si>
  <si>
    <t>https://i.pinimg.com/564x/89/b5/39/89b5392d6321520990ce45b123a520edc.jpg</t>
  </si>
  <si>
    <t>https://i.pinimg.com/564x/89/b5/39/89b5392d6321520990ce45b123a521edc.jpg</t>
  </si>
  <si>
    <t>https://i.pinimg.com/564x/89/b5/39/89b5392d6321520990ce45b123a522edc.jpg</t>
  </si>
  <si>
    <t>https://i.pinimg.com/564x/89/b5/39/89b5392d6321520990ce45b123a523edc.jpg</t>
  </si>
  <si>
    <t>https://i.pinimg.com/564x/89/b5/39/89b5392d6321520990ce45b123a524edc.jpg</t>
  </si>
  <si>
    <t>https://i.pinimg.com/564x/89/b5/39/89b5392d6321520990ce45b123a525edc.jpg</t>
  </si>
  <si>
    <t>https://i.pinimg.com/564x/89/b5/39/89b5392d6321520990ce45b123a526edc.jpg</t>
  </si>
  <si>
    <t>https://i.pinimg.com/564x/89/b5/39/89b5392d6321520990ce45b123a527edc.jpg</t>
  </si>
  <si>
    <t>https://i.pinimg.com/564x/89/b5/39/89b5392d6321520990ce45b123a528edc.jpg</t>
  </si>
  <si>
    <t>https://i.pinimg.com/564x/89/b5/39/89b5392d6321520990ce45b123a529edc.jpg</t>
  </si>
  <si>
    <t>https://i.pinimg.com/564x/89/b5/39/89b5392d6321520990ce45b123a530edc.jpg</t>
  </si>
  <si>
    <t>https://i.pinimg.com/564x/89/b5/39/89b5392d6321520990ce45b123a531edc.jpg</t>
  </si>
  <si>
    <t>https://i.pinimg.com/564x/89/b5/39/89b5392d6321520990ce45b123a532edc.jpg</t>
  </si>
  <si>
    <t>https://i.pinimg.com/564x/89/b5/39/89b5392d6321520990ce45b123a533edc.jpg</t>
  </si>
  <si>
    <t>https://i.pinimg.com/564x/89/b5/39/89b5392d6321520990ce45b123a534edc.jpg</t>
  </si>
  <si>
    <t>https://i.pinimg.com/564x/89/b5/39/89b5392d6321520990ce45b123a535edc.jpg</t>
  </si>
  <si>
    <t>https://i.pinimg.com/564x/89/b5/39/89b5392d6321520990ce45b123a536edc.jpg</t>
  </si>
  <si>
    <t>https://i.pinimg.com/564x/89/b5/39/89b5392d6321520990ce45b123a537edc.jpg</t>
  </si>
  <si>
    <t>https://i.pinimg.com/564x/89/b5/39/89b5392d6321520990ce45b123a538edc.jpg</t>
  </si>
  <si>
    <t>https://i.pinimg.com/564x/89/b5/39/89b5392d6321520990ce45b123a539edc.jpg</t>
  </si>
  <si>
    <t>https://i.pinimg.com/564x/89/b5/39/89b5392d6321520990ce45b123a540edc.jpg</t>
  </si>
  <si>
    <t>https://i.pinimg.com/564x/89/b5/39/89b5392d6321520990ce45b123a541edc.jpg</t>
  </si>
  <si>
    <t>https://i.pinimg.com/564x/89/b5/39/89b5392d6321520990ce45b123a542edc.jpg</t>
  </si>
  <si>
    <t>https://i.pinimg.com/564x/89/b5/39/89b5392d6321520990ce45b123a543edc.jpg</t>
  </si>
  <si>
    <t>https://i.pinimg.com/564x/89/b5/39/89b5392d6321520990ce45b123a544edc.jpg</t>
  </si>
  <si>
    <t>https://i.pinimg.com/564x/89/b5/39/89b5392d6321520990ce45b123a545edc.jpg</t>
  </si>
  <si>
    <t>https://i.pinimg.com/564x/89/b5/39/89b5392d6321520990ce45b123a546edc.jpg</t>
  </si>
  <si>
    <t>https://i.pinimg.com/564x/89/b5/39/89b5392d6321520990ce45b123a547edc.jpg</t>
  </si>
  <si>
    <t>https://i.pinimg.com/564x/89/b5/39/89b5392d6321520990ce45b123a548edc.jpg</t>
  </si>
  <si>
    <t>https://i.pinimg.com/564x/89/b5/39/89b5392d6321520990ce45b123a549edc.jpg</t>
  </si>
  <si>
    <t>https://i.pinimg.com/564x/89/b5/39/89b5392d6321520990ce45b123a550edc.jpg</t>
  </si>
  <si>
    <t>https://i.pinimg.com/564x/89/b5/39/89b5392d6321520990ce45b123a551edc.jpg</t>
  </si>
  <si>
    <t>https://i.pinimg.com/564x/89/b5/39/89b5392d6321520990ce45b123a552edc.jpg</t>
  </si>
  <si>
    <t>https://i.pinimg.com/564x/89/b5/39/89b5392d6321520990ce45b123a553edc.jpg</t>
  </si>
  <si>
    <t>https://i.pinimg.com/564x/89/b5/39/89b5392d6321520990ce45b123a554edc.jpg</t>
  </si>
  <si>
    <t>https://i.pinimg.com/564x/89/b5/39/89b5392d6321520990ce45b123a555edc.jpg</t>
  </si>
  <si>
    <t>https://i.pinimg.com/564x/89/b5/39/89b5392d6321520990ce45b123a556edc.jpg</t>
  </si>
  <si>
    <t>https://i.pinimg.com/564x/89/b5/39/89b5392d6321520990ce45b123a557edc.jpg</t>
  </si>
  <si>
    <t>https://i.pinimg.com/564x/89/b5/39/89b5392d6321520990ce45b123a558edc.jpg</t>
  </si>
  <si>
    <t>https://i.pinimg.com/564x/89/b5/39/89b5392d6321520990ce45b123a559edc.jpg</t>
  </si>
  <si>
    <t>https://i.pinimg.com/564x/89/b5/39/89b5392d6321520990ce45b123a560edc.jpg</t>
  </si>
  <si>
    <t>https://i.pinimg.com/564x/89/b5/39/89b5392d6321520990ce45b123a561edc.jpg</t>
  </si>
  <si>
    <t>https://i.pinimg.com/564x/89/b5/39/89b5392d6321520990ce45b123a562edc.jpg</t>
  </si>
  <si>
    <t>https://i.pinimg.com/564x/89/b5/39/89b5392d6321520990ce45b123a563edc.jpg</t>
  </si>
  <si>
    <t>https://i.pinimg.com/564x/89/b5/39/89b5392d6321520990ce45b123a564edc.jpg</t>
  </si>
  <si>
    <t>https://i.pinimg.com/564x/89/b5/39/89b5392d6321520990ce45b123a565edc.jpg</t>
  </si>
  <si>
    <t>https://i.pinimg.com/564x/89/b5/39/89b5392d6321520990ce45b123a566edc.jpg</t>
  </si>
  <si>
    <t>https://i.pinimg.com/564x/89/b5/39/89b5392d6321520990ce45b123a567edc.jpg</t>
  </si>
  <si>
    <t>https://i.pinimg.com/564x/89/b5/39/89b5392d6321520990ce45b123a568edc.jpg</t>
  </si>
  <si>
    <t>https://i.pinimg.com/564x/89/b5/39/89b5392d6321520990ce45b123a569edc.jpg</t>
  </si>
  <si>
    <t>https://i.pinimg.com/564x/89/b5/39/89b5392d6321520990ce45b123a570edc.jpg</t>
  </si>
  <si>
    <t>https://i.pinimg.com/564x/89/b5/39/89b5392d6321520990ce45b123a571edc.jpg</t>
  </si>
  <si>
    <t>https://i.pinimg.com/564x/89/b5/39/89b5392d6321520990ce45b123a572edc.jpg</t>
  </si>
  <si>
    <t>https://i.pinimg.com/564x/89/b5/39/89b5392d6321520990ce45b123a573edc.jpg</t>
  </si>
  <si>
    <t>https://i.pinimg.com/564x/89/b5/39/89b5392d6321520990ce45b123a574edc.jpg</t>
  </si>
  <si>
    <t>https://i.pinimg.com/564x/89/b5/39/89b5392d6321520990ce45b123a575edc.jpg</t>
  </si>
  <si>
    <t>https://i.pinimg.com/564x/89/b5/39/89b5392d6321520990ce45b123a576edc.jpg</t>
  </si>
  <si>
    <t>https://i.pinimg.com/564x/89/b5/39/89b5392d6321520990ce45b123a577edc.jpg</t>
  </si>
  <si>
    <t>https://i.pinimg.com/564x/89/b5/39/89b5392d6321520990ce45b123a578edc.jpg</t>
  </si>
  <si>
    <t>https://i.pinimg.com/564x/89/b5/39/89b5392d6321520990ce45b123a579edc.jpg</t>
  </si>
  <si>
    <t>https://i.pinimg.com/564x/89/b5/39/89b5392d6321520990ce45b123a580edc.jpg</t>
  </si>
  <si>
    <t>https://i.pinimg.com/564x/89/b5/39/89b5392d6321520990ce45b123a581edc.jpg</t>
  </si>
  <si>
    <t>https://i.pinimg.com/564x/89/b5/39/89b5392d6321520990ce45b123a582edc.jpg</t>
  </si>
  <si>
    <t>https://i.pinimg.com/564x/89/b5/39/89b5392d6321520990ce45b123a583edc.jpg</t>
  </si>
  <si>
    <t>https://i.pinimg.com/564x/89/b5/39/89b5392d6321520990ce45b123a584edc.jpg</t>
  </si>
  <si>
    <t>https://i.pinimg.com/564x/89/b5/39/89b5392d6321520990ce45b123a585edc.jpg</t>
  </si>
  <si>
    <t>https://i.pinimg.com/564x/89/b5/39/89b5392d6321520990ce45b123a586edc.jpg</t>
  </si>
  <si>
    <t>https://i.pinimg.com/564x/89/b5/39/89b5392d6321520990ce45b123a587edc.jpg</t>
  </si>
  <si>
    <t>https://i.pinimg.com/564x/89/b5/39/89b5392d6321520990ce45b123a588edc.jpg</t>
  </si>
  <si>
    <t>https://i.pinimg.com/564x/89/b5/39/89b5392d6321520990ce45b123a589edc.jpg</t>
  </si>
  <si>
    <t>https://i.pinimg.com/564x/89/b5/39/89b5392d6321520990ce45b123a590edc.jpg</t>
  </si>
  <si>
    <t>https://i.pinimg.com/564x/89/b5/39/89b5392d6321520990ce45b123a591edc.jpg</t>
  </si>
  <si>
    <t>https://i.pinimg.com/564x/89/b5/39/89b5392d6321520990ce45b123a592edc.jpg</t>
  </si>
  <si>
    <t>https://i.pinimg.com/564x/89/b5/39/89b5392d6321520990ce45b123a593edc.jpg</t>
  </si>
  <si>
    <t>https://i.pinimg.com/564x/89/b5/39/89b5392d6321520990ce45b123a594edc.jpg</t>
  </si>
  <si>
    <t>https://i.pinimg.com/564x/89/b5/39/89b5392d6321520990ce45b123a595edc.jpg</t>
  </si>
  <si>
    <t>https://i.pinimg.com/564x/89/b5/39/89b5392d6321520990ce45b123a596edc.jpg</t>
  </si>
  <si>
    <t>https://i.pinimg.com/564x/89/b5/39/89b5392d6321520990ce45b123a597edc.jpg</t>
  </si>
  <si>
    <t>https://i.pinimg.com/564x/89/b5/39/89b5392d6321520990ce45b123a598edc.jpg</t>
  </si>
  <si>
    <t>https://i.pinimg.com/564x/89/b5/39/89b5392d6321520990ce45b123a599edc.jpg</t>
  </si>
  <si>
    <t>https://i.pinimg.com/564x/89/b5/39/89b5392d6321520990ce45b123a600edc.jpg</t>
  </si>
  <si>
    <t>https://i.pinimg.com/564x/89/b5/39/89b5392d6321520990ce45b123a601edc.jpg</t>
  </si>
  <si>
    <t>https://i.pinimg.com/564x/89/b5/39/89b5392d6321520990ce45b123a602edc.jpg</t>
  </si>
  <si>
    <t>https://i.pinimg.com/564x/89/b5/39/89b5392d6321520990ce45b123a603edc.jpg</t>
  </si>
  <si>
    <t>https://i.pinimg.com/564x/89/b5/39/89b5392d6321520990ce45b123a604edc.jpg</t>
  </si>
  <si>
    <t>https://i.pinimg.com/564x/89/b5/39/89b5392d6321520990ce45b123a605edc.jpg</t>
  </si>
  <si>
    <t>https://i.pinimg.com/564x/89/b5/39/89b5392d6321520990ce45b123a606edc.jpg</t>
  </si>
  <si>
    <t>https://i.pinimg.com/564x/89/b5/39/89b5392d6321520990ce45b123a607edc.jpg</t>
  </si>
  <si>
    <t>https://i.pinimg.com/564x/89/b5/39/89b5392d6321520990ce45b123a608edc.jpg</t>
  </si>
  <si>
    <t>https://i.pinimg.com/564x/89/b5/39/89b5392d6321520990ce45b123a609edc.jpg</t>
  </si>
  <si>
    <t>https://i.pinimg.com/564x/89/b5/39/89b5392d6321520990ce45b123a610edc.jpg</t>
  </si>
  <si>
    <t>https://i.pinimg.com/564x/89/b5/39/89b5392d6321520990ce45b123a611edc.jpg</t>
  </si>
  <si>
    <t>https://i.pinimg.com/564x/89/b5/39/89b5392d6321520990ce45b123a612edc.jpg</t>
  </si>
  <si>
    <t>https://i.pinimg.com/564x/89/b5/39/89b5392d6321520990ce45b123a613edc.jpg</t>
  </si>
  <si>
    <t>https://i.pinimg.com/564x/89/b5/39/89b5392d6321520990ce45b123a614edc.jpg</t>
  </si>
  <si>
    <t>https://i.pinimg.com/564x/89/b5/39/89b5392d6321520990ce45b123a615edc.jpg</t>
  </si>
  <si>
    <t>https://i.pinimg.com/564x/89/b5/39/89b5392d6321520990ce45b123a616edc.jpg</t>
  </si>
  <si>
    <t>https://i.pinimg.com/564x/89/b5/39/89b5392d6321520990ce45b123a617edc.jpg</t>
  </si>
  <si>
    <t>https://i.pinimg.com/564x/89/b5/39/89b5392d6321520990ce45b123a618edc.jpg</t>
  </si>
  <si>
    <t>https://i.pinimg.com/564x/89/b5/39/89b5392d6321520990ce45b123a619edc.jpg</t>
  </si>
  <si>
    <t>https://i.pinimg.com/564x/89/b5/39/89b5392d6321520990ce45b123a620edc.jpg</t>
  </si>
  <si>
    <t>https://i.pinimg.com/564x/89/b5/39/89b5392d6321520990ce45b123a621edc.jpg</t>
  </si>
  <si>
    <t>https://i.pinimg.com/564x/89/b5/39/89b5392d6321520990ce45b123a622edc.jpg</t>
  </si>
  <si>
    <t>https://i.pinimg.com/564x/89/b5/39/89b5392d6321520990ce45b123a623edc.jpg</t>
  </si>
  <si>
    <t>https://i.pinimg.com/564x/89/b5/39/89b5392d6321520990ce45b123a624edc.jpg</t>
  </si>
  <si>
    <t>https://i.pinimg.com/564x/89/b5/39/89b5392d6321520990ce45b123a625edc.jpg</t>
  </si>
  <si>
    <t>https://i.pinimg.com/564x/89/b5/39/89b5392d6321520990ce45b123a626edc.jpg</t>
  </si>
  <si>
    <t>https://i.pinimg.com/564x/89/b5/39/89b5392d6321520990ce45b123a627edc.jpg</t>
  </si>
  <si>
    <t>https://i.pinimg.com/564x/89/b5/39/89b5392d6321520990ce45b123a628edc.jpg</t>
  </si>
  <si>
    <t>https://i.pinimg.com/564x/89/b5/39/89b5392d6321520990ce45b123a629edc.jpg</t>
  </si>
  <si>
    <t>https://i.pinimg.com/564x/89/b5/39/89b5392d6321520990ce45b123a630edc.jpg</t>
  </si>
  <si>
    <t>https://i.pinimg.com/564x/89/b5/39/89b5392d6321520990ce45b123a631edc.jpg</t>
  </si>
  <si>
    <t>https://i.pinimg.com/564x/89/b5/39/89b5392d6321520990ce45b123a632edc.jpg</t>
  </si>
  <si>
    <t>https://i.pinimg.com/564x/89/b5/39/89b5392d6321520990ce45b123a633edc.jpg</t>
  </si>
  <si>
    <t>https://i.pinimg.com/564x/89/b5/39/89b5392d6321520990ce45b123a634edc.jpg</t>
  </si>
  <si>
    <t>https://i.pinimg.com/564x/89/b5/39/89b5392d6321520990ce45b123a635edc.jpg</t>
  </si>
  <si>
    <t>https://i.pinimg.com/564x/89/b5/39/89b5392d6321520990ce45b123a636edc.jpg</t>
  </si>
  <si>
    <t>https://i.pinimg.com/564x/89/b5/39/89b5392d6321520990ce45b123a637edc.jpg</t>
  </si>
  <si>
    <t>https://i.pinimg.com/564x/89/b5/39/89b5392d6321520990ce45b123a638edc.jpg</t>
  </si>
  <si>
    <t>https://i.pinimg.com/564x/89/b5/39/89b5392d6321520990ce45b123a639edc.jpg</t>
  </si>
  <si>
    <t>https://i.pinimg.com/564x/89/b5/39/89b5392d6321520990ce45b123a640edc.jpg</t>
  </si>
  <si>
    <t>https://i.pinimg.com/564x/89/b5/39/89b5392d6321520990ce45b123a641edc.jpg</t>
  </si>
  <si>
    <t>https://i.pinimg.com/564x/89/b5/39/89b5392d6321520990ce45b123a642edc.jpg</t>
  </si>
  <si>
    <t>https://i.pinimg.com/564x/89/b5/39/89b5392d6321520990ce45b123a643edc.jpg</t>
  </si>
  <si>
    <t>https://i.pinimg.com/564x/89/b5/39/89b5392d6321520990ce45b123a644edc.jpg</t>
  </si>
  <si>
    <t>https://i.pinimg.com/564x/89/b5/39/89b5392d6321520990ce45b123a645edc.jpg</t>
  </si>
  <si>
    <t>https://i.pinimg.com/564x/89/b5/39/89b5392d6321520990ce45b123a646edc.jpg</t>
  </si>
  <si>
    <t>https://i.pinimg.com/564x/89/b5/39/89b5392d6321520990ce45b123a647edc.jpg</t>
  </si>
  <si>
    <t>https://i.pinimg.com/564x/89/b5/39/89b5392d6321520990ce45b123a648edc.jpg</t>
  </si>
  <si>
    <t>https://i.pinimg.com/564x/89/b5/39/89b5392d6321520990ce45b123a649edc.jpg</t>
  </si>
  <si>
    <t>https://i.pinimg.com/564x/89/b5/39/89b5392d6321520990ce45b123a650edc.jpg</t>
  </si>
  <si>
    <t>https://i.pinimg.com/564x/89/b5/39/89b5392d6321520990ce45b123a651edc.jpg</t>
  </si>
  <si>
    <t>https://i.pinimg.com/564x/89/b5/39/89b5392d6321520990ce45b123a652edc.jpg</t>
  </si>
  <si>
    <t>https://i.pinimg.com/564x/89/b5/39/89b5392d6321520990ce45b123a653edc.jpg</t>
  </si>
  <si>
    <t>https://i.pinimg.com/564x/89/b5/39/89b5392d6321520990ce45b123a654edc.jpg</t>
  </si>
  <si>
    <t>https://i.pinimg.com/564x/89/b5/39/89b5392d6321520990ce45b123a655edc.jpg</t>
  </si>
  <si>
    <t>https://i.pinimg.com/564x/89/b5/39/89b5392d6321520990ce45b123a656edc.jpg</t>
  </si>
  <si>
    <t>https://i.pinimg.com/564x/89/b5/39/89b5392d6321520990ce45b123a657edc.jpg</t>
  </si>
  <si>
    <t>https://i.pinimg.com/564x/89/b5/39/89b5392d6321520990ce45b123a658edc.jpg</t>
  </si>
  <si>
    <t>https://i.pinimg.com/564x/89/b5/39/89b5392d6321520990ce45b123a659edc.jpg</t>
  </si>
  <si>
    <t>https://i.pinimg.com/564x/89/b5/39/89b5392d6321520990ce45b123a660edc.jpg</t>
  </si>
  <si>
    <t>https://i.pinimg.com/564x/89/b5/39/89b5392d6321520990ce45b123a661edc.jpg</t>
  </si>
  <si>
    <t>https://i.pinimg.com/564x/89/b5/39/89b5392d6321520990ce45b123a662edc.jpg</t>
  </si>
  <si>
    <t>https://i.pinimg.com/564x/89/b5/39/89b5392d6321520990ce45b123a663edc.jpg</t>
  </si>
  <si>
    <t>https://i.pinimg.com/564x/89/b5/39/89b5392d6321520990ce45b123a664edc.jpg</t>
  </si>
  <si>
    <t>https://i.pinimg.com/564x/89/b5/39/89b5392d6321520990ce45b123a665edc.jpg</t>
  </si>
  <si>
    <t>https://i.pinimg.com/564x/89/b5/39/89b5392d6321520990ce45b123a666edc.jpg</t>
  </si>
  <si>
    <t>https://i.pinimg.com/564x/89/b5/39/89b5392d6321520990ce45b123a667edc.jpg</t>
  </si>
  <si>
    <t>https://i.pinimg.com/564x/89/b5/39/89b5392d6321520990ce45b123a668edc.jpg</t>
  </si>
  <si>
    <t>https://i.pinimg.com/564x/89/b5/39/89b5392d6321520990ce45b123a669edc.jpg</t>
  </si>
  <si>
    <t>https://i.pinimg.com/564x/89/b5/39/89b5392d6321520990ce45b123a670edc.jpg</t>
  </si>
  <si>
    <t>https://i.pinimg.com/564x/89/b5/39/89b5392d6321520990ce45b123a671edc.jpg</t>
  </si>
  <si>
    <t>https://i.pinimg.com/564x/89/b5/39/89b5392d6321520990ce45b123a672edc.jpg</t>
  </si>
  <si>
    <t>https://i.pinimg.com/564x/89/b5/39/89b5392d6321520990ce45b123a673edc.jpg</t>
  </si>
  <si>
    <t>https://i.pinimg.com/564x/89/b5/39/89b5392d6321520990ce45b123a674edc.jpg</t>
  </si>
  <si>
    <t>https://i.pinimg.com/564x/89/b5/39/89b5392d6321520990ce45b123a675edc.jpg</t>
  </si>
  <si>
    <t>https://i.pinimg.com/564x/89/b5/39/89b5392d6321520990ce45b123a676edc.jpg</t>
  </si>
  <si>
    <t>https://i.pinimg.com/564x/89/b5/39/89b5392d6321520990ce45b123a677edc.jpg</t>
  </si>
  <si>
    <t>https://i.pinimg.com/564x/89/b5/39/89b5392d6321520990ce45b123a678edc.jpg</t>
  </si>
  <si>
    <t>https://i.pinimg.com/564x/89/b5/39/89b5392d6321520990ce45b123a679edc.jpg</t>
  </si>
  <si>
    <t>https://i.pinimg.com/564x/89/b5/39/89b5392d6321520990ce45b123a680edc.jpg</t>
  </si>
  <si>
    <t>https://i.pinimg.com/564x/89/b5/39/89b5392d6321520990ce45b123a681edc.jpg</t>
  </si>
  <si>
    <t>https://i.pinimg.com/564x/89/b5/39/89b5392d6321520990ce45b123a682edc.jpg</t>
  </si>
  <si>
    <t>https://i.pinimg.com/564x/89/b5/39/89b5392d6321520990ce45b123a683edc.jpg</t>
  </si>
  <si>
    <t>https://i.pinimg.com/564x/89/b5/39/89b5392d6321520990ce45b123a684edc.jpg</t>
  </si>
  <si>
    <t>https://i.pinimg.com/564x/89/b5/39/89b5392d6321520990ce45b123a685edc.jpg</t>
  </si>
  <si>
    <t>https://i.pinimg.com/564x/89/b5/39/89b5392d6321520990ce45b123a686edc.jpg</t>
  </si>
  <si>
    <t>https://i.pinimg.com/564x/89/b5/39/89b5392d6321520990ce45b123a687edc.jpg</t>
  </si>
  <si>
    <t>https://i.pinimg.com/564x/89/b5/39/89b5392d6321520990ce45b123a688edc.jpg</t>
  </si>
  <si>
    <t>https://i.pinimg.com/564x/89/b5/39/89b5392d6321520990ce45b123a689edc.jpg</t>
  </si>
  <si>
    <t>https://i.pinimg.com/564x/89/b5/39/89b5392d6321520990ce45b123a690edc.jpg</t>
  </si>
  <si>
    <t>https://i.pinimg.com/564x/89/b5/39/89b5392d6321520990ce45b123a691edc.jpg</t>
  </si>
  <si>
    <t>https://i.pinimg.com/564x/89/b5/39/89b5392d6321520990ce45b123a692edc.jpg</t>
  </si>
  <si>
    <t>https://i.pinimg.com/564x/89/b5/39/89b5392d6321520990ce45b123a693edc.jpg</t>
  </si>
  <si>
    <t>https://i.pinimg.com/564x/89/b5/39/89b5392d6321520990ce45b123a694edc.jpg</t>
  </si>
  <si>
    <t>https://i.pinimg.com/564x/89/b5/39/89b5392d6321520990ce45b123a695edc.jpg</t>
  </si>
  <si>
    <t>https://i.pinimg.com/564x/89/b5/39/89b5392d6321520990ce45b123a696edc.jpg</t>
  </si>
  <si>
    <t>https://i.pinimg.com/564x/89/b5/39/89b5392d6321520990ce45b123a697edc.jpg</t>
  </si>
  <si>
    <t>https://i.pinimg.com/564x/89/b5/39/89b5392d6321520990ce45b123a698edc.jpg</t>
  </si>
  <si>
    <t>https://i.pinimg.com/564x/89/b5/39/89b5392d6321520990ce45b123a699edc.jpg</t>
  </si>
  <si>
    <t>https://i.pinimg.com/564x/89/b5/39/89b5392d6321520990ce45b123a700edc.jpg</t>
  </si>
  <si>
    <t>https://i.pinimg.com/564x/89/b5/39/89b5392d6321520990ce45b123a701edc.jpg</t>
  </si>
  <si>
    <t>https://i.pinimg.com/564x/89/b5/39/89b5392d6321520990ce45b123a702edc.jpg</t>
  </si>
  <si>
    <t>https://i.pinimg.com/564x/89/b5/39/89b5392d6321520990ce45b123a703edc.jpg</t>
  </si>
  <si>
    <t>https://i.pinimg.com/564x/89/b5/39/89b5392d6321520990ce45b123a704edc.jpg</t>
  </si>
  <si>
    <t>https://i.pinimg.com/564x/89/b5/39/89b5392d6321520990ce45b123a705edc.jpg</t>
  </si>
  <si>
    <t>https://i.pinimg.com/564x/89/b5/39/89b5392d6321520990ce45b123a706edc.jpg</t>
  </si>
  <si>
    <t>https://i.pinimg.com/564x/89/b5/39/89b5392d6321520990ce45b123a707edc.jpg</t>
  </si>
  <si>
    <t>https://i.pinimg.com/564x/89/b5/39/89b5392d6321520990ce45b123a708edc.jpg</t>
  </si>
  <si>
    <t>https://i.pinimg.com/564x/89/b5/39/89b5392d6321520990ce45b123a709edc.jpg</t>
  </si>
  <si>
    <t>https://i.pinimg.com/564x/89/b5/39/89b5392d6321520990ce45b123a710edc.jpg</t>
  </si>
  <si>
    <t>https://i.pinimg.com/564x/89/b5/39/89b5392d6321520990ce45b123a711edc.jpg</t>
  </si>
  <si>
    <t>https://i.pinimg.com/564x/89/b5/39/89b5392d6321520990ce45b123a712edc.jpg</t>
  </si>
  <si>
    <t>https://i.pinimg.com/564x/89/b5/39/89b5392d6321520990ce45b123a713edc.jpg</t>
  </si>
  <si>
    <t>https://i.pinimg.com/564x/89/b5/39/89b5392d6321520990ce45b123a714edc.jpg</t>
  </si>
  <si>
    <t>https://i.pinimg.com/564x/89/b5/39/89b5392d6321520990ce45b123a715edc.jpg</t>
  </si>
  <si>
    <t>https://i.pinimg.com/564x/89/b5/39/89b5392d6321520990ce45b123a716edc.jpg</t>
  </si>
  <si>
    <t>https://i.pinimg.com/564x/89/b5/39/89b5392d6321520990ce45b123a717edc.jpg</t>
  </si>
  <si>
    <t>https://i.pinimg.com/564x/89/b5/39/89b5392d6321520990ce45b123a718edc.jpg</t>
  </si>
  <si>
    <t>https://i.pinimg.com/564x/89/b5/39/89b5392d6321520990ce45b123a719edc.jpg</t>
  </si>
  <si>
    <t>https://i.pinimg.com/564x/89/b5/39/89b5392d6321520990ce45b123a720edc.jpg</t>
  </si>
  <si>
    <t>https://i.pinimg.com/564x/89/b5/39/89b5392d6321520990ce45b123a721edc.jpg</t>
  </si>
  <si>
    <t>https://i.pinimg.com/564x/89/b5/39/89b5392d6321520990ce45b123a722edc.jpg</t>
  </si>
  <si>
    <t>https://i.pinimg.com/564x/89/b5/39/89b5392d6321520990ce45b123a723edc.jpg</t>
  </si>
  <si>
    <t>https://i.pinimg.com/564x/89/b5/39/89b5392d6321520990ce45b123a724edc.jpg</t>
  </si>
  <si>
    <t>https://i.pinimg.com/564x/89/b5/39/89b5392d6321520990ce45b123a725edc.jpg</t>
  </si>
  <si>
    <t>https://i.pinimg.com/564x/89/b5/39/89b5392d6321520990ce45b123a726edc.jpg</t>
  </si>
  <si>
    <t>https://i.pinimg.com/564x/89/b5/39/89b5392d6321520990ce45b123a727edc.jpg</t>
  </si>
  <si>
    <t>https://i.pinimg.com/564x/89/b5/39/89b5392d6321520990ce45b123a728edc.jpg</t>
  </si>
  <si>
    <t>https://i.pinimg.com/564x/89/b5/39/89b5392d6321520990ce45b123a729edc.jpg</t>
  </si>
  <si>
    <t>https://i.pinimg.com/564x/89/b5/39/89b5392d6321520990ce45b123a730edc.jpg</t>
  </si>
  <si>
    <t>https://i.pinimg.com/564x/89/b5/39/89b5392d6321520990ce45b123a731edc.jpg</t>
  </si>
  <si>
    <t>https://i.pinimg.com/564x/89/b5/39/89b5392d6321520990ce45b123a732edc.jpg</t>
  </si>
  <si>
    <t>https://i.pinimg.com/564x/89/b5/39/89b5392d6321520990ce45b123a733edc.jpg</t>
  </si>
  <si>
    <t>https://i.pinimg.com/564x/89/b5/39/89b5392d6321520990ce45b123a734edc.jpg</t>
  </si>
  <si>
    <t>https://i.pinimg.com/564x/89/b5/39/89b5392d6321520990ce45b123a735edc.jpg</t>
  </si>
  <si>
    <t>https://i.pinimg.com/564x/89/b5/39/89b5392d6321520990ce45b123a736edc.jpg</t>
  </si>
  <si>
    <t>https://i.pinimg.com/564x/89/b5/39/89b5392d6321520990ce45b123a737edc.jpg</t>
  </si>
  <si>
    <t>https://i.pinimg.com/564x/89/b5/39/89b5392d6321520990ce45b123a738edc.jpg</t>
  </si>
  <si>
    <t>https://i.pinimg.com/564x/89/b5/39/89b5392d6321520990ce45b123a739edc.jpg</t>
  </si>
  <si>
    <t>https://i.pinimg.com/564x/89/b5/39/89b5392d6321520990ce45b123a740edc.jpg</t>
  </si>
  <si>
    <t>https://i.pinimg.com/564x/89/b5/39/89b5392d6321520990ce45b123a741edc.jpg</t>
  </si>
  <si>
    <t>https://i.pinimg.com/564x/89/b5/39/89b5392d6321520990ce45b123a742edc.jpg</t>
  </si>
  <si>
    <t>https://i.pinimg.com/564x/89/b5/39/89b5392d6321520990ce45b123a743edc.jpg</t>
  </si>
  <si>
    <t>https://i.pinimg.com/564x/89/b5/39/89b5392d6321520990ce45b123a744edc.jpg</t>
  </si>
  <si>
    <t>https://i.pinimg.com/564x/89/b5/39/89b5392d6321520990ce45b123a745edc.jpg</t>
  </si>
  <si>
    <t>https://i.pinimg.com/564x/89/b5/39/89b5392d6321520990ce45b123a746edc.jpg</t>
  </si>
  <si>
    <t>https://i.pinimg.com/564x/89/b5/39/89b5392d6321520990ce45b123a747edc.jpg</t>
  </si>
  <si>
    <t>https://i.pinimg.com/564x/89/b5/39/89b5392d6321520990ce45b123a748edc.jpg</t>
  </si>
  <si>
    <t>https://i.pinimg.com/564x/89/b5/39/89b5392d6321520990ce45b123a749edc.jpg</t>
  </si>
  <si>
    <t>https://i.pinimg.com/564x/89/b5/39/89b5392d6321520990ce45b123a750edc.jpg</t>
  </si>
  <si>
    <t>https://i.pinimg.com/564x/89/b5/39/89b5392d6321520990ce45b123a751edc.jpg</t>
  </si>
  <si>
    <t>https://i.pinimg.com/564x/89/b5/39/89b5392d6321520990ce45b123a752edc.jpg</t>
  </si>
  <si>
    <t>https://i.pinimg.com/564x/89/b5/39/89b5392d6321520990ce45b123a753edc.jpg</t>
  </si>
  <si>
    <t>https://i.pinimg.com/564x/89/b5/39/89b5392d6321520990ce45b123a754edc.jpg</t>
  </si>
  <si>
    <t>https://i.pinimg.com/564x/89/b5/39/89b5392d6321520990ce45b123a755edc.jpg</t>
  </si>
  <si>
    <t>https://i.pinimg.com/564x/89/b5/39/89b5392d6321520990ce45b123a756edc.jpg</t>
  </si>
  <si>
    <t>https://i.pinimg.com/564x/89/b5/39/89b5392d6321520990ce45b123a757edc.jpg</t>
  </si>
  <si>
    <t>https://i.pinimg.com/564x/89/b5/39/89b5392d6321520990ce45b123a758edc.jpg</t>
  </si>
  <si>
    <t>https://i.pinimg.com/564x/89/b5/39/89b5392d6321520990ce45b123a759edc.jpg</t>
  </si>
  <si>
    <t>https://i.pinimg.com/564x/89/b5/39/89b5392d6321520990ce45b123a760edc.jpg</t>
  </si>
  <si>
    <t>https://i.pinimg.com/564x/89/b5/39/89b5392d6321520990ce45b123a761edc.jpg</t>
  </si>
  <si>
    <t>https://i.pinimg.com/564x/89/b5/39/89b5392d6321520990ce45b123a762edc.jpg</t>
  </si>
  <si>
    <t>https://i.pinimg.com/564x/89/b5/39/89b5392d6321520990ce45b123a763edc.jpg</t>
  </si>
  <si>
    <t>https://i.pinimg.com/564x/89/b5/39/89b5392d6321520990ce45b123a764edc.jpg</t>
  </si>
  <si>
    <t>https://i.pinimg.com/564x/89/b5/39/89b5392d6321520990ce45b123a765edc.jpg</t>
  </si>
  <si>
    <t>https://i.pinimg.com/564x/89/b5/39/89b5392d6321520990ce45b123a766edc.jpg</t>
  </si>
  <si>
    <t>https://i.pinimg.com/564x/89/b5/39/89b5392d6321520990ce45b123a767edc.jpg</t>
  </si>
  <si>
    <t>https://i.pinimg.com/564x/89/b5/39/89b5392d6321520990ce45b123a768edc.jpg</t>
  </si>
  <si>
    <t>https://i.pinimg.com/564x/89/b5/39/89b5392d6321520990ce45b123a769edc.jpg</t>
  </si>
  <si>
    <t>https://i.pinimg.com/564x/89/b5/39/89b5392d6321520990ce45b123a770edc.jpg</t>
  </si>
  <si>
    <t>https://i.pinimg.com/564x/89/b5/39/89b5392d6321520990ce45b123a771edc.jpg</t>
  </si>
  <si>
    <t>https://i.pinimg.com/564x/89/b5/39/89b5392d6321520990ce45b123a772edc.jpg</t>
  </si>
  <si>
    <t>https://i.pinimg.com/564x/89/b5/39/89b5392d6321520990ce45b123a773edc.jpg</t>
  </si>
  <si>
    <t>https://i.pinimg.com/564x/89/b5/39/89b5392d6321520990ce45b123a774edc.jpg</t>
  </si>
  <si>
    <t>https://i.pinimg.com/564x/89/b5/39/89b5392d6321520990ce45b123a775edc.jpg</t>
  </si>
  <si>
    <t>https://i.pinimg.com/564x/89/b5/39/89b5392d6321520990ce45b123a776edc.jpg</t>
  </si>
  <si>
    <t>https://i.pinimg.com/564x/89/b5/39/89b5392d6321520990ce45b123a777edc.jpg</t>
  </si>
  <si>
    <t>https://i.pinimg.com/564x/89/b5/39/89b5392d6321520990ce45b123a778edc.jpg</t>
  </si>
  <si>
    <t>https://i.pinimg.com/564x/89/b5/39/89b5392d6321520990ce45b123a779edc.jpg</t>
  </si>
  <si>
    <t>https://i.pinimg.com/564x/89/b5/39/89b5392d6321520990ce45b123a780edc.jpg</t>
  </si>
  <si>
    <t>https://i.pinimg.com/564x/89/b5/39/89b5392d6321520990ce45b123a781edc.jpg</t>
  </si>
  <si>
    <t>https://i.pinimg.com/564x/89/b5/39/89b5392d6321520990ce45b123a782edc.jpg</t>
  </si>
  <si>
    <t>https://i.pinimg.com/564x/89/b5/39/89b5392d6321520990ce45b123a783edc.jpg</t>
  </si>
  <si>
    <t>https://i.pinimg.com/564x/89/b5/39/89b5392d6321520990ce45b123a784edc.jpg</t>
  </si>
  <si>
    <t>https://i.pinimg.com/564x/89/b5/39/89b5392d6321520990ce45b123a785edc.jpg</t>
  </si>
  <si>
    <t>https://i.pinimg.com/564x/89/b5/39/89b5392d6321520990ce45b123a786edc.jpg</t>
  </si>
  <si>
    <t>https://i.pinimg.com/564x/89/b5/39/89b5392d6321520990ce45b123a787edc.jpg</t>
  </si>
  <si>
    <t>https://i.pinimg.com/564x/89/b5/39/89b5392d6321520990ce45b123a788edc.jpg</t>
  </si>
  <si>
    <t>https://i.pinimg.com/564x/89/b5/39/89b5392d6321520990ce45b123a789edc.jpg</t>
  </si>
  <si>
    <t>https://i.pinimg.com/564x/89/b5/39/89b5392d6321520990ce45b123a790edc.jpg</t>
  </si>
  <si>
    <t>https://i.pinimg.com/564x/89/b5/39/89b5392d6321520990ce45b123a791edc.jpg</t>
  </si>
  <si>
    <t>https://i.pinimg.com/564x/89/b5/39/89b5392d6321520990ce45b123a792edc.jpg</t>
  </si>
  <si>
    <t>https://i.pinimg.com/564x/89/b5/39/89b5392d6321520990ce45b123a793edc.jpg</t>
  </si>
  <si>
    <t>https://i.pinimg.com/564x/89/b5/39/89b5392d6321520990ce45b123a794edc.jpg</t>
  </si>
  <si>
    <t>https://i.pinimg.com/564x/89/b5/39/89b5392d6321520990ce45b123a795edc.jpg</t>
  </si>
  <si>
    <t>https://i.pinimg.com/564x/89/b5/39/89b5392d6321520990ce45b123a796edc.jpg</t>
  </si>
  <si>
    <t>https://i.pinimg.com/564x/89/b5/39/89b5392d6321520990ce45b123a797edc.jpg</t>
  </si>
  <si>
    <t>https://i.pinimg.com/564x/89/b5/39/89b5392d6321520990ce45b123a798edc.jpg</t>
  </si>
  <si>
    <t>https://i.pinimg.com/564x/89/b5/39/89b5392d6321520990ce45b123a799edc.jpg</t>
  </si>
  <si>
    <t>https://i.pinimg.com/564x/89/b5/39/89b5392d6321520990ce45b123a800edc.jpg</t>
  </si>
  <si>
    <t>https://i.pinimg.com/564x/89/b5/39/89b5392d6321520990ce45b123a801edc.jpg</t>
  </si>
  <si>
    <t>https://i.pinimg.com/564x/89/b5/39/89b5392d6321520990ce45b123a802edc.jpg</t>
  </si>
  <si>
    <t>https://i.pinimg.com/564x/89/b5/39/89b5392d6321520990ce45b123a803edc.jpg</t>
  </si>
  <si>
    <t>https://i.pinimg.com/564x/89/b5/39/89b5392d6321520990ce45b123a804edc.jpg</t>
  </si>
  <si>
    <t>https://i.pinimg.com/564x/89/b5/39/89b5392d6321520990ce45b123a805edc.jpg</t>
  </si>
  <si>
    <t>https://i.pinimg.com/564x/89/b5/39/89b5392d6321520990ce45b123a806edc.jpg</t>
  </si>
  <si>
    <t>https://i.pinimg.com/564x/89/b5/39/89b5392d6321520990ce45b123a807edc.jpg</t>
  </si>
  <si>
    <t>https://i.pinimg.com/564x/89/b5/39/89b5392d6321520990ce45b123a808edc.jpg</t>
  </si>
  <si>
    <t>https://i.pinimg.com/564x/89/b5/39/89b5392d6321520990ce45b123a809edc.jpg</t>
  </si>
  <si>
    <t>https://i.pinimg.com/564x/89/b5/39/89b5392d6321520990ce45b123a810edc.jpg</t>
  </si>
  <si>
    <t>https://i.pinimg.com/564x/89/b5/39/89b5392d6321520990ce45b123a811edc.jpg</t>
  </si>
  <si>
    <t>https://i.pinimg.com/564x/89/b5/39/89b5392d6321520990ce45b123a812edc.jpg</t>
  </si>
  <si>
    <t>https://i.pinimg.com/564x/89/b5/39/89b5392d6321520990ce45b123a813edc.jpg</t>
  </si>
  <si>
    <t>https://i.pinimg.com/564x/89/b5/39/89b5392d6321520990ce45b123a814edc.jpg</t>
  </si>
  <si>
    <t>https://i.pinimg.com/564x/89/b5/39/89b5392d6321520990ce45b123a815edc.jpg</t>
  </si>
  <si>
    <t>https://i.pinimg.com/564x/89/b5/39/89b5392d6321520990ce45b123a816edc.jpg</t>
  </si>
  <si>
    <t>https://i.pinimg.com/564x/89/b5/39/89b5392d6321520990ce45b123a817edc.jpg</t>
  </si>
  <si>
    <t>https://i.pinimg.com/564x/89/b5/39/89b5392d6321520990ce45b123a818edc.jpg</t>
  </si>
  <si>
    <t>https://i.pinimg.com/564x/89/b5/39/89b5392d6321520990ce45b123a819edc.jpg</t>
  </si>
  <si>
    <t>https://i.pinimg.com/564x/89/b5/39/89b5392d6321520990ce45b123a820edc.jpg</t>
  </si>
  <si>
    <t>https://i.pinimg.com/564x/89/b5/39/89b5392d6321520990ce45b123a821edc.jpg</t>
  </si>
  <si>
    <t>https://i.pinimg.com/564x/89/b5/39/89b5392d6321520990ce45b123a822edc.jpg</t>
  </si>
  <si>
    <t>https://i.pinimg.com/564x/89/b5/39/89b5392d6321520990ce45b123a823edc.jpg</t>
  </si>
  <si>
    <t>https://i.pinimg.com/564x/89/b5/39/89b5392d6321520990ce45b123a824edc.jpg</t>
  </si>
  <si>
    <t>https://i.pinimg.com/564x/89/b5/39/89b5392d6321520990ce45b123a825edc.jpg</t>
  </si>
  <si>
    <t>https://i.pinimg.com/564x/89/b5/39/89b5392d6321520990ce45b123a826edc.jpg</t>
  </si>
  <si>
    <t>https://i.pinimg.com/564x/89/b5/39/89b5392d6321520990ce45b123a827edc.jpg</t>
  </si>
  <si>
    <t>https://i.pinimg.com/564x/89/b5/39/89b5392d6321520990ce45b123a828edc.jpg</t>
  </si>
  <si>
    <t>https://i.pinimg.com/564x/89/b5/39/89b5392d6321520990ce45b123a829edc.jpg</t>
  </si>
  <si>
    <t>https://i.pinimg.com/564x/89/b5/39/89b5392d6321520990ce45b123a830edc.jpg</t>
  </si>
  <si>
    <t>https://i.pinimg.com/564x/89/b5/39/89b5392d6321520990ce45b123a831edc.jpg</t>
  </si>
  <si>
    <t>https://i.pinimg.com/564x/89/b5/39/89b5392d6321520990ce45b123a832edc.jpg</t>
  </si>
  <si>
    <t>https://i.pinimg.com/564x/89/b5/39/89b5392d6321520990ce45b123a833edc.jpg</t>
  </si>
  <si>
    <t>https://i.pinimg.com/564x/89/b5/39/89b5392d6321520990ce45b123a834edc.jpg</t>
  </si>
  <si>
    <t>https://i.pinimg.com/564x/89/b5/39/89b5392d6321520990ce45b123a835edc.jpg</t>
  </si>
  <si>
    <t>https://i.pinimg.com/564x/89/b5/39/89b5392d6321520990ce45b123a836edc.jpg</t>
  </si>
  <si>
    <t>https://i.pinimg.com/564x/89/b5/39/89b5392d6321520990ce45b123a837edc.jpg</t>
  </si>
  <si>
    <t>https://i.pinimg.com/564x/89/b5/39/89b5392d6321520990ce45b123a838edc.jpg</t>
  </si>
  <si>
    <t>https://i.pinimg.com/564x/89/b5/39/89b5392d6321520990ce45b123a839edc.jpg</t>
  </si>
  <si>
    <t>https://i.pinimg.com/564x/89/b5/39/89b5392d6321520990ce45b123a840edc.jpg</t>
  </si>
  <si>
    <t>https://i.pinimg.com/564x/89/b5/39/89b5392d6321520990ce45b123a841edc.jpg</t>
  </si>
  <si>
    <t>https://i.pinimg.com/564x/89/b5/39/89b5392d6321520990ce45b123a842edc.jpg</t>
  </si>
  <si>
    <t>https://i.pinimg.com/564x/89/b5/39/89b5392d6321520990ce45b123a843edc.jpg</t>
  </si>
  <si>
    <t>https://i.pinimg.com/564x/89/b5/39/89b5392d6321520990ce45b123a844edc.jpg</t>
  </si>
  <si>
    <t>https://i.pinimg.com/564x/89/b5/39/89b5392d6321520990ce45b123a845edc.jpg</t>
  </si>
  <si>
    <t>https://i.pinimg.com/564x/89/b5/39/89b5392d6321520990ce45b123a846edc.jpg</t>
  </si>
  <si>
    <t>https://i.pinimg.com/564x/89/b5/39/89b5392d6321520990ce45b123a847edc.jpg</t>
  </si>
  <si>
    <t>https://i.pinimg.com/564x/89/b5/39/89b5392d6321520990ce45b123a848edc.jpg</t>
  </si>
  <si>
    <t>https://i.pinimg.com/564x/89/b5/39/89b5392d6321520990ce45b123a849edc.jpg</t>
  </si>
  <si>
    <t>https://i.pinimg.com/564x/89/b5/39/89b5392d6321520990ce45b123a850edc.jpg</t>
  </si>
  <si>
    <t>https://i.pinimg.com/564x/89/b5/39/89b5392d6321520990ce45b123a851edc.jpg</t>
  </si>
  <si>
    <t>https://i.pinimg.com/564x/89/b5/39/89b5392d6321520990ce45b123a852edc.jpg</t>
  </si>
  <si>
    <t>https://i.pinimg.com/564x/89/b5/39/89b5392d6321520990ce45b123a853edc.jpg</t>
  </si>
  <si>
    <t>https://i.pinimg.com/564x/89/b5/39/89b5392d6321520990ce45b123a854edc.jpg</t>
  </si>
  <si>
    <t>https://i.pinimg.com/564x/89/b5/39/89b5392d6321520990ce45b123a855edc.jpg</t>
  </si>
  <si>
    <t>https://i.pinimg.com/564x/89/b5/39/89b5392d6321520990ce45b123a856edc.jpg</t>
  </si>
  <si>
    <t>https://i.pinimg.com/564x/89/b5/39/89b5392d6321520990ce45b123a857edc.jpg</t>
  </si>
  <si>
    <t>https://i.pinimg.com/564x/89/b5/39/89b5392d6321520990ce45b123a858edc.jpg</t>
  </si>
  <si>
    <t>https://i.pinimg.com/564x/89/b5/39/89b5392d6321520990ce45b123a859edc.jpg</t>
  </si>
  <si>
    <t>https://i.pinimg.com/564x/89/b5/39/89b5392d6321520990ce45b123a860edc.jpg</t>
  </si>
  <si>
    <t>https://i.pinimg.com/564x/89/b5/39/89b5392d6321520990ce45b123a861edc.jpg</t>
  </si>
  <si>
    <t>https://i.pinimg.com/564x/89/b5/39/89b5392d6321520990ce45b123a862edc.jpg</t>
  </si>
  <si>
    <t>https://i.pinimg.com/564x/89/b5/39/89b5392d6321520990ce45b123a863edc.jpg</t>
  </si>
  <si>
    <t>https://i.pinimg.com/564x/89/b5/39/89b5392d6321520990ce45b123a864edc.jpg</t>
  </si>
  <si>
    <t>https://i.pinimg.com/564x/89/b5/39/89b5392d6321520990ce45b123a865edc.jpg</t>
  </si>
  <si>
    <t>https://i.pinimg.com/564x/89/b5/39/89b5392d6321520990ce45b123a866edc.jpg</t>
  </si>
  <si>
    <t>https://i.pinimg.com/564x/89/b5/39/89b5392d6321520990ce45b123a867edc.jpg</t>
  </si>
  <si>
    <t>https://i.pinimg.com/564x/89/b5/39/89b5392d6321520990ce45b123a868edc.jpg</t>
  </si>
  <si>
    <t>https://i.pinimg.com/564x/89/b5/39/89b5392d6321520990ce45b123a869edc.jpg</t>
  </si>
  <si>
    <t>https://i.pinimg.com/564x/89/b5/39/89b5392d6321520990ce45b123a870edc.jpg</t>
  </si>
  <si>
    <t>https://i.pinimg.com/564x/89/b5/39/89b5392d6321520990ce45b123a871edc.jpg</t>
  </si>
  <si>
    <t>https://i.pinimg.com/564x/89/b5/39/89b5392d6321520990ce45b123a872edc.jpg</t>
  </si>
  <si>
    <t>https://i.pinimg.com/564x/89/b5/39/89b5392d6321520990ce45b123a873edc.jpg</t>
  </si>
  <si>
    <t>https://i.pinimg.com/564x/89/b5/39/89b5392d6321520990ce45b123a874edc.jpg</t>
  </si>
  <si>
    <t>https://i.pinimg.com/564x/89/b5/39/89b5392d6321520990ce45b123a875edc.jpg</t>
  </si>
  <si>
    <t>https://i.pinimg.com/564x/89/b5/39/89b5392d6321520990ce45b123a876edc.jpg</t>
  </si>
  <si>
    <t>https://i.pinimg.com/564x/89/b5/39/89b5392d6321520990ce45b123a877edc.jpg</t>
  </si>
  <si>
    <t>https://i.pinimg.com/564x/89/b5/39/89b5392d6321520990ce45b123a878edc.jpg</t>
  </si>
  <si>
    <t>https://i.pinimg.com/564x/89/b5/39/89b5392d6321520990ce45b123a879edc.jpg</t>
  </si>
  <si>
    <t>https://i.pinimg.com/564x/89/b5/39/89b5392d6321520990ce45b123a880edc.jpg</t>
  </si>
  <si>
    <t>https://i.pinimg.com/564x/89/b5/39/89b5392d6321520990ce45b123a881edc.jpg</t>
  </si>
  <si>
    <t>https://i.pinimg.com/564x/89/b5/39/89b5392d6321520990ce45b123a882edc.jpg</t>
  </si>
  <si>
    <t>https://i.pinimg.com/564x/89/b5/39/89b5392d6321520990ce45b123a883edc.jpg</t>
  </si>
  <si>
    <t>https://i.pinimg.com/564x/89/b5/39/89b5392d6321520990ce45b123a884edc.jpg</t>
  </si>
  <si>
    <t>https://i.pinimg.com/564x/89/b5/39/89b5392d6321520990ce45b123a885edc.jpg</t>
  </si>
  <si>
    <t>https://i.pinimg.com/564x/89/b5/39/89b5392d6321520990ce45b123a886edc.jpg</t>
  </si>
  <si>
    <t>https://i.pinimg.com/564x/89/b5/39/89b5392d6321520990ce45b123a887edc.jpg</t>
  </si>
  <si>
    <t>https://i.pinimg.com/564x/89/b5/39/89b5392d6321520990ce45b123a888edc.jpg</t>
  </si>
  <si>
    <t>https://i.pinimg.com/564x/89/b5/39/89b5392d6321520990ce45b123a889edc.jpg</t>
  </si>
  <si>
    <t>https://i.pinimg.com/564x/89/b5/39/89b5392d6321520990ce45b123a890edc.jpg</t>
  </si>
  <si>
    <t>https://i.pinimg.com/564x/89/b5/39/89b5392d6321520990ce45b123a891edc.jpg</t>
  </si>
  <si>
    <t>https://i.pinimg.com/564x/89/b5/39/89b5392d6321520990ce45b123a892edc.jpg</t>
  </si>
  <si>
    <t>https://i.pinimg.com/564x/89/b5/39/89b5392d6321520990ce45b123a893edc.jpg</t>
  </si>
  <si>
    <t>https://i.pinimg.com/564x/89/b5/39/89b5392d6321520990ce45b123a894edc.jpg</t>
  </si>
  <si>
    <t>https://i.pinimg.com/564x/89/b5/39/89b5392d6321520990ce45b123a895edc.jpg</t>
  </si>
  <si>
    <t>https://i.pinimg.com/564x/89/b5/39/89b5392d6321520990ce45b123a896edc.jpg</t>
  </si>
  <si>
    <t>https://i.pinimg.com/564x/89/b5/39/89b5392d6321520990ce45b123a897edc.jpg</t>
  </si>
  <si>
    <t>https://i.pinimg.com/564x/89/b5/39/89b5392d6321520990ce45b123a898edc.jpg</t>
  </si>
  <si>
    <t>https://i.pinimg.com/564x/89/b5/39/89b5392d6321520990ce45b123a899edc.jpg</t>
  </si>
  <si>
    <t>https://i.pinimg.com/564x/89/b5/39/89b5392d6321520990ce45b123a900edc.jpg</t>
  </si>
  <si>
    <t>https://i.pinimg.com/564x/89/b5/39/89b5392d6321520990ce45b123a901edc.jpg</t>
  </si>
  <si>
    <t>https://i.pinimg.com/564x/89/b5/39/89b5392d6321520990ce45b123a902edc.jpg</t>
  </si>
  <si>
    <t>https://i.pinimg.com/564x/89/b5/39/89b5392d6321520990ce45b123a903edc.jpg</t>
  </si>
  <si>
    <t>https://i.pinimg.com/564x/89/b5/39/89b5392d6321520990ce45b123a904edc.jpg</t>
  </si>
  <si>
    <t>https://i.pinimg.com/564x/89/b5/39/89b5392d6321520990ce45b123a905edc.jpg</t>
  </si>
  <si>
    <t>https://i.pinimg.com/564x/89/b5/39/89b5392d6321520990ce45b123a906edc.jpg</t>
  </si>
  <si>
    <t>https://i.pinimg.com/564x/89/b5/39/89b5392d6321520990ce45b123a907edc.jpg</t>
  </si>
  <si>
    <t>https://i.pinimg.com/564x/89/b5/39/89b5392d6321520990ce45b123a908edc.jpg</t>
  </si>
  <si>
    <t>https://i.pinimg.com/564x/89/b5/39/89b5392d6321520990ce45b123a909edc.jpg</t>
  </si>
  <si>
    <t>https://i.pinimg.com/564x/89/b5/39/89b5392d6321520990ce45b123a910edc.jpg</t>
  </si>
  <si>
    <t>https://i.pinimg.com/564x/89/b5/39/89b5392d6321520990ce45b123a911edc.jpg</t>
  </si>
  <si>
    <t>https://i.pinimg.com/564x/89/b5/39/89b5392d6321520990ce45b123a912edc.jpg</t>
  </si>
  <si>
    <t>https://i.pinimg.com/564x/89/b5/39/89b5392d6321520990ce45b123a913edc.jpg</t>
  </si>
  <si>
    <t>https://i.pinimg.com/564x/89/b5/39/89b5392d6321520990ce45b123a914edc.jpg</t>
  </si>
  <si>
    <t>https://i.pinimg.com/564x/89/b5/39/89b5392d6321520990ce45b123a915edc.jpg</t>
  </si>
  <si>
    <t>https://i.pinimg.com/564x/89/b5/39/89b5392d6321520990ce45b123a916edc.jpg</t>
  </si>
  <si>
    <t>https://i.pinimg.com/564x/89/b5/39/89b5392d6321520990ce45b123a917edc.jpg</t>
  </si>
  <si>
    <t>https://i.pinimg.com/564x/89/b5/39/89b5392d6321520990ce45b123a918edc.jpg</t>
  </si>
  <si>
    <t>https://i.pinimg.com/564x/89/b5/39/89b5392d6321520990ce45b123a919edc.jpg</t>
  </si>
  <si>
    <t>https://i.pinimg.com/564x/89/b5/39/89b5392d6321520990ce45b123a920edc.jpg</t>
  </si>
  <si>
    <t>https://i.pinimg.com/564x/89/b5/39/89b5392d6321520990ce45b123a921edc.jpg</t>
  </si>
  <si>
    <t>https://i.pinimg.com/564x/89/b5/39/89b5392d6321520990ce45b123a922edc.jpg</t>
  </si>
  <si>
    <t>https://i.pinimg.com/564x/89/b5/39/89b5392d6321520990ce45b123a923edc.jpg</t>
  </si>
  <si>
    <t>https://i.pinimg.com/564x/89/b5/39/89b5392d6321520990ce45b123a924edc.jpg</t>
  </si>
  <si>
    <t>https://i.pinimg.com/564x/89/b5/39/89b5392d6321520990ce45b123a925edc.jpg</t>
  </si>
  <si>
    <t>https://i.pinimg.com/564x/89/b5/39/89b5392d6321520990ce45b123a926edc.jpg</t>
  </si>
  <si>
    <t>https://i.pinimg.com/564x/89/b5/39/89b5392d6321520990ce45b123a927edc.jpg</t>
  </si>
  <si>
    <t>https://i.pinimg.com/564x/89/b5/39/89b5392d6321520990ce45b123a928edc.jpg</t>
  </si>
  <si>
    <t>https://i.pinimg.com/564x/89/b5/39/89b5392d6321520990ce45b123a929edc.jpg</t>
  </si>
  <si>
    <t>https://i.pinimg.com/564x/89/b5/39/89b5392d6321520990ce45b123a930edc.jpg</t>
  </si>
  <si>
    <t>https://i.pinimg.com/564x/89/b5/39/89b5392d6321520990ce45b123a931edc.jpg</t>
  </si>
  <si>
    <t>https://i.pinimg.com/564x/89/b5/39/89b5392d6321520990ce45b123a932edc.jpg</t>
  </si>
  <si>
    <t>https://i.pinimg.com/564x/89/b5/39/89b5392d6321520990ce45b123a933edc.jpg</t>
  </si>
  <si>
    <t>https://i.pinimg.com/564x/89/b5/39/89b5392d6321520990ce45b123a934edc.jpg</t>
  </si>
  <si>
    <t>https://i.pinimg.com/564x/89/b5/39/89b5392d6321520990ce45b123a935edc.jpg</t>
  </si>
  <si>
    <t>https://i.pinimg.com/564x/89/b5/39/89b5392d6321520990ce45b123a936edc.jpg</t>
  </si>
  <si>
    <t>https://i.pinimg.com/564x/89/b5/39/89b5392d6321520990ce45b123a937edc.jpg</t>
  </si>
  <si>
    <t>https://i.pinimg.com/564x/89/b5/39/89b5392d6321520990ce45b123a938edc.jpg</t>
  </si>
  <si>
    <t>https://i.pinimg.com/564x/89/b5/39/89b5392d6321520990ce45b123a939edc.jpg</t>
  </si>
  <si>
    <t>https://i.pinimg.com/564x/89/b5/39/89b5392d6321520990ce45b123a940edc.jpg</t>
  </si>
  <si>
    <t>https://i.pinimg.com/564x/89/b5/39/89b5392d6321520990ce45b123a941edc.jpg</t>
  </si>
  <si>
    <t>https://i.pinimg.com/564x/89/b5/39/89b5392d6321520990ce45b123a942edc.jpg</t>
  </si>
  <si>
    <t>https://i.pinimg.com/564x/89/b5/39/89b5392d6321520990ce45b123a943edc.jpg</t>
  </si>
  <si>
    <t>https://i.pinimg.com/564x/89/b5/39/89b5392d6321520990ce45b123a944edc.jpg</t>
  </si>
  <si>
    <t>https://i.pinimg.com/564x/89/b5/39/89b5392d6321520990ce45b123a945edc.jpg</t>
  </si>
  <si>
    <t>https://i.pinimg.com/564x/89/b5/39/89b5392d6321520990ce45b123a946edc.jpg</t>
  </si>
  <si>
    <t>https://i.pinimg.com/564x/89/b5/39/89b5392d6321520990ce45b123a947edc.jpg</t>
  </si>
  <si>
    <t>https://i.pinimg.com/564x/89/b5/39/89b5392d6321520990ce45b123a948edc.jpg</t>
  </si>
  <si>
    <t>https://i.pinimg.com/564x/89/b5/39/89b5392d6321520990ce45b123a949edc.jpg</t>
  </si>
  <si>
    <t>https://i.pinimg.com/564x/89/b5/39/89b5392d6321520990ce45b123a950edc.jpg</t>
  </si>
  <si>
    <t>https://i.pinimg.com/564x/89/b5/39/89b5392d6321520990ce45b123a951edc.jpg</t>
  </si>
  <si>
    <t>https://i.pinimg.com/564x/89/b5/39/89b5392d6321520990ce45b123a952edc.jpg</t>
  </si>
  <si>
    <t>https://i.pinimg.com/564x/89/b5/39/89b5392d6321520990ce45b123a953edc.jpg</t>
  </si>
  <si>
    <t>https://i.pinimg.com/564x/89/b5/39/89b5392d6321520990ce45b123a954edc.jpg</t>
  </si>
  <si>
    <t>https://i.pinimg.com/564x/89/b5/39/89b5392d6321520990ce45b123a955edc.jpg</t>
  </si>
  <si>
    <t>https://i.pinimg.com/564x/89/b5/39/89b5392d6321520990ce45b123a956edc.jpg</t>
  </si>
  <si>
    <t>https://i.pinimg.com/564x/89/b5/39/89b5392d6321520990ce45b123a957edc.jpg</t>
  </si>
  <si>
    <t>https://i.pinimg.com/564x/89/b5/39/89b5392d6321520990ce45b123a958edc.jpg</t>
  </si>
  <si>
    <t>https://i.pinimg.com/564x/89/b5/39/89b5392d6321520990ce45b123a959edc.jpg</t>
  </si>
  <si>
    <t>https://i.pinimg.com/564x/89/b5/39/89b5392d6321520990ce45b123a960edc.jpg</t>
  </si>
  <si>
    <t>https://i.pinimg.com/564x/89/b5/39/89b5392d6321520990ce45b123a961edc.jpg</t>
  </si>
  <si>
    <t>https://i.pinimg.com/564x/89/b5/39/89b5392d6321520990ce45b123a962edc.jpg</t>
  </si>
  <si>
    <t>https://i.pinimg.com/564x/89/b5/39/89b5392d6321520990ce45b123a963edc.jpg</t>
  </si>
  <si>
    <t>https://i.pinimg.com/564x/89/b5/39/89b5392d6321520990ce45b123a964edc.jpg</t>
  </si>
  <si>
    <t>https://i.pinimg.com/564x/89/b5/39/89b5392d6321520990ce45b123a965edc.jpg</t>
  </si>
  <si>
    <t>https://i.pinimg.com/564x/89/b5/39/89b5392d6321520990ce45b123a966edc.jpg</t>
  </si>
  <si>
    <t>https://i.pinimg.com/564x/89/b5/39/89b5392d6321520990ce45b123a967edc.jpg</t>
  </si>
  <si>
    <t>https://i.pinimg.com/564x/89/b5/39/89b5392d6321520990ce45b123a968edc.jpg</t>
  </si>
  <si>
    <t>https://i.pinimg.com/564x/89/b5/39/89b5392d6321520990ce45b123a969edc.jpg</t>
  </si>
  <si>
    <t>https://i.pinimg.com/564x/89/b5/39/89b5392d6321520990ce45b123a970edc.jpg</t>
  </si>
  <si>
    <t>https://i.pinimg.com/564x/89/b5/39/89b5392d6321520990ce45b123a971edc.jpg</t>
  </si>
  <si>
    <t>https://i.pinimg.com/564x/89/b5/39/89b5392d6321520990ce45b123a972edc.jpg</t>
  </si>
  <si>
    <t>https://i.pinimg.com/564x/89/b5/39/89b5392d6321520990ce45b123a973edc.jpg</t>
  </si>
  <si>
    <t>https://i.pinimg.com/564x/89/b5/39/89b5392d6321520990ce45b123a974edc.jpg</t>
  </si>
  <si>
    <t>https://i.pinimg.com/564x/89/b5/39/89b5392d6321520990ce45b123a975edc.jpg</t>
  </si>
  <si>
    <t>https://i.pinimg.com/564x/89/b5/39/89b5392d6321520990ce45b123a976edc.jpg</t>
  </si>
  <si>
    <t>https://i.pinimg.com/564x/89/b5/39/89b5392d6321520990ce45b123a977edc.jpg</t>
  </si>
  <si>
    <t>https://i.pinimg.com/564x/89/b5/39/89b5392d6321520990ce45b123a978edc.jpg</t>
  </si>
  <si>
    <t>https://i.pinimg.com/564x/89/b5/39/89b5392d6321520990ce45b123a979edc.jpg</t>
  </si>
  <si>
    <t>https://i.pinimg.com/564x/89/b5/39/89b5392d6321520990ce45b123a980edc.jpg</t>
  </si>
  <si>
    <t>https://i.pinimg.com/564x/89/b5/39/89b5392d6321520990ce45b123a981edc.jpg</t>
  </si>
  <si>
    <t>https://i.pinimg.com/564x/89/b5/39/89b5392d6321520990ce45b123a982edc.jpg</t>
  </si>
  <si>
    <t>https://i.pinimg.com/564x/89/b5/39/89b5392d6321520990ce45b123a983edc.jpg</t>
  </si>
  <si>
    <t>https://i.pinimg.com/564x/89/b5/39/89b5392d6321520990ce45b123a984edc.jpg</t>
  </si>
  <si>
    <t>https://i.pinimg.com/564x/89/b5/39/89b5392d6321520990ce45b123a985edc.jpg</t>
  </si>
  <si>
    <t>https://i.pinimg.com/564x/89/b5/39/89b5392d6321520990ce45b123a986edc.jpg</t>
  </si>
  <si>
    <t>https://i.pinimg.com/564x/89/b5/39/89b5392d6321520990ce45b123a987edc.jpg</t>
  </si>
  <si>
    <t>https://i.pinimg.com/564x/89/b5/39/89b5392d6321520990ce45b123a988edc.jpg</t>
  </si>
  <si>
    <t>https://i.pinimg.com/564x/89/b5/39/89b5392d6321520990ce45b123a989edc.jpg</t>
  </si>
  <si>
    <t>https://i.pinimg.com/564x/89/b5/39/89b5392d6321520990ce45b123a990edc.jpg</t>
  </si>
  <si>
    <t>https://i.pinimg.com/564x/89/b5/39/89b5392d6321520990ce45b123a991edc.jpg</t>
  </si>
  <si>
    <t>https://i.pinimg.com/564x/89/b5/39/89b5392d6321520990ce45b123a992edc.jpg</t>
  </si>
  <si>
    <t>https://i.pinimg.com/564x/89/b5/39/89b5392d6321520990ce45b123a993edc.jpg</t>
  </si>
  <si>
    <t>https://i.pinimg.com/564x/89/b5/39/89b5392d6321520990ce45b123a994edc.jpg</t>
  </si>
  <si>
    <t>https://i.pinimg.com/564x/89/b5/39/89b5392d6321520990ce45b123a995edc.jpg</t>
  </si>
  <si>
    <t>https://i.pinimg.com/564x/89/b5/39/89b5392d6321520990ce45b123a996edc.jpg</t>
  </si>
  <si>
    <t>https://i.pinimg.com/564x/89/b5/39/89b5392d6321520990ce45b123a997edc.jpg</t>
  </si>
  <si>
    <t>https://i.pinimg.com/564x/89/b5/39/89b5392d6321520990ce45b123a998edc.jpg</t>
  </si>
  <si>
    <t>https://i.pinimg.com/564x/89/b5/39/89b5392d6321520990ce45b123a999edc.jpg</t>
  </si>
  <si>
    <t>https://i.pinimg.com/564x/89/b5/39/89b5392d6321520990ce45b123a1000edc.jpg</t>
  </si>
  <si>
    <t>https://i.pinimg.com/564x/89/b5/39/89b5392d6321520990ce45b123a1001edc.jpg</t>
  </si>
  <si>
    <t>https://i.pinimg.com/564x/89/b5/39/89b5392d6321520990ce45b123a1002edc.jpg</t>
  </si>
  <si>
    <t>https://i.pinimg.com/564x/89/b5/39/89b5392d6321520990ce45b123a1003edc.jpg</t>
  </si>
  <si>
    <t>https://i.pinimg.com/564x/89/b5/39/89b5392d6321520990ce45b123a1004edc.jpg</t>
  </si>
  <si>
    <t>https://i.pinimg.com/564x/89/b5/39/89b5392d6321520990ce45b123a1005edc.jpg</t>
  </si>
  <si>
    <t>https://i.pinimg.com/564x/89/b5/39/89b5392d6321520990ce45b123a1006edc.jpg</t>
  </si>
  <si>
    <t>https://i.pinimg.com/564x/89/b5/39/89b5392d6321520990ce45b123a1007edc.jpg</t>
  </si>
  <si>
    <t>https://i.pinimg.com/564x/89/b5/39/89b5392d6321520990ce45b123a1008edc.jpg</t>
  </si>
  <si>
    <t>https://i.pinimg.com/564x/89/b5/39/89b5392d6321520990ce45b123a1009edc.jpg</t>
  </si>
  <si>
    <t>https://i.pinimg.com/564x/89/b5/39/89b5392d6321520990ce45b123a1010edc.jpg</t>
  </si>
  <si>
    <t>https://i.pinimg.com/564x/89/b5/39/89b5392d6321520990ce45b123a1011edc.jpg</t>
  </si>
  <si>
    <t>https://i.pinimg.com/564x/89/b5/39/89b5392d6321520990ce45b123a1012edc.jpg</t>
  </si>
  <si>
    <t>https://i.pinimg.com/564x/89/b5/39/89b5392d6321520990ce45b123a1013edc.jpg</t>
  </si>
  <si>
    <t>https://i.pinimg.com/564x/89/b5/39/89b5392d6321520990ce45b123a1014edc.jpg</t>
  </si>
  <si>
    <t>https://i.pinimg.com/564x/89/b5/39/89b5392d6321520990ce45b123a1015edc.jpg</t>
  </si>
  <si>
    <t>https://i.pinimg.com/564x/89/b5/39/89b5392d6321520990ce45b123a1016edc.jpg</t>
  </si>
  <si>
    <t>https://i.pinimg.com/564x/89/b5/39/89b5392d6321520990ce45b123a1017edc.jpg</t>
  </si>
  <si>
    <t>https://i.pinimg.com/564x/89/b5/39/89b5392d6321520990ce45b123a1018edc.jpg</t>
  </si>
  <si>
    <t>https://i.pinimg.com/564x/89/b5/39/89b5392d6321520990ce45b123a1019edc.jpg</t>
  </si>
  <si>
    <t>https://i.pinimg.com/564x/89/b5/39/89b5392d6321520990ce45b123a1020edc.jpg</t>
  </si>
  <si>
    <t>https://i.pinimg.com/564x/89/b5/39/89b5392d6321520990ce45b123a1021edc.jpg</t>
  </si>
  <si>
    <t>https://i.pinimg.com/564x/89/b5/39/89b5392d6321520990ce45b123a1022edc.jpg</t>
  </si>
  <si>
    <t>https://i.pinimg.com/564x/89/b5/39/89b5392d6321520990ce45b123a1023edc.jpg</t>
  </si>
  <si>
    <t>https://i.pinimg.com/564x/89/b5/39/89b5392d6321520990ce45b123a1024edc.jpg</t>
  </si>
  <si>
    <t>https://i.pinimg.com/564x/89/b5/39/89b5392d6321520990ce45b123a1025edc.jpg</t>
  </si>
  <si>
    <t>https://i.pinimg.com/564x/89/b5/39/89b5392d6321520990ce45b123a1026edc.jpg</t>
  </si>
  <si>
    <t>https://i.pinimg.com/564x/89/b5/39/89b5392d6321520990ce45b123a1027edc.jpg</t>
  </si>
  <si>
    <t>https://i.pinimg.com/564x/89/b5/39/89b5392d6321520990ce45b123a1028edc.jpg</t>
  </si>
  <si>
    <t>https://i.pinimg.com/564x/89/b5/39/89b5392d6321520990ce45b123a1029edc.jpg</t>
  </si>
  <si>
    <t>https://i.pinimg.com/564x/89/b5/39/89b5392d6321520990ce45b123a1030edc.jpg</t>
  </si>
  <si>
    <t>https://i.pinimg.com/564x/89/b5/39/89b5392d6321520990ce45b123a1031edc.jpg</t>
  </si>
  <si>
    <t>https://i.pinimg.com/564x/89/b5/39/89b5392d6321520990ce45b123a1032edc.jpg</t>
  </si>
  <si>
    <t>https://i.pinimg.com/564x/89/b5/39/89b5392d6321520990ce45b123a1033edc.jpg</t>
  </si>
  <si>
    <t>https://i.pinimg.com/564x/89/b5/39/89b5392d6321520990ce45b123a1034edc.jpg</t>
  </si>
  <si>
    <t>https://i.pinimg.com/564x/89/b5/39/89b5392d6321520990ce45b123a1035edc.jpg</t>
  </si>
  <si>
    <t>https://i.pinimg.com/564x/89/b5/39/89b5392d6321520990ce45b123a1036edc.jpg</t>
  </si>
  <si>
    <t>https://i.pinimg.com/564x/89/b5/39/89b5392d6321520990ce45b123a1037edc.jpg</t>
  </si>
  <si>
    <t>https://i.pinimg.com/564x/89/b5/39/89b5392d6321520990ce45b123a1038edc.jpg</t>
  </si>
  <si>
    <t>https://i.pinimg.com/564x/89/b5/39/89b5392d6321520990ce45b123a1039edc.jpg</t>
  </si>
  <si>
    <t>https://i.pinimg.com/564x/89/b5/39/89b5392d6321520990ce45b123a1040edc.jpg</t>
  </si>
  <si>
    <t>https://i.pinimg.com/564x/89/b5/39/89b5392d6321520990ce45b123a1041edc.jpg</t>
  </si>
  <si>
    <t>https://i.pinimg.com/564x/89/b5/39/89b5392d6321520990ce45b123a1042edc.jpg</t>
  </si>
  <si>
    <t>https://i.pinimg.com/564x/89/b5/39/89b5392d6321520990ce45b123a1043edc.jpg</t>
  </si>
  <si>
    <t>https://i.pinimg.com/564x/89/b5/39/89b5392d6321520990ce45b123a1044edc.jpg</t>
  </si>
  <si>
    <t>https://i.pinimg.com/564x/89/b5/39/89b5392d6321520990ce45b123a1045edc.jpg</t>
  </si>
  <si>
    <t>https://i.pinimg.com/564x/89/b5/39/89b5392d6321520990ce45b123a1046edc.jpg</t>
  </si>
  <si>
    <t>https://i.pinimg.com/564x/89/b5/39/89b5392d6321520990ce45b123a1047edc.jpg</t>
  </si>
  <si>
    <t>https://i.pinimg.com/564x/89/b5/39/89b5392d6321520990ce45b123a1048edc.jpg</t>
  </si>
  <si>
    <t>https://i.pinimg.com/564x/89/b5/39/89b5392d6321520990ce45b123a1049edc.jpg</t>
  </si>
  <si>
    <t>https://i.pinimg.com/564x/89/b5/39/89b5392d6321520990ce45b123a1050edc.jpg</t>
  </si>
  <si>
    <t>https://i.pinimg.com/564x/89/b5/39/89b5392d6321520990ce45b123a1051edc.jpg</t>
  </si>
  <si>
    <t>https://i.pinimg.com/564x/89/b5/39/89b5392d6321520990ce45b123a1052edc.jpg</t>
  </si>
  <si>
    <t>https://i.pinimg.com/564x/89/b5/39/89b5392d6321520990ce45b123a1053edc.jpg</t>
  </si>
  <si>
    <t>https://i.pinimg.com/564x/89/b5/39/89b5392d6321520990ce45b123a1054edc.jpg</t>
  </si>
  <si>
    <t>https://i.pinimg.com/564x/89/b5/39/89b5392d6321520990ce45b123a1055edc.jpg</t>
  </si>
  <si>
    <t>https://i.pinimg.com/564x/89/b5/39/89b5392d6321520990ce45b123a1056edc.jpg</t>
  </si>
  <si>
    <t>https://i.pinimg.com/564x/89/b5/39/89b5392d6321520990ce45b123a1057edc.jpg</t>
  </si>
  <si>
    <t>https://i.pinimg.com/564x/89/b5/39/89b5392d6321520990ce45b123a1058edc.jpg</t>
  </si>
  <si>
    <t>https://i.pinimg.com/564x/89/b5/39/89b5392d6321520990ce45b123a1059edc.jpg</t>
  </si>
  <si>
    <t>https://i.pinimg.com/564x/89/b5/39/89b5392d6321520990ce45b123a1060edc.jpg</t>
  </si>
  <si>
    <t>https://i.pinimg.com/564x/89/b5/39/89b5392d6321520990ce45b123a1061edc.jpg</t>
  </si>
  <si>
    <t>https://i.pinimg.com/564x/89/b5/39/89b5392d6321520990ce45b123a1062edc.jpg</t>
  </si>
  <si>
    <t>https://i.pinimg.com/564x/89/b5/39/89b5392d6321520990ce45b123a1063edc.jpg</t>
  </si>
  <si>
    <t>https://i.pinimg.com/564x/89/b5/39/89b5392d6321520990ce45b123a1064edc.jpg</t>
  </si>
  <si>
    <t>https://i.pinimg.com/564x/89/b5/39/89b5392d6321520990ce45b123a1065edc.jpg</t>
  </si>
  <si>
    <t>https://i.pinimg.com/564x/89/b5/39/89b5392d6321520990ce45b123a1066edc.jpg</t>
  </si>
  <si>
    <t>https://i.pinimg.com/564x/89/b5/39/89b5392d6321520990ce45b123a1067edc.jpg</t>
  </si>
  <si>
    <t>https://i.pinimg.com/564x/89/b5/39/89b5392d6321520990ce45b123a1068edc.jpg</t>
  </si>
  <si>
    <t>https://i.pinimg.com/564x/89/b5/39/89b5392d6321520990ce45b123a1069edc.jpg</t>
  </si>
  <si>
    <t>https://i.pinimg.com/564x/89/b5/39/89b5392d6321520990ce45b123a1070edc.jpg</t>
  </si>
  <si>
    <t>https://i.pinimg.com/564x/89/b5/39/89b5392d6321520990ce45b123a1071edc.jpg</t>
  </si>
  <si>
    <t>https://i.pinimg.com/564x/89/b5/39/89b5392d6321520990ce45b123a1072edc.jpg</t>
  </si>
  <si>
    <t>https://i.pinimg.com/564x/89/b5/39/89b5392d6321520990ce45b123a1073edc.jpg</t>
  </si>
  <si>
    <t>https://i.pinimg.com/564x/89/b5/39/89b5392d6321520990ce45b123a1074edc.jpg</t>
  </si>
  <si>
    <t>https://i.pinimg.com/564x/89/b5/39/89b5392d6321520990ce45b123a1075edc.jpg</t>
  </si>
  <si>
    <t>https://i.pinimg.com/564x/89/b5/39/89b5392d6321520990ce45b123a1076edc.jpg</t>
  </si>
  <si>
    <t>https://i.pinimg.com/564x/89/b5/39/89b5392d6321520990ce45b123a1077edc.jpg</t>
  </si>
  <si>
    <t>https://i.pinimg.com/564x/89/b5/39/89b5392d6321520990ce45b123a1078edc.jpg</t>
  </si>
  <si>
    <t>https://i.pinimg.com/564x/89/b5/39/89b5392d6321520990ce45b123a1079edc.jpg</t>
  </si>
  <si>
    <t>https://i.pinimg.com/564x/89/b5/39/89b5392d6321520990ce45b123a1080edc.jpg</t>
  </si>
  <si>
    <t>https://i.pinimg.com/564x/89/b5/39/89b5392d6321520990ce45b123a1081edc.jpg</t>
  </si>
  <si>
    <t>https://i.pinimg.com/564x/89/b5/39/89b5392d6321520990ce45b123a1082edc.jpg</t>
  </si>
  <si>
    <t>https://i.pinimg.com/564x/89/b5/39/89b5392d6321520990ce45b123a1083edc.jpg</t>
  </si>
  <si>
    <t>https://i.pinimg.com/564x/89/b5/39/89b5392d6321520990ce45b123a1084edc.jpg</t>
  </si>
  <si>
    <t>https://i.pinimg.com/564x/89/b5/39/89b5392d6321520990ce45b123a1085edc.jpg</t>
  </si>
  <si>
    <t>https://i.pinimg.com/564x/89/b5/39/89b5392d6321520990ce45b123a1086edc.jpg</t>
  </si>
  <si>
    <t>https://i.pinimg.com/564x/89/b5/39/89b5392d6321520990ce45b123a1087edc.jpg</t>
  </si>
  <si>
    <t>https://i.pinimg.com/564x/89/b5/39/89b5392d6321520990ce45b123a1088edc.jpg</t>
  </si>
  <si>
    <t>https://i.pinimg.com/564x/89/b5/39/89b5392d6321520990ce45b123a1089edc.jpg</t>
  </si>
  <si>
    <t>https://i.pinimg.com/564x/89/b5/39/89b5392d6321520990ce45b123a1090edc.jpg</t>
  </si>
  <si>
    <t>https://i.pinimg.com/564x/89/b5/39/89b5392d6321520990ce45b123a1091edc.jpg</t>
  </si>
  <si>
    <t>https://i.pinimg.com/564x/89/b5/39/89b5392d6321520990ce45b123a1092edc.jpg</t>
  </si>
  <si>
    <t>https://i.pinimg.com/564x/89/b5/39/89b5392d6321520990ce45b123a1093edc.jpg</t>
  </si>
  <si>
    <t>https://i.pinimg.com/564x/89/b5/39/89b5392d6321520990ce45b123a1094edc.jpg</t>
  </si>
  <si>
    <t>https://i.pinimg.com/564x/89/b5/39/89b5392d6321520990ce45b123a1095edc.jpg</t>
  </si>
  <si>
    <t>https://i.pinimg.com/564x/89/b5/39/89b5392d6321520990ce45b123a1096edc.jpg</t>
  </si>
  <si>
    <t>https://i.pinimg.com/564x/89/b5/39/89b5392d6321520990ce45b123a1097edc.jpg</t>
  </si>
  <si>
    <t>https://i.pinimg.com/564x/89/b5/39/89b5392d6321520990ce45b123a1098edc.jpg</t>
  </si>
  <si>
    <t>https://i.pinimg.com/564x/89/b5/39/89b5392d6321520990ce45b123a1099edc.jpg</t>
  </si>
  <si>
    <t>https://i.pinimg.com/564x/89/b5/39/89b5392d6321520990ce45b123a1100edc.jpg</t>
  </si>
  <si>
    <t>https://i.pinimg.com/564x/89/b5/39/89b5392d6321520990ce45b123a1101edc.jpg</t>
  </si>
  <si>
    <t>https://i.pinimg.com/564x/89/b5/39/89b5392d6321520990ce45b123a1102edc.jpg</t>
  </si>
  <si>
    <t>https://i.pinimg.com/564x/89/b5/39/89b5392d6321520990ce45b123a1103edc.jpg</t>
  </si>
  <si>
    <t>https://i.pinimg.com/564x/89/b5/39/89b5392d6321520990ce45b123a1104edc.jpg</t>
  </si>
  <si>
    <t>https://i.pinimg.com/564x/89/b5/39/89b5392d6321520990ce45b123a1105edc.jpg</t>
  </si>
  <si>
    <t>https://i.pinimg.com/564x/89/b5/39/89b5392d6321520990ce45b123a1106edc.jpg</t>
  </si>
  <si>
    <t>https://i.pinimg.com/564x/89/b5/39/89b5392d6321520990ce45b123a1107edc.jpg</t>
  </si>
  <si>
    <t>https://i.pinimg.com/564x/89/b5/39/89b5392d6321520990ce45b123a1108edc.jpg</t>
  </si>
  <si>
    <t>https://i.pinimg.com/564x/89/b5/39/89b5392d6321520990ce45b123a1109edc.jpg</t>
  </si>
  <si>
    <t>https://i.pinimg.com/564x/89/b5/39/89b5392d6321520990ce45b123a1110edc.jpg</t>
  </si>
  <si>
    <t>https://i.pinimg.com/564x/89/b5/39/89b5392d6321520990ce45b123a1111edc.jpg</t>
  </si>
  <si>
    <t>https://i.pinimg.com/564x/89/b5/39/89b5392d6321520990ce45b123a1112edc.jpg</t>
  </si>
  <si>
    <t>https://i.pinimg.com/564x/89/b5/39/89b5392d6321520990ce45b123a1113edc.jpg</t>
  </si>
  <si>
    <t>https://i.pinimg.com/564x/89/b5/39/89b5392d6321520990ce45b123a1114edc.jpg</t>
  </si>
  <si>
    <t>https://i.pinimg.com/564x/89/b5/39/89b5392d6321520990ce45b123a1115edc.jpg</t>
  </si>
  <si>
    <t>https://i.pinimg.com/564x/89/b5/39/89b5392d6321520990ce45b123a1116edc.jpg</t>
  </si>
  <si>
    <t>https://i.pinimg.com/564x/89/b5/39/89b5392d6321520990ce45b123a1117edc.jpg</t>
  </si>
  <si>
    <t>https://i.pinimg.com/564x/89/b5/39/89b5392d6321520990ce45b123a1118edc.jpg</t>
  </si>
  <si>
    <t>https://i.pinimg.com/564x/89/b5/39/89b5392d6321520990ce45b123a1119edc.jpg</t>
  </si>
  <si>
    <t>https://i.pinimg.com/564x/89/b5/39/89b5392d6321520990ce45b123a1120edc.jpg</t>
  </si>
  <si>
    <t>https://i.pinimg.com/564x/89/b5/39/89b5392d6321520990ce45b123a1121edc.jpg</t>
  </si>
  <si>
    <t>https://i.pinimg.com/564x/89/b5/39/89b5392d6321520990ce45b123a1122edc.jpg</t>
  </si>
  <si>
    <t>https://i.pinimg.com/564x/89/b5/39/89b5392d6321520990ce45b123a1123edc.jpg</t>
  </si>
  <si>
    <t>https://i.pinimg.com/564x/89/b5/39/89b5392d6321520990ce45b123a1124edc.jpg</t>
  </si>
  <si>
    <t>https://i.pinimg.com/564x/89/b5/39/89b5392d6321520990ce45b123a1125edc.jpg</t>
  </si>
  <si>
    <t>https://i.pinimg.com/564x/89/b5/39/89b5392d6321520990ce45b123a1126edc.jpg</t>
  </si>
  <si>
    <t>https://i.pinimg.com/564x/89/b5/39/89b5392d6321520990ce45b123a1127edc.jpg</t>
  </si>
  <si>
    <t>https://i.pinimg.com/564x/89/b5/39/89b5392d6321520990ce45b123a1128edc.jpg</t>
  </si>
  <si>
    <t>https://i.pinimg.com/564x/89/b5/39/89b5392d6321520990ce45b123a1129edc.jpg</t>
  </si>
  <si>
    <t>https://i.pinimg.com/564x/89/b5/39/89b5392d6321520990ce45b123a1130edc.jpg</t>
  </si>
  <si>
    <t>https://i.pinimg.com/564x/89/b5/39/89b5392d6321520990ce45b123a1131edc.jpg</t>
  </si>
  <si>
    <t>https://i.pinimg.com/564x/89/b5/39/89b5392d6321520990ce45b123a1132edc.jpg</t>
  </si>
  <si>
    <t>https://i.pinimg.com/564x/89/b5/39/89b5392d6321520990ce45b123a1133edc.jpg</t>
  </si>
  <si>
    <t>https://i.pinimg.com/564x/89/b5/39/89b5392d6321520990ce45b123a1134edc.jpg</t>
  </si>
  <si>
    <t>https://i.pinimg.com/564x/89/b5/39/89b5392d6321520990ce45b123a1135edc.jpg</t>
  </si>
  <si>
    <t>https://i.pinimg.com/564x/89/b5/39/89b5392d6321520990ce45b123a1136edc.jpg</t>
  </si>
  <si>
    <t>https://i.pinimg.com/564x/89/b5/39/89b5392d6321520990ce45b123a1137edc.jpg</t>
  </si>
  <si>
    <t>https://i.pinimg.com/564x/89/b5/39/89b5392d6321520990ce45b123a1138edc.jpg</t>
  </si>
  <si>
    <t>https://i.pinimg.com/564x/89/b5/39/89b5392d6321520990ce45b123a1139edc.jpg</t>
  </si>
  <si>
    <t>https://i.pinimg.com/564x/89/b5/39/89b5392d6321520990ce45b123a1140edc.jpg</t>
  </si>
  <si>
    <t>https://i.pinimg.com/564x/89/b5/39/89b5392d6321520990ce45b123a1141edc.jpg</t>
  </si>
  <si>
    <t>https://i.pinimg.com/564x/89/b5/39/89b5392d6321520990ce45b123a1142edc.jpg</t>
  </si>
  <si>
    <t>https://i.pinimg.com/564x/89/b5/39/89b5392d6321520990ce45b123a1143edc.jpg</t>
  </si>
  <si>
    <t>https://i.pinimg.com/564x/89/b5/39/89b5392d6321520990ce45b123a1144edc.jpg</t>
  </si>
  <si>
    <t>https://i.pinimg.com/564x/89/b5/39/89b5392d6321520990ce45b123a1145edc.jpg</t>
  </si>
  <si>
    <t>https://i.pinimg.com/564x/89/b5/39/89b5392d6321520990ce45b123a1146edc.jpg</t>
  </si>
  <si>
    <t>https://i.pinimg.com/564x/89/b5/39/89b5392d6321520990ce45b123a1147edc.jpg</t>
  </si>
  <si>
    <t>https://i.pinimg.com/564x/89/b5/39/89b5392d6321520990ce45b123a1148edc.jpg</t>
  </si>
  <si>
    <t>https://i.pinimg.com/564x/89/b5/39/89b5392d6321520990ce45b123a1149edc.jpg</t>
  </si>
  <si>
    <t>https://i.pinimg.com/564x/89/b5/39/89b5392d6321520990ce45b123a1150edc.jpg</t>
  </si>
  <si>
    <t>https://i.pinimg.com/564x/89/b5/39/89b5392d6321520990ce45b123a1151edc.jpg</t>
  </si>
  <si>
    <t>https://i.pinimg.com/564x/89/b5/39/89b5392d6321520990ce45b123a1152edc.jpg</t>
  </si>
  <si>
    <t>https://i.pinimg.com/564x/89/b5/39/89b5392d6321520990ce45b123a1153edc.jpg</t>
  </si>
  <si>
    <t>https://i.pinimg.com/564x/89/b5/39/89b5392d6321520990ce45b123a1154edc.jpg</t>
  </si>
  <si>
    <t>https://i.pinimg.com/564x/89/b5/39/89b5392d6321520990ce45b123a1155edc.jpg</t>
  </si>
  <si>
    <t>https://i.pinimg.com/564x/89/b5/39/89b5392d6321520990ce45b123a1156edc.jpg</t>
  </si>
  <si>
    <t>https://i.pinimg.com/564x/89/b5/39/89b5392d6321520990ce45b123a1157edc.jpg</t>
  </si>
  <si>
    <t>https://i.pinimg.com/564x/89/b5/39/89b5392d6321520990ce45b123a1158edc.jpg</t>
  </si>
  <si>
    <t>https://i.pinimg.com/564x/89/b5/39/89b5392d6321520990ce45b123a1159edc.jpg</t>
  </si>
  <si>
    <t>https://i.pinimg.com/564x/89/b5/39/89b5392d6321520990ce45b123a1160edc.jpg</t>
  </si>
  <si>
    <t>https://i.pinimg.com/564x/89/b5/39/89b5392d6321520990ce45b123a1161edc.jpg</t>
  </si>
  <si>
    <t>https://i.pinimg.com/564x/89/b5/39/89b5392d6321520990ce45b123a1162edc.jpg</t>
  </si>
  <si>
    <t>https://i.pinimg.com/564x/89/b5/39/89b5392d6321520990ce45b123a1163edc.jpg</t>
  </si>
  <si>
    <t>https://i.pinimg.com/564x/89/b5/39/89b5392d6321520990ce45b123a1164edc.jpg</t>
  </si>
  <si>
    <t>https://i.pinimg.com/564x/89/b5/39/89b5392d6321520990ce45b123a1165edc.jpg</t>
  </si>
  <si>
    <t>https://i.pinimg.com/564x/89/b5/39/89b5392d6321520990ce45b123a1166edc.jpg</t>
  </si>
  <si>
    <t>https://i.pinimg.com/564x/89/b5/39/89b5392d6321520990ce45b123a1167edc.jpg</t>
  </si>
  <si>
    <t>https://i.pinimg.com/564x/89/b5/39/89b5392d6321520990ce45b123a1168edc.jpg</t>
  </si>
  <si>
    <t>https://i.pinimg.com/564x/89/b5/39/89b5392d6321520990ce45b123a1169edc.jpg</t>
  </si>
  <si>
    <t>https://i.pinimg.com/564x/89/b5/39/89b5392d6321520990ce45b123a1170edc.jpg</t>
  </si>
  <si>
    <t>https://i.pinimg.com/564x/89/b5/39/89b5392d6321520990ce45b123a1171edc.jpg</t>
  </si>
  <si>
    <t>https://i.pinimg.com/564x/89/b5/39/89b5392d6321520990ce45b123a1172edc.jpg</t>
  </si>
  <si>
    <t>https://i.pinimg.com/564x/89/b5/39/89b5392d6321520990ce45b123a1173edc.jpg</t>
  </si>
  <si>
    <t>https://i.pinimg.com/564x/89/b5/39/89b5392d6321520990ce45b123a1174edc.jpg</t>
  </si>
  <si>
    <t>https://i.pinimg.com/564x/89/b5/39/89b5392d6321520990ce45b123a1175edc.jpg</t>
  </si>
  <si>
    <t>https://i.pinimg.com/564x/89/b5/39/89b5392d6321520990ce45b123a1176edc.jpg</t>
  </si>
  <si>
    <t>https://i.pinimg.com/564x/89/b5/39/89b5392d6321520990ce45b123a1177edc.jpg</t>
  </si>
  <si>
    <t>https://i.pinimg.com/564x/89/b5/39/89b5392d6321520990ce45b123a1178edc.jpg</t>
  </si>
  <si>
    <t>https://i.pinimg.com/564x/89/b5/39/89b5392d6321520990ce45b123a1179edc.jpg</t>
  </si>
  <si>
    <t>https://i.pinimg.com/564x/89/b5/39/89b5392d6321520990ce45b123a1180edc.jpg</t>
  </si>
  <si>
    <t>https://i.pinimg.com/564x/89/b5/39/89b5392d6321520990ce45b123a1181edc.jpg</t>
  </si>
  <si>
    <t>https://i.pinimg.com/564x/89/b5/39/89b5392d6321520990ce45b123a1182edc.jpg</t>
  </si>
  <si>
    <t>https://i.pinimg.com/564x/89/b5/39/89b5392d6321520990ce45b123a1183edc.jpg</t>
  </si>
  <si>
    <t>https://i.pinimg.com/564x/89/b5/39/89b5392d6321520990ce45b123a1184edc.jpg</t>
  </si>
  <si>
    <t>https://i.pinimg.com/564x/89/b5/39/89b5392d6321520990ce45b123a1185edc.jpg</t>
  </si>
  <si>
    <t>https://i.pinimg.com/564x/89/b5/39/89b5392d6321520990ce45b123a1186edc.jpg</t>
  </si>
  <si>
    <t>https://i.pinimg.com/564x/89/b5/39/89b5392d6321520990ce45b123a1187edc.jpg</t>
  </si>
  <si>
    <t>https://i.pinimg.com/564x/89/b5/39/89b5392d6321520990ce45b123a1188edc.jpg</t>
  </si>
  <si>
    <t>https://i.pinimg.com/564x/89/b5/39/89b5392d6321520990ce45b123a1189edc.jpg</t>
  </si>
  <si>
    <t>https://i.pinimg.com/564x/89/b5/39/89b5392d6321520990ce45b123a1190edc.jpg</t>
  </si>
  <si>
    <t>https://i.pinimg.com/564x/89/b5/39/89b5392d6321520990ce45b123a1191edc.jpg</t>
  </si>
  <si>
    <t>https://i.pinimg.com/564x/89/b5/39/89b5392d6321520990ce45b123a1192edc.jpg</t>
  </si>
  <si>
    <t>https://i.pinimg.com/564x/89/b5/39/89b5392d6321520990ce45b123a1193edc.jpg</t>
  </si>
  <si>
    <t>https://i.pinimg.com/564x/89/b5/39/89b5392d6321520990ce45b123a1194edc.jpg</t>
  </si>
  <si>
    <t>https://i.pinimg.com/564x/89/b5/39/89b5392d6321520990ce45b123a1195edc.jpg</t>
  </si>
  <si>
    <t>https://i.pinimg.com/564x/89/b5/39/89b5392d6321520990ce45b123a1196edc.jpg</t>
  </si>
  <si>
    <t>https://i.pinimg.com/564x/89/b5/39/89b5392d6321520990ce45b123a1197edc.jpg</t>
  </si>
  <si>
    <t>https://i.pinimg.com/564x/89/b5/39/89b5392d6321520990ce45b123a1198edc.jpg</t>
  </si>
  <si>
    <t>https://i.pinimg.com/564x/89/b5/39/89b5392d6321520990ce45b123a1199edc.jpg</t>
  </si>
  <si>
    <t>https://i.pinimg.com/564x/89/b5/39/89b5392d6321520990ce45b123a1200edc.jpg</t>
  </si>
  <si>
    <t>https://i.pinimg.com/564x/89/b5/39/89b5392d6321520990ce45b123a1201edc.jpg</t>
  </si>
  <si>
    <t>https://i.pinimg.com/564x/89/b5/39/89b5392d6321520990ce45b123a1202edc.jpg</t>
  </si>
  <si>
    <t>https://i.pinimg.com/564x/89/b5/39/89b5392d6321520990ce45b123a1203edc.jpg</t>
  </si>
  <si>
    <t>https://i.pinimg.com/564x/89/b5/39/89b5392d6321520990ce45b123a1204edc.jpg</t>
  </si>
  <si>
    <t>https://i.pinimg.com/564x/89/b5/39/89b5392d6321520990ce45b123a1205edc.jpg</t>
  </si>
  <si>
    <t>https://i.pinimg.com/564x/89/b5/39/89b5392d6321520990ce45b123a1206edc.jpg</t>
  </si>
  <si>
    <t>https://i.pinimg.com/564x/89/b5/39/89b5392d6321520990ce45b123a1207edc.jpg</t>
  </si>
  <si>
    <t>https://i.pinimg.com/564x/89/b5/39/89b5392d6321520990ce45b123a1208edc.jpg</t>
  </si>
  <si>
    <t>https://i.pinimg.com/564x/89/b5/39/89b5392d6321520990ce45b123a1209edc.jpg</t>
  </si>
  <si>
    <t>https://i.pinimg.com/564x/89/b5/39/89b5392d6321520990ce45b123a1210edc.jpg</t>
  </si>
  <si>
    <t>https://i.pinimg.com/564x/89/b5/39/89b5392d6321520990ce45b123a1211edc.jpg</t>
  </si>
  <si>
    <t>https://i.pinimg.com/564x/89/b5/39/89b5392d6321520990ce45b123a1212edc.jpg</t>
  </si>
  <si>
    <t>https://i.pinimg.com/564x/89/b5/39/89b5392d6321520990ce45b123a1213edc.jpg</t>
  </si>
  <si>
    <t>https://i.pinimg.com/564x/89/b5/39/89b5392d6321520990ce45b123a1214edc.jpg</t>
  </si>
  <si>
    <t>https://i.pinimg.com/564x/89/b5/39/89b5392d6321520990ce45b123a1215edc.jpg</t>
  </si>
  <si>
    <t>https://i.pinimg.com/564x/89/b5/39/89b5392d6321520990ce45b123a1216edc.jpg</t>
  </si>
  <si>
    <t>默认头像</t>
    <phoneticPr fontId="1" type="noConversion"/>
  </si>
  <si>
    <t>https://www.pesmaster.com/pes-2021-mobile/graphics/players/52326.png</t>
    <phoneticPr fontId="1" type="noConversion"/>
  </si>
  <si>
    <t>米龙·穆斯利奇、伯格斯塔勒、赫韦德斯</t>
    <phoneticPr fontId="1" type="noConversion"/>
  </si>
  <si>
    <t>斯卢茨基、别列祖茨基</t>
    <phoneticPr fontId="1" type="noConversion"/>
  </si>
  <si>
    <t>麦克法兰 、杨戬</t>
    <phoneticPr fontId="1" type="noConversion"/>
  </si>
  <si>
    <t>哈维、奥斯卡、大卫·普拉茨</t>
    <phoneticPr fontId="1" type="noConversion"/>
  </si>
  <si>
    <t>莫弗克恩</t>
    <phoneticPr fontId="1" type="noConversion"/>
  </si>
  <si>
    <t>喀麦隆</t>
    <phoneticPr fontId="1" type="noConversion"/>
  </si>
  <si>
    <t>加雷斯·索斯盖特、格林</t>
    <phoneticPr fontId="1" type="noConversion"/>
  </si>
  <si>
    <t>测试、理疗师 测试、助教 R-测试、运动主管 A-测试室、领队 A-测测测测、助教 C-得得得饿</t>
    <phoneticPr fontId="1" type="noConversion"/>
  </si>
  <si>
    <t>马雷克商业银行 600</t>
    <phoneticPr fontId="1" type="noConversion"/>
  </si>
  <si>
    <t>马雷克省投控 600</t>
    <phoneticPr fontId="1" type="noConversion"/>
  </si>
  <si>
    <t>东平县金控集团 700</t>
    <phoneticPr fontId="1" type="noConversion"/>
  </si>
  <si>
    <t>加西亚华人商会 1300</t>
    <phoneticPr fontId="1" type="noConversion"/>
  </si>
  <si>
    <t>中海外 1300</t>
    <phoneticPr fontId="1" type="noConversion"/>
  </si>
  <si>
    <t>里拉赫县议会</t>
    <phoneticPr fontId="1" type="noConversion"/>
  </si>
  <si>
    <t>加西亚穆斯林商会 500</t>
    <phoneticPr fontId="1" type="noConversion"/>
  </si>
  <si>
    <t>国家糖业集团 1200</t>
    <phoneticPr fontId="1" type="noConversion"/>
  </si>
  <si>
    <t>国家能投 1200</t>
    <phoneticPr fontId="1" type="noConversion"/>
  </si>
  <si>
    <t>瓦巴萨朱市议会 600</t>
    <phoneticPr fontId="1" type="noConversion"/>
  </si>
  <si>
    <t>瓦巴萨朱大学 400</t>
    <phoneticPr fontId="1" type="noConversion"/>
  </si>
  <si>
    <t>穆拉哈啤酒 400</t>
    <phoneticPr fontId="1" type="noConversion"/>
  </si>
  <si>
    <t>穆拉哈省议会 300</t>
    <phoneticPr fontId="1" type="noConversion"/>
  </si>
  <si>
    <t>加西亚荷兰人商会 600</t>
    <phoneticPr fontId="1" type="noConversion"/>
  </si>
  <si>
    <t>阿拉尼亚省金控集团 500</t>
    <phoneticPr fontId="1" type="noConversion"/>
  </si>
  <si>
    <t>群岛省议会 700</t>
    <phoneticPr fontId="1" type="noConversion"/>
  </si>
  <si>
    <t>总统基金会 500</t>
    <phoneticPr fontId="1" type="noConversion"/>
  </si>
  <si>
    <t>南太平洋大学 400</t>
    <phoneticPr fontId="1" type="noConversion"/>
  </si>
  <si>
    <t>色温国立理工 400</t>
    <phoneticPr fontId="1" type="noConversion"/>
  </si>
  <si>
    <t>斯波托普集团 700</t>
    <phoneticPr fontId="1" type="noConversion"/>
  </si>
  <si>
    <t>Ikea Garcia 600</t>
    <phoneticPr fontId="1" type="noConversion"/>
  </si>
  <si>
    <t>加西亚荷兰人商会 500</t>
    <phoneticPr fontId="1" type="noConversion"/>
  </si>
  <si>
    <t>拉阿纳矿业集团 500</t>
    <phoneticPr fontId="1" type="noConversion"/>
  </si>
  <si>
    <t>东木市议会 1000</t>
    <phoneticPr fontId="1" type="noConversion"/>
  </si>
  <si>
    <t>东木国信金控 300</t>
    <phoneticPr fontId="1" type="noConversion"/>
  </si>
  <si>
    <t>色温省政府 400</t>
    <phoneticPr fontId="1" type="noConversion"/>
  </si>
  <si>
    <t>国内某财团 600</t>
    <phoneticPr fontId="1" type="noConversion"/>
  </si>
  <si>
    <t>加西亚华人商会 400</t>
    <phoneticPr fontId="1" type="noConversion"/>
  </si>
  <si>
    <t>云南白药 200</t>
    <phoneticPr fontId="1" type="noConversion"/>
  </si>
  <si>
    <t>PIF 1200</t>
    <phoneticPr fontId="1" type="noConversion"/>
  </si>
  <si>
    <t>ARAMCO 200</t>
    <phoneticPr fontId="1" type="noConversion"/>
  </si>
  <si>
    <t>拉阿纳银行 500</t>
    <phoneticPr fontId="1" type="noConversion"/>
  </si>
  <si>
    <t>拉阿纳城投 300</t>
    <phoneticPr fontId="1" type="noConversion"/>
  </si>
  <si>
    <t>女王镇议会 1000</t>
    <phoneticPr fontId="1" type="noConversion"/>
  </si>
  <si>
    <t>可喜安集团 600</t>
    <phoneticPr fontId="1" type="noConversion"/>
  </si>
  <si>
    <t>Hyundai Garcia 400</t>
    <phoneticPr fontId="1" type="noConversion"/>
  </si>
  <si>
    <t>加西亚国家能投 400</t>
    <phoneticPr fontId="1" type="noConversion"/>
  </si>
  <si>
    <t>东平县议会 300</t>
    <phoneticPr fontId="1" type="noConversion"/>
  </si>
  <si>
    <t>BYD Garcia 200</t>
    <phoneticPr fontId="1" type="noConversion"/>
  </si>
  <si>
    <t>马雷克农业银行 11</t>
    <phoneticPr fontId="1" type="noConversion"/>
  </si>
  <si>
    <t>Boeing 200</t>
    <phoneticPr fontId="1" type="noConversion"/>
  </si>
  <si>
    <t>洛马 100</t>
    <phoneticPr fontId="1" type="noConversion"/>
  </si>
  <si>
    <t>斯波托普集团 600</t>
    <phoneticPr fontId="1" type="noConversion"/>
  </si>
  <si>
    <t>斯波托普岛议会 300</t>
    <phoneticPr fontId="1" type="noConversion"/>
  </si>
  <si>
    <t>阿塔尔德</t>
    <phoneticPr fontId="1" type="noConversion"/>
  </si>
  <si>
    <t>瓦巴萨朱树鸦</t>
    <phoneticPr fontId="1" type="noConversion"/>
  </si>
  <si>
    <t>努尔兰·乌鲁</t>
    <phoneticPr fontId="1" type="noConversion"/>
  </si>
  <si>
    <t>中场，后腰，前腰</t>
    <phoneticPr fontId="1" type="noConversion"/>
  </si>
  <si>
    <t>萨拉塔·辛格</t>
    <phoneticPr fontId="1" type="noConversion"/>
  </si>
  <si>
    <t>渡边·克莱恩</t>
    <phoneticPr fontId="1" type="noConversion"/>
  </si>
  <si>
    <t>克哲夫斯基</t>
    <phoneticPr fontId="1" type="noConversion"/>
  </si>
  <si>
    <t>山口良</t>
    <phoneticPr fontId="1" type="noConversion"/>
  </si>
  <si>
    <t>远藤·卡彭塔</t>
    <phoneticPr fontId="1" type="noConversion"/>
  </si>
  <si>
    <t>约瑟夫·伦德</t>
    <phoneticPr fontId="1" type="noConversion"/>
  </si>
  <si>
    <t>阿代瓦尔德</t>
    <phoneticPr fontId="1" type="noConversion"/>
  </si>
  <si>
    <t>黎光静</t>
    <phoneticPr fontId="1" type="noConversion"/>
  </si>
  <si>
    <t>克劳迪奥·马泰</t>
    <phoneticPr fontId="1" type="noConversion"/>
  </si>
  <si>
    <t>穆鲁库阿·苏马雷</t>
    <phoneticPr fontId="1" type="noConversion"/>
  </si>
  <si>
    <t>左右边锋，左右边中场</t>
    <phoneticPr fontId="1" type="noConversion"/>
  </si>
  <si>
    <t>查瓦里奥</t>
    <phoneticPr fontId="1" type="noConversion"/>
  </si>
  <si>
    <t>已退役</t>
    <phoneticPr fontId="1" type="noConversion"/>
  </si>
  <si>
    <t>基利安·姆巴佩</t>
    <phoneticPr fontId="1" type="noConversion"/>
  </si>
  <si>
    <t>法国，阿尔及利亚</t>
    <phoneticPr fontId="1" type="noConversion"/>
  </si>
  <si>
    <t>左右边锋，前锋</t>
    <phoneticPr fontId="1" type="noConversion"/>
  </si>
  <si>
    <t>奥根塔勒</t>
    <phoneticPr fontId="1" type="noConversion"/>
  </si>
  <si>
    <t>戴维森</t>
    <phoneticPr fontId="1" type="noConversion"/>
  </si>
  <si>
    <t>左边锋，左边中场，前腰</t>
    <phoneticPr fontId="1" type="noConversion"/>
  </si>
  <si>
    <t>杰米·瓦尔迪</t>
    <phoneticPr fontId="1" type="noConversion"/>
  </si>
  <si>
    <t>乔治·贝斯特</t>
    <phoneticPr fontId="1" type="noConversion"/>
  </si>
  <si>
    <t>北爱尔兰</t>
    <phoneticPr fontId="1" type="noConversion"/>
  </si>
  <si>
    <t>史蒂文·杰拉德</t>
    <phoneticPr fontId="1" type="noConversion"/>
  </si>
  <si>
    <t>中场，后腰，前腰，右边中场</t>
    <phoneticPr fontId="1" type="noConversion"/>
  </si>
  <si>
    <t>维吉尔·范戴克</t>
    <phoneticPr fontId="1" type="noConversion"/>
  </si>
  <si>
    <t>马库斯·拉什福德</t>
    <phoneticPr fontId="1" type="noConversion"/>
  </si>
  <si>
    <t>博尔达拉斯、[助教]古伊萨、[助教]R-博达拉斯、[助教]H-维尔德斯、[体能]J-哈维尔、[门将]F-加兰、[青年]T-穆尼奥斯</t>
    <phoneticPr fontId="1" type="noConversion"/>
  </si>
  <si>
    <t>斯坦利·门佐、[助教]拉米罗、[助教]维奇戈、[助教]J-维米尔、[总监]托尔加汉、[体能]F-索托、[经理]N-德容</t>
    <phoneticPr fontId="1" type="noConversion"/>
  </si>
  <si>
    <t>伊塔里亚诺、[助教]罗塞蒂、[助教]尼克里诺、[分析师]德尔奥迪、[总监]J-萨托利、[体能]N-普兰德利、[经理]马洛塔</t>
    <phoneticPr fontId="1" type="noConversion"/>
  </si>
  <si>
    <t>卢塞斯库、[分析师]普拉托夫、[助教]V-戈麦斯、[助教]A-博斯、[门将]库扎莫夫、[体能]V-库列巴、[总监]卢日尼</t>
    <phoneticPr fontId="1" type="noConversion"/>
  </si>
  <si>
    <t>J-勒夫、[助教]克林斯曼、[助教]M-索尔格、[助教]布瓦茨、[门将]科普克、[队医]沃尔法特、[青训]萨莫尔</t>
    <phoneticPr fontId="1" type="noConversion"/>
  </si>
  <si>
    <t>D-黑金、[助教]D-施耐德、[助教]杰兰、[助教]莱曼、[助教]查普萨特、[青训]博雷尔、[队医]J-布劳</t>
    <phoneticPr fontId="1" type="noConversion"/>
  </si>
  <si>
    <t>A-图兰、[助教]巴尔塔、[助教]戈尔、[助教]亚金、[助教]C-罗里洪、[青训]阿尔廷托普、[队医]S-坎贝尔</t>
    <phoneticPr fontId="1" type="noConversion"/>
  </si>
  <si>
    <t>车范根、[领队]车杜里、[助教]曹贵裁、[助教]李云在、[助教]徐正源、[体能]洪明甫</t>
    <phoneticPr fontId="1" type="noConversion"/>
  </si>
  <si>
    <t>F-卡纳瓦罗、[助教]扬科维奇、[助教]郑智、[助教]P-卡纳瓦罗、[助教]阿巴雷拉、[助教]弗雷斯特、[队医]阿拉莫</t>
    <phoneticPr fontId="1" type="noConversion"/>
  </si>
  <si>
    <t>M-克洛泽、[助教]陆博飞、[助教]埃雷尔森、[助教]武磊、[助教]吉翔</t>
    <phoneticPr fontId="1" type="noConversion"/>
  </si>
  <si>
    <t>伊拉奥拉、[体能]劳埃德、[分析]雷斯、[青训]R-科雷亚、[助教]S-库珀、[定位]D-瓦利亚、[领队]巴洛特利</t>
    <phoneticPr fontId="1" type="noConversion"/>
  </si>
  <si>
    <t>凯克·塞蒂恩、[助教]F-佩德罗、[助教]陶伟、[助教]隋东亮、[助教]卡瓦略、[门将]D-奥里亚、[青训]徐云龙</t>
    <phoneticPr fontId="1" type="noConversion"/>
  </si>
  <si>
    <t>韩鹏、[助教]金铉敏、[助教]A-洛佩斯、[助教]唐田、[门将]塞古拉、[体能]文虎一、[领队]宿茂臻</t>
    <phoneticPr fontId="1" type="noConversion"/>
  </si>
  <si>
    <t>伊斯特伍德球场</t>
    <phoneticPr fontId="1" type="noConversion"/>
  </si>
  <si>
    <t>康宁汉姆、[进攻]R-富勒、[战术]J-利略、[门将]波纳伊迪、[防守]莫纳克、[体能]蒙特罗、[青训]罗斯科</t>
    <phoneticPr fontId="1" type="noConversion"/>
  </si>
  <si>
    <t>斯科特·帕克、[进攻]W-鲁尼、[防守]霍兰德、[定位球]菲尔德、[门将]库尔、[队医]M-祖耶夫、[分析]J-奥利维</t>
    <phoneticPr fontId="1" type="noConversion"/>
  </si>
  <si>
    <t>蔡德勒、[助教]金东进、[助教]李光宰、[体能]J-万德雷、[战术]李正孝、[门将]金贤拱、[总监]金城南</t>
    <phoneticPr fontId="1" type="noConversion"/>
  </si>
  <si>
    <t>扬加、[进攻]卡罗尔、[队医]A-舒斯特尔、[助教]N-冈萨罗、[防守]L-梅迪纳、[分析]G-利蒙杰罗、[门将]I-沃克</t>
    <phoneticPr fontId="1" type="noConversion"/>
  </si>
  <si>
    <t>拉尔斯·拉格贝克、[分析]M-图洛尼、[助教]A-拉尼、[门将]M-特拉维萨、[经理]西格伊尔松、[助教]达尔蒙特、[队医]D-阿维</t>
    <phoneticPr fontId="1" type="noConversion"/>
  </si>
  <si>
    <t>克努特森、[分析]E-科斯塔德、[助教]高特、[门将]J-科斯塔德、[队医]曼斯维克、[总监]哈瓦尔德</t>
    <phoneticPr fontId="1" type="noConversion"/>
  </si>
  <si>
    <t>H-丰特、[进攻]S-格伯特、[战术]毛雷尔、[门将]菲迪斯、[防守]R-布纳多、[队医]伊提西亚、[青训]D-卢卡雷利</t>
    <phoneticPr fontId="1" type="noConversion"/>
  </si>
  <si>
    <t>奥斯卡·霍伊隆</t>
    <phoneticPr fontId="1" type="noConversion"/>
  </si>
  <si>
    <t>丹麦</t>
    <phoneticPr fontId="1" type="noConversion"/>
  </si>
  <si>
    <t>普拉蒂尼</t>
    <phoneticPr fontId="1" type="noConversion"/>
  </si>
  <si>
    <t>莱特·阿德里亚诺</t>
    <phoneticPr fontId="1" type="noConversion"/>
  </si>
  <si>
    <t>罗曼·亚历山德里尼</t>
    <phoneticPr fontId="1" type="noConversion"/>
  </si>
  <si>
    <t>前腰，中场</t>
    <phoneticPr fontId="1" type="noConversion"/>
  </si>
  <si>
    <t>斯蒂尔松</t>
    <phoneticPr fontId="1" type="noConversion"/>
  </si>
  <si>
    <t>瑞典</t>
    <phoneticPr fontId="1" type="noConversion"/>
  </si>
  <si>
    <t>武磊</t>
    <phoneticPr fontId="1" type="noConversion"/>
  </si>
  <si>
    <t>艾丁森·卡瓦尼</t>
    <phoneticPr fontId="1" type="noConversion"/>
  </si>
  <si>
    <t>乔治·曼库尔</t>
    <phoneticPr fontId="1" type="noConversion"/>
  </si>
  <si>
    <t>谢晖</t>
    <phoneticPr fontId="1" type="noConversion"/>
  </si>
  <si>
    <t>赵松源</t>
    <phoneticPr fontId="1" type="noConversion"/>
  </si>
  <si>
    <t>克莱因</t>
    <phoneticPr fontId="1" type="noConversion"/>
  </si>
  <si>
    <t>右边卫，中卫，后腰，右边飞翼，中场，右中场</t>
    <phoneticPr fontId="1" type="noConversion"/>
  </si>
  <si>
    <t>杰米·麦克拉伦</t>
    <phoneticPr fontId="1" type="noConversion"/>
  </si>
  <si>
    <t>罗尼·巴尔德吉</t>
    <phoneticPr fontId="1" type="noConversion"/>
  </si>
  <si>
    <t>瑞典、阿富汗</t>
    <phoneticPr fontId="1" type="noConversion"/>
  </si>
  <si>
    <t>右边锋</t>
    <phoneticPr fontId="1" type="noConversion"/>
  </si>
  <si>
    <t>斯克利尼亚尔</t>
    <phoneticPr fontId="1" type="noConversion"/>
  </si>
  <si>
    <t>斯洛文尼亚</t>
    <phoneticPr fontId="1" type="noConversion"/>
  </si>
  <si>
    <t>里杰卡尔德</t>
    <phoneticPr fontId="1" type="noConversion"/>
  </si>
  <si>
    <t>荷兰、苏里南</t>
    <phoneticPr fontId="1" type="noConversion"/>
  </si>
  <si>
    <t>魏群</t>
    <phoneticPr fontId="1" type="noConversion"/>
  </si>
  <si>
    <t>右边卫，右边中场</t>
    <phoneticPr fontId="1" type="noConversion"/>
  </si>
  <si>
    <t>保利尼奥</t>
    <phoneticPr fontId="1" type="noConversion"/>
  </si>
  <si>
    <t>三浦飒太</t>
    <phoneticPr fontId="1" type="noConversion"/>
  </si>
  <si>
    <t>塞尔吉奥·阿圭罗</t>
    <phoneticPr fontId="1" type="noConversion"/>
  </si>
  <si>
    <t>范志毅</t>
    <phoneticPr fontId="1" type="noConversion"/>
  </si>
  <si>
    <t>中卫，前锋，后腰</t>
    <phoneticPr fontId="1" type="noConversion"/>
  </si>
  <si>
    <t>曾诚</t>
    <phoneticPr fontId="1" type="noConversion"/>
  </si>
  <si>
    <t>于根伟、[助教]埃斯特万、[助教]哈维尔、[体能]J-加维兰、[门将]王略、[门将]昆戴、[分析]J-赫塞</t>
    <phoneticPr fontId="1" type="noConversion"/>
  </si>
  <si>
    <t>新达华哈海岸</t>
    <phoneticPr fontId="1" type="noConversion"/>
  </si>
  <si>
    <t>劳尔·吉梅内斯</t>
    <phoneticPr fontId="1" type="noConversion"/>
  </si>
  <si>
    <t>马尔科·罗伊斯</t>
    <phoneticPr fontId="1" type="noConversion"/>
  </si>
  <si>
    <t>前腰，左边锋，中场</t>
    <phoneticPr fontId="1" type="noConversion"/>
  </si>
  <si>
    <t>克里斯·伍德</t>
    <phoneticPr fontId="1" type="noConversion"/>
  </si>
  <si>
    <t>亚当·史密斯</t>
    <phoneticPr fontId="1" type="noConversion"/>
  </si>
  <si>
    <t>左右边后卫，右边飞翼</t>
    <phoneticPr fontId="1" type="noConversion"/>
  </si>
  <si>
    <t>安特·布季米尔</t>
    <phoneticPr fontId="1" type="noConversion"/>
  </si>
  <si>
    <t>克罗地亚、波黑</t>
    <phoneticPr fontId="1" type="noConversion"/>
  </si>
  <si>
    <t>优素福·贝拉伊利</t>
    <phoneticPr fontId="1" type="noConversion"/>
  </si>
  <si>
    <t>埃丁·哲科</t>
    <phoneticPr fontId="1" type="noConversion"/>
  </si>
  <si>
    <t>丹·伯恩</t>
    <phoneticPr fontId="1" type="noConversion"/>
  </si>
  <si>
    <t>中卫，左边卫</t>
    <phoneticPr fontId="1" type="noConversion"/>
  </si>
  <si>
    <t>安格尔·迪马利亚</t>
    <phoneticPr fontId="1" type="noConversion"/>
  </si>
  <si>
    <t>罗文·威廉姆斯</t>
    <phoneticPr fontId="1" type="noConversion"/>
  </si>
  <si>
    <t>左右边锋，左边中场</t>
    <phoneticPr fontId="1" type="noConversion"/>
  </si>
  <si>
    <t>郑好渊</t>
    <phoneticPr fontId="1" type="noConversion"/>
  </si>
  <si>
    <t>伊布拉辛·马萨</t>
    <phoneticPr fontId="1" type="noConversion"/>
  </si>
  <si>
    <t>中场，前腰，左边锋</t>
    <phoneticPr fontId="1" type="noConversion"/>
  </si>
  <si>
    <t>萨默德·巴扎尔</t>
    <phoneticPr fontId="1" type="noConversion"/>
  </si>
  <si>
    <t>埃唐·姆巴佩</t>
    <phoneticPr fontId="1" type="noConversion"/>
  </si>
  <si>
    <t>右边锋，右边中场，中场，前腰</t>
    <phoneticPr fontId="1" type="noConversion"/>
  </si>
  <si>
    <t>后腰</t>
    <phoneticPr fontId="1" type="noConversion"/>
  </si>
  <si>
    <t>乔丹·博斯</t>
    <phoneticPr fontId="1" type="noConversion"/>
  </si>
  <si>
    <t>杨斯·卡斯特罗普</t>
    <phoneticPr fontId="1" type="noConversion"/>
  </si>
  <si>
    <t>克里斯蒂安·谢潘迪</t>
    <phoneticPr fontId="1" type="noConversion"/>
  </si>
  <si>
    <t>阿尔巴尼亚</t>
    <phoneticPr fontId="1" type="noConversion"/>
  </si>
  <si>
    <t>吉尔伯托·莫拉</t>
    <phoneticPr fontId="1" type="noConversion"/>
  </si>
  <si>
    <t>穆罕默德·贝鲁米</t>
    <phoneticPr fontId="1" type="noConversion"/>
  </si>
  <si>
    <t>中场，右边锋</t>
    <phoneticPr fontId="1" type="noConversion"/>
  </si>
  <si>
    <t>马特克·米列维奇</t>
    <phoneticPr fontId="1" type="noConversion"/>
  </si>
  <si>
    <t>美国、波黑</t>
    <phoneticPr fontId="1" type="noConversion"/>
  </si>
  <si>
    <t>中场，左边锋，前腰</t>
    <phoneticPr fontId="1" type="noConversion"/>
  </si>
  <si>
    <t>周敏圭</t>
    <phoneticPr fontId="1" type="noConversion"/>
  </si>
  <si>
    <t>穆哈默德·图盖</t>
    <phoneticPr fontId="1" type="noConversion"/>
  </si>
  <si>
    <t>亚欣·蒂特鲁西</t>
    <phoneticPr fontId="1" type="noConversion"/>
  </si>
  <si>
    <t>阿明·吉格维奇</t>
    <phoneticPr fontId="1" type="noConversion"/>
  </si>
  <si>
    <t>里贝拉托·卡卡切</t>
    <phoneticPr fontId="1" type="noConversion"/>
  </si>
  <si>
    <t>帕特里克·牙孜别克</t>
    <phoneticPr fontId="1" type="noConversion"/>
  </si>
  <si>
    <t>佩德罗</t>
    <phoneticPr fontId="1" type="noConversion"/>
  </si>
  <si>
    <t>安迪尔·奥希切</t>
    <phoneticPr fontId="1" type="noConversion"/>
  </si>
  <si>
    <t>法国、阿尔及利亚</t>
    <phoneticPr fontId="1" type="noConversion"/>
  </si>
  <si>
    <t>安迪尔·布尔比纳</t>
    <phoneticPr fontId="1" type="noConversion"/>
  </si>
  <si>
    <t>藤田让留奇玛</t>
    <phoneticPr fontId="1" type="noConversion"/>
  </si>
  <si>
    <t>安杰洛·布吕克纳</t>
    <phoneticPr fontId="1" type="noConversion"/>
  </si>
  <si>
    <t>德国、菲律宾</t>
    <phoneticPr fontId="1" type="noConversion"/>
  </si>
  <si>
    <t>左右边后卫，后腰</t>
    <phoneticPr fontId="1" type="noConversion"/>
  </si>
  <si>
    <t>德尼斯·胡塞因巴希奇</t>
    <phoneticPr fontId="1" type="noConversion"/>
  </si>
  <si>
    <t>卡米埃尔·内格里</t>
    <phoneticPr fontId="1" type="noConversion"/>
  </si>
  <si>
    <t>李日成</t>
    <phoneticPr fontId="1" type="noConversion"/>
  </si>
  <si>
    <t>朝鲜</t>
    <phoneticPr fontId="1" type="noConversion"/>
  </si>
  <si>
    <t>阿莱克斯·保尔森</t>
    <phoneticPr fontId="1" type="noConversion"/>
  </si>
  <si>
    <t>新西兰、南非、纳米比亚</t>
    <phoneticPr fontId="1" type="noConversion"/>
  </si>
  <si>
    <t>阿尔内·恩格尔斯</t>
    <phoneticPr fontId="1" type="noConversion"/>
  </si>
  <si>
    <t>阿德里安·瑟格西奇</t>
    <phoneticPr fontId="1" type="noConversion"/>
  </si>
  <si>
    <t>澳大利亚、克罗地亚</t>
    <phoneticPr fontId="1" type="noConversion"/>
  </si>
  <si>
    <t>维尼修斯·托比亚斯</t>
    <phoneticPr fontId="1" type="noConversion"/>
  </si>
  <si>
    <t>右边卫，右边飞翼</t>
    <phoneticPr fontId="1" type="noConversion"/>
  </si>
  <si>
    <t>克里斯蒂安·沃尔帕托</t>
    <phoneticPr fontId="1" type="noConversion"/>
  </si>
  <si>
    <t>澳大利亚、意大利</t>
    <phoneticPr fontId="1" type="noConversion"/>
  </si>
  <si>
    <t>戴恩·卡库里</t>
    <phoneticPr fontId="1" type="noConversion"/>
  </si>
  <si>
    <t>瑞士、阿尔巴尼亚、科索沃</t>
    <phoneticPr fontId="1" type="noConversion"/>
  </si>
  <si>
    <t>亚历山德雷·乌吉加</t>
    <phoneticPr fontId="1" type="noConversion"/>
  </si>
  <si>
    <t>艾萨·曼迪</t>
    <phoneticPr fontId="1" type="noConversion"/>
  </si>
  <si>
    <t>穆罕默德·图雷</t>
    <phoneticPr fontId="1" type="noConversion"/>
  </si>
  <si>
    <t>谢尔盖·皮尼亚耶夫</t>
    <phoneticPr fontId="1" type="noConversion"/>
  </si>
  <si>
    <t>路易斯·哈萨</t>
    <phoneticPr fontId="1" type="noConversion"/>
  </si>
  <si>
    <t>意大利、阿尔巴尼亚</t>
    <phoneticPr fontId="1" type="noConversion"/>
  </si>
  <si>
    <t>埃德温·库尔图卢斯</t>
    <phoneticPr fontId="1" type="noConversion"/>
  </si>
  <si>
    <t>科索沃、意大利、阿尔巴尼亚</t>
    <phoneticPr fontId="1" type="noConversion"/>
  </si>
  <si>
    <t>右边后卫，中卫</t>
    <phoneticPr fontId="1" type="noConversion"/>
  </si>
  <si>
    <t>优素福·穆科科</t>
    <phoneticPr fontId="1" type="noConversion"/>
  </si>
  <si>
    <t>纳伊尔·奥梅洛维奇</t>
    <phoneticPr fontId="1" type="noConversion"/>
  </si>
  <si>
    <t>左边锋</t>
    <phoneticPr fontId="1" type="noConversion"/>
  </si>
  <si>
    <t>托马斯·格罗威尔</t>
    <phoneticPr fontId="1" type="noConversion"/>
  </si>
  <si>
    <t>雷·马纳伊</t>
    <phoneticPr fontId="1" type="noConversion"/>
  </si>
  <si>
    <t>罗马诺·墨索里尼</t>
    <phoneticPr fontId="1" type="noConversion"/>
  </si>
  <si>
    <t>右边卫，右边飞翼，右中场</t>
    <phoneticPr fontId="1" type="noConversion"/>
  </si>
  <si>
    <t>白佳音</t>
    <phoneticPr fontId="1" type="noConversion"/>
  </si>
  <si>
    <t>恩加德乌·恩加德久</t>
    <phoneticPr fontId="1" type="noConversion"/>
  </si>
  <si>
    <t>埃托尔·科尔多瓦</t>
    <phoneticPr fontId="1" type="noConversion"/>
  </si>
  <si>
    <t>马特乌斯·维塔尔</t>
    <phoneticPr fontId="1" type="noConversion"/>
  </si>
  <si>
    <t>前腰，中场，前锋</t>
    <phoneticPr fontId="1" type="noConversion"/>
  </si>
  <si>
    <t>雅各·迈达纳</t>
    <phoneticPr fontId="1" type="noConversion"/>
  </si>
  <si>
    <t>马尔康</t>
    <phoneticPr fontId="1" type="noConversion"/>
  </si>
  <si>
    <t>马蒂亚斯·巴尔加斯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</si>
</sst>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4"/>
      <color theme="1"/>
      <name val="等线"/>
      <family val="3"/>
      <charset val="134"/>
      <scheme val="minor"/>
    </font>
    <font>
      <sz val="12"/>
      <color theme="1"/>
      <name val="抖音美好体"/>
      <family val="3"/>
      <charset val="134"/>
    </font>
    <font>
      <sz val="16"/>
      <color theme="1"/>
      <name val="抖音美好体"/>
      <family val="3"/>
      <charset val="134"/>
    </font>
    <font>
      <sz val="12"/>
      <color theme="0"/>
      <name val="抖音美好体"/>
      <family val="3"/>
      <charset val="134"/>
    </font>
    <font>
      <sz val="11"/>
      <color theme="1"/>
      <name val="等线"/>
      <family val="3"/>
      <charset val="134"/>
      <scheme val="minor"/>
    </font>
    <font>
      <sz val="10"/>
      <color theme="0"/>
      <name val="抖音美好体"/>
      <family val="3"/>
      <charset val="134"/>
    </font>
    <font>
      <b/>
      <sz val="18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1"/>
        <bgColor theme="1"/>
      </patternFill>
    </fill>
    <fill>
      <patternFill patternType="solid">
        <fgColor theme="9" tint="-0.249977111117893"/>
        <bgColor theme="9" tint="-0.249977111117893"/>
      </patternFill>
    </fill>
    <fill>
      <patternFill patternType="solid">
        <fgColor theme="1"/>
        <bgColor theme="9"/>
      </patternFill>
    </fill>
  </fills>
  <borders count="5"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/>
      <right/>
      <top/>
      <bottom style="medium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25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10" fontId="0" fillId="0" borderId="0" xfId="0" applyNumberForma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5" fillId="4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0" fillId="0" borderId="0" xfId="0" applyAlignment="1">
      <alignment wrapText="1"/>
    </xf>
    <xf numFmtId="0" fontId="7" fillId="3" borderId="3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4" xfId="0" applyBorder="1" applyAlignment="1">
      <alignment horizontal="center" wrapText="1"/>
    </xf>
    <xf numFmtId="0" fontId="8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10" fillId="0" borderId="0" xfId="1" applyAlignment="1">
      <alignment horizontal="center" vertical="center"/>
    </xf>
    <xf numFmtId="0" fontId="0" fillId="0" borderId="0" xfId="0" applyNumberFormat="1" applyAlignment="1">
      <alignment horizontal="center" vertical="center" wrapText="1"/>
    </xf>
  </cellXfs>
  <cellStyles count="2">
    <cellStyle name="常规" xfId="0" builtinId="0"/>
    <cellStyle name="超链接" xfId="1" builtinId="8"/>
  </cellStyles>
  <dxfs count="32"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3" formatCode="#,##0"/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抖音美好体"/>
        <family val="3"/>
        <charset val="134"/>
        <scheme val="none"/>
      </font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抖音美好体"/>
        <family val="3"/>
        <charset val="134"/>
        <scheme val="none"/>
      </font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family val="3"/>
        <charset val="134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6DDB3D5-2819-42D0-A57F-9AE4006F2B1A}" name="表1" displayName="表1" ref="A1:O1315" totalsRowShown="0" headerRowDxfId="31" dataDxfId="30">
  <autoFilter ref="A1:O1315" xr:uid="{E6DDB3D5-2819-42D0-A57F-9AE4006F2B1A}"/>
  <tableColumns count="15">
    <tableColumn id="1" xr3:uid="{01FCE5AE-C07E-4A98-9019-543A2F7269EB}" name="球员名称" dataDxfId="29"/>
    <tableColumn id="2" xr3:uid="{CFDC430C-8A2B-466C-9335-39B02146C067}" name="年龄" dataDxfId="28"/>
    <tableColumn id="3" xr3:uid="{82408586-5BFA-4600-9CFC-C53236B1FA6C}" name="国家/地区籍" dataDxfId="27"/>
    <tableColumn id="4" xr3:uid="{3D626494-920E-4500-B622-E5E94C5ADA01}" name="身高" dataDxfId="26"/>
    <tableColumn id="5" xr3:uid="{D3342EFE-FD6F-43AB-8074-4BC96D4E2EF0}" name="体重" dataDxfId="25"/>
    <tableColumn id="6" xr3:uid="{7CB2E522-2D49-47A3-B0A5-ED6E35A19DF5}" name="CA" dataDxfId="24"/>
    <tableColumn id="7" xr3:uid="{0ED9F2CB-358C-4E7B-B606-514B009B25BD}" name="PA" dataDxfId="23"/>
    <tableColumn id="8" xr3:uid="{0800493C-64EE-412B-97CD-443B093560F3}" name="位置" dataDxfId="22"/>
    <tableColumn id="9" xr3:uid="{1FB7CC35-A852-47D8-B235-A186D9C7AB78}" name="年薪" dataDxfId="21"/>
    <tableColumn id="10" xr3:uid="{ACD68911-C403-4F7F-8327-BDF54F9B89F3}" name="所在球队" dataDxfId="20"/>
    <tableColumn id="11" xr3:uid="{949E745C-E29B-401B-89E0-A800CC599E3B}" name="合约到期" dataDxfId="19"/>
    <tableColumn id="12" xr3:uid="{423B8E17-7410-4546-821A-649C30C3BB74}" name="违约金" dataDxfId="18">
      <calculatedColumnFormula>I2*5</calculatedColumnFormula>
    </tableColumn>
    <tableColumn id="13" xr3:uid="{09BCD02E-C9C0-41D2-8A66-12B085E26698}" name="合同类型" dataDxfId="17"/>
    <tableColumn id="14" xr3:uid="{3E30E157-00B5-460C-9738-FBFDCB87F1FC}" name="合同备注" dataDxfId="16"/>
    <tableColumn id="15" xr3:uid="{0E1B0B59-05E1-4A11-A6F9-EA9359EA15EA}" name="命中行号" dataDxfId="15">
      <calculatedColumnFormula>IF($J2=Sheet2!$A$2, ROW(), "")</calculatedColumnFormula>
    </tableColumn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56A9930-0B25-4B5F-9ED2-91845878ADAE}" name="表2" displayName="表2" ref="A1:M45" totalsRowShown="0" headerRowDxfId="14" dataDxfId="13">
  <autoFilter ref="A1:M45" xr:uid="{B56A9930-0B25-4B5F-9ED2-91845878ADAE}"/>
  <tableColumns count="13">
    <tableColumn id="1" xr3:uid="{77FEA886-5D46-42F9-A08E-81B4F070B578}" name="球队名" dataDxfId="12"/>
    <tableColumn id="2" xr3:uid="{EB95A2B5-972A-4556-8A32-F1BD4C970E18}" name="玩家" dataDxfId="11"/>
    <tableColumn id="3" xr3:uid="{3CC72EA1-8A54-4564-857A-C741A0391457}" name="教练组" dataDxfId="10"/>
    <tableColumn id="4" xr3:uid="{DF355343-386D-4A0A-85A1-FA79CDDE2C41}" name="主场" dataDxfId="9"/>
    <tableColumn id="5" xr3:uid="{B1EBBB72-1AE1-4D4B-9A17-1FC1F6E5B8A9}" name="座席数" dataDxfId="8"/>
    <tableColumn id="6" xr3:uid="{9B56E05E-F72B-407D-806E-934D53FB0E95}" name="场均上座" dataDxfId="7"/>
    <tableColumn id="7" xr3:uid="{4CAE3EBB-67D4-4151-9F88-7E40DDB68DFE}" name="上座率" dataDxfId="6"/>
    <tableColumn id="8" xr3:uid="{9A9C994D-443B-4215-8D18-DC5A603A44A5}" name="收入" dataDxfId="5">
      <calculatedColumnFormula>表2[[#This Row],[场均上座]]*95*20</calculatedColumnFormula>
    </tableColumn>
    <tableColumn id="9" xr3:uid="{0F9D335A-5A23-4F30-AAD9-5FBC3EE39AF1}" name="球队资金" dataDxfId="4"/>
    <tableColumn id="10" xr3:uid="{7B9FD73B-63CE-4E76-8B6E-98A08A706561}" name="赞助商1" dataDxfId="3"/>
    <tableColumn id="11" xr3:uid="{45CA426E-285F-4EAB-B7F7-8F78214B2A17}" name="赞助商2" dataDxfId="2"/>
    <tableColumn id="12" xr3:uid="{E0330C8B-C9B0-4B63-8D5C-4D8C45676ADB}" name="青训" dataDxfId="1"/>
    <tableColumn id="13" xr3:uid="{3403DBF7-0098-407B-8151-89044A44F0FA}" name="其他" dataDxfId="0"/>
  </tableColumns>
  <tableStyleInfo name="TableStyleDark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esmaster.com/pes-2021-mobile/graphics/players/52326.png" TargetMode="External"/><Relationship Id="rId2" Type="http://schemas.openxmlformats.org/officeDocument/2006/relationships/hyperlink" Target="https://i.pinimg.com/564x/89/b5/39/89b5392d6321520990ce45b123a24edc.jpg" TargetMode="External"/><Relationship Id="rId1" Type="http://schemas.openxmlformats.org/officeDocument/2006/relationships/hyperlink" Target="https://i.pinimg.com/564x/89/b5/39/89b5392d6321520990ce45b123a24edc.jpg" TargetMode="External"/><Relationship Id="rId5" Type="http://schemas.openxmlformats.org/officeDocument/2006/relationships/table" Target="../tables/table1.xm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315"/>
  <sheetViews>
    <sheetView tabSelected="1" topLeftCell="A1248" workbookViewId="0">
      <selection activeCell="K1296" sqref="K1296"/>
    </sheetView>
  </sheetViews>
  <sheetFormatPr defaultRowHeight="14" customHeight="1" x14ac:dyDescent="0.3"/>
  <cols>
    <col min="1" max="1" width="23.58203125" style="2" customWidth="1"/>
    <col min="2" max="2" width="7.25" style="2" customWidth="1"/>
    <col min="3" max="3" width="16.4140625" style="2" customWidth="1"/>
    <col min="4" max="5" width="7.25" style="2" customWidth="1"/>
    <col min="6" max="6" width="5.58203125" style="2" customWidth="1"/>
    <col min="7" max="7" width="5.5" style="2" customWidth="1"/>
    <col min="8" max="8" width="16.83203125" style="2" customWidth="1"/>
    <col min="9" max="9" width="7.25" style="2" customWidth="1"/>
    <col min="10" max="10" width="18.08203125" style="2" customWidth="1"/>
    <col min="11" max="11" width="11.9140625" style="2" customWidth="1"/>
    <col min="12" max="12" width="9.58203125" style="2" customWidth="1"/>
    <col min="13" max="14" width="11.9140625" style="2" customWidth="1"/>
    <col min="15" max="15" width="14.9140625" style="2" bestFit="1" customWidth="1"/>
    <col min="16" max="16" width="0" style="2" hidden="1" customWidth="1"/>
    <col min="17" max="18" width="10.75" style="2" hidden="1" customWidth="1"/>
    <col min="19" max="19" width="0" style="2" hidden="1" customWidth="1"/>
    <col min="20" max="16384" width="8.6640625" style="2"/>
  </cols>
  <sheetData>
    <row r="1" spans="1:19" s="4" customFormat="1" ht="26" customHeight="1" x14ac:dyDescent="0.3">
      <c r="A1" s="4" t="s">
        <v>1604</v>
      </c>
      <c r="B1" s="4" t="s">
        <v>1605</v>
      </c>
      <c r="C1" s="4" t="s">
        <v>1606</v>
      </c>
      <c r="D1" s="4" t="s">
        <v>1607</v>
      </c>
      <c r="E1" s="4" t="s">
        <v>1608</v>
      </c>
      <c r="F1" s="4" t="s">
        <v>1609</v>
      </c>
      <c r="G1" s="4" t="s">
        <v>1610</v>
      </c>
      <c r="H1" s="4" t="s">
        <v>1613</v>
      </c>
      <c r="I1" s="4" t="s">
        <v>1614</v>
      </c>
      <c r="J1" s="4" t="s">
        <v>1615</v>
      </c>
      <c r="K1" s="4" t="s">
        <v>1611</v>
      </c>
      <c r="L1" s="4" t="s">
        <v>1612</v>
      </c>
      <c r="M1" s="4" t="s">
        <v>1616</v>
      </c>
      <c r="N1" s="4" t="s">
        <v>1617</v>
      </c>
      <c r="O1" s="4" t="s">
        <v>1724</v>
      </c>
      <c r="Q1" s="4" t="s">
        <v>1981</v>
      </c>
      <c r="R1" s="4" t="s">
        <v>1982</v>
      </c>
      <c r="S1" s="4" t="s">
        <v>3176</v>
      </c>
    </row>
    <row r="2" spans="1:19" ht="14" customHeight="1" x14ac:dyDescent="0.3">
      <c r="A2" s="1" t="s">
        <v>1722</v>
      </c>
      <c r="B2" s="1">
        <v>32</v>
      </c>
      <c r="C2" s="1" t="s">
        <v>0</v>
      </c>
      <c r="D2" s="1">
        <v>189</v>
      </c>
      <c r="E2" s="1">
        <v>82</v>
      </c>
      <c r="F2" s="1">
        <v>70</v>
      </c>
      <c r="G2" s="1">
        <v>72</v>
      </c>
      <c r="H2" s="1" t="s">
        <v>1</v>
      </c>
      <c r="I2" s="1">
        <v>87</v>
      </c>
      <c r="J2" s="1" t="s">
        <v>11</v>
      </c>
      <c r="K2" s="1"/>
      <c r="L2" s="1">
        <f t="shared" ref="L2:L65" si="0">I2*5</f>
        <v>435</v>
      </c>
      <c r="M2" s="1" t="s">
        <v>2</v>
      </c>
      <c r="N2" s="1" t="s">
        <v>2</v>
      </c>
      <c r="O2" s="12" t="str">
        <f>IF($J2=Sheet2!$A$2, ROW(), "")</f>
        <v/>
      </c>
      <c r="Q2" s="23" t="s">
        <v>1983</v>
      </c>
      <c r="S2" s="23" t="s">
        <v>3177</v>
      </c>
    </row>
    <row r="3" spans="1:19" ht="14" customHeight="1" x14ac:dyDescent="0.3">
      <c r="A3" s="1" t="s">
        <v>3</v>
      </c>
      <c r="B3" s="1">
        <v>36</v>
      </c>
      <c r="C3" s="1" t="s">
        <v>0</v>
      </c>
      <c r="D3" s="1">
        <v>187</v>
      </c>
      <c r="E3" s="1">
        <v>80</v>
      </c>
      <c r="F3" s="1">
        <v>68</v>
      </c>
      <c r="G3" s="1">
        <v>69</v>
      </c>
      <c r="H3" s="1" t="s">
        <v>1</v>
      </c>
      <c r="I3" s="1">
        <v>27</v>
      </c>
      <c r="J3" s="1" t="s">
        <v>11</v>
      </c>
      <c r="K3" s="1"/>
      <c r="L3" s="1">
        <f t="shared" si="0"/>
        <v>135</v>
      </c>
      <c r="M3" s="1"/>
      <c r="N3" s="1"/>
      <c r="O3" s="12" t="str">
        <f>IF($J3=Sheet2!$A$2, ROW(), "")</f>
        <v/>
      </c>
      <c r="Q3" s="23" t="s">
        <v>1984</v>
      </c>
    </row>
    <row r="4" spans="1:19" ht="14" customHeight="1" x14ac:dyDescent="0.3">
      <c r="A4" s="1" t="s">
        <v>4</v>
      </c>
      <c r="B4" s="1">
        <v>30</v>
      </c>
      <c r="C4" s="1" t="s">
        <v>0</v>
      </c>
      <c r="D4" s="1">
        <v>192</v>
      </c>
      <c r="E4" s="1">
        <v>88</v>
      </c>
      <c r="F4" s="1">
        <v>70</v>
      </c>
      <c r="G4" s="1">
        <v>74</v>
      </c>
      <c r="H4" s="1" t="s">
        <v>5</v>
      </c>
      <c r="I4" s="1">
        <v>127</v>
      </c>
      <c r="J4" s="1" t="s">
        <v>11</v>
      </c>
      <c r="K4" s="1"/>
      <c r="L4" s="1">
        <f t="shared" si="0"/>
        <v>635</v>
      </c>
      <c r="M4" s="1"/>
      <c r="N4" s="1"/>
      <c r="O4" s="12" t="str">
        <f>IF($J4=Sheet2!$A$2, ROW(), "")</f>
        <v/>
      </c>
      <c r="Q4" s="23" t="s">
        <v>1985</v>
      </c>
    </row>
    <row r="5" spans="1:19" ht="14" customHeight="1" x14ac:dyDescent="0.3">
      <c r="A5" s="1" t="s">
        <v>6</v>
      </c>
      <c r="B5" s="1">
        <v>33</v>
      </c>
      <c r="C5" s="1" t="s">
        <v>0</v>
      </c>
      <c r="D5" s="1">
        <v>188</v>
      </c>
      <c r="E5" s="1">
        <v>85</v>
      </c>
      <c r="F5" s="1">
        <v>69</v>
      </c>
      <c r="G5" s="1">
        <v>71</v>
      </c>
      <c r="H5" s="1" t="s">
        <v>5</v>
      </c>
      <c r="I5" s="1">
        <v>77</v>
      </c>
      <c r="J5" s="1" t="s">
        <v>11</v>
      </c>
      <c r="K5" s="1"/>
      <c r="L5" s="1">
        <f t="shared" si="0"/>
        <v>385</v>
      </c>
      <c r="M5" s="1"/>
      <c r="N5" s="1"/>
      <c r="O5" s="12" t="str">
        <f>IF($J5=Sheet2!$A$2, ROW(), "")</f>
        <v/>
      </c>
      <c r="Q5" s="23" t="s">
        <v>1986</v>
      </c>
    </row>
    <row r="6" spans="1:19" ht="14" customHeight="1" x14ac:dyDescent="0.3">
      <c r="A6" s="1" t="s">
        <v>7</v>
      </c>
      <c r="B6" s="1">
        <v>29</v>
      </c>
      <c r="C6" s="1" t="s">
        <v>0</v>
      </c>
      <c r="D6" s="1">
        <v>183</v>
      </c>
      <c r="E6" s="1">
        <v>78</v>
      </c>
      <c r="F6" s="1">
        <v>70</v>
      </c>
      <c r="G6" s="1">
        <v>75</v>
      </c>
      <c r="H6" s="1" t="s">
        <v>8</v>
      </c>
      <c r="I6" s="1">
        <v>137</v>
      </c>
      <c r="J6" s="1" t="s">
        <v>11</v>
      </c>
      <c r="K6" s="1"/>
      <c r="L6" s="1">
        <f t="shared" si="0"/>
        <v>685</v>
      </c>
      <c r="M6" s="1"/>
      <c r="N6" s="1"/>
      <c r="O6" s="12" t="str">
        <f>IF($J6=Sheet2!$A$2, ROW(), "")</f>
        <v/>
      </c>
      <c r="Q6" s="23" t="s">
        <v>1987</v>
      </c>
    </row>
    <row r="7" spans="1:19" ht="14" customHeight="1" x14ac:dyDescent="0.3">
      <c r="A7" s="1" t="s">
        <v>9</v>
      </c>
      <c r="B7" s="1">
        <v>31</v>
      </c>
      <c r="C7" s="1" t="s">
        <v>0</v>
      </c>
      <c r="D7" s="1">
        <v>181</v>
      </c>
      <c r="E7" s="1">
        <v>75</v>
      </c>
      <c r="F7" s="1">
        <v>69</v>
      </c>
      <c r="G7" s="1">
        <v>72</v>
      </c>
      <c r="H7" s="1" t="s">
        <v>10</v>
      </c>
      <c r="I7" s="1">
        <v>97</v>
      </c>
      <c r="J7" s="1" t="s">
        <v>11</v>
      </c>
      <c r="K7" s="1"/>
      <c r="L7" s="1">
        <f t="shared" si="0"/>
        <v>485</v>
      </c>
      <c r="M7" s="1"/>
      <c r="N7" s="1"/>
      <c r="O7" s="12" t="str">
        <f>IF($J7=Sheet2!$A$2, ROW(), "")</f>
        <v/>
      </c>
      <c r="Q7" s="23" t="s">
        <v>1988</v>
      </c>
    </row>
    <row r="8" spans="1:19" ht="14" customHeight="1" x14ac:dyDescent="0.3">
      <c r="A8" s="1" t="s">
        <v>12</v>
      </c>
      <c r="B8" s="1">
        <v>34</v>
      </c>
      <c r="C8" s="1" t="s">
        <v>0</v>
      </c>
      <c r="D8" s="1">
        <v>186</v>
      </c>
      <c r="E8" s="1">
        <v>83</v>
      </c>
      <c r="F8" s="1">
        <v>67</v>
      </c>
      <c r="G8" s="1">
        <v>68</v>
      </c>
      <c r="H8" s="1" t="s">
        <v>5</v>
      </c>
      <c r="I8" s="1">
        <v>17</v>
      </c>
      <c r="J8" s="1" t="s">
        <v>11</v>
      </c>
      <c r="K8" s="1"/>
      <c r="L8" s="1">
        <f t="shared" si="0"/>
        <v>85</v>
      </c>
      <c r="M8" s="1"/>
      <c r="N8" s="1"/>
      <c r="O8" s="12" t="str">
        <f>IF($J8=Sheet2!$A$2, ROW(), "")</f>
        <v/>
      </c>
      <c r="Q8" s="23" t="s">
        <v>1989</v>
      </c>
    </row>
    <row r="9" spans="1:19" ht="14" customHeight="1" x14ac:dyDescent="0.3">
      <c r="A9" s="1" t="s">
        <v>13</v>
      </c>
      <c r="B9" s="1">
        <v>28</v>
      </c>
      <c r="C9" s="1" t="s">
        <v>0</v>
      </c>
      <c r="D9" s="1">
        <v>180</v>
      </c>
      <c r="E9" s="1">
        <v>77</v>
      </c>
      <c r="F9" s="1">
        <v>68</v>
      </c>
      <c r="G9" s="1">
        <v>75</v>
      </c>
      <c r="H9" s="1" t="s">
        <v>10</v>
      </c>
      <c r="I9" s="1">
        <v>107</v>
      </c>
      <c r="J9" s="1" t="s">
        <v>11</v>
      </c>
      <c r="K9" s="1"/>
      <c r="L9" s="1">
        <f t="shared" si="0"/>
        <v>535</v>
      </c>
      <c r="M9" s="1"/>
      <c r="N9" s="1"/>
      <c r="O9" s="12" t="str">
        <f>IF($J9=Sheet2!$A$2, ROW(), "")</f>
        <v/>
      </c>
      <c r="Q9" s="23" t="s">
        <v>1990</v>
      </c>
    </row>
    <row r="10" spans="1:19" ht="14" customHeight="1" x14ac:dyDescent="0.3">
      <c r="A10" s="1" t="s">
        <v>14</v>
      </c>
      <c r="B10" s="1">
        <v>32</v>
      </c>
      <c r="C10" s="1" t="s">
        <v>0</v>
      </c>
      <c r="D10" s="1">
        <v>176</v>
      </c>
      <c r="E10" s="1">
        <v>72</v>
      </c>
      <c r="F10" s="1">
        <v>70</v>
      </c>
      <c r="G10" s="1">
        <v>71</v>
      </c>
      <c r="H10" s="1" t="s">
        <v>15</v>
      </c>
      <c r="I10" s="1">
        <v>117</v>
      </c>
      <c r="J10" s="1" t="s">
        <v>11</v>
      </c>
      <c r="K10" s="1"/>
      <c r="L10" s="1">
        <f t="shared" si="0"/>
        <v>585</v>
      </c>
      <c r="M10" s="1"/>
      <c r="N10" s="1"/>
      <c r="O10" s="12" t="str">
        <f>IF($J10=Sheet2!$A$2, ROW(), "")</f>
        <v/>
      </c>
      <c r="Q10" s="23" t="s">
        <v>1991</v>
      </c>
    </row>
    <row r="11" spans="1:19" ht="14" customHeight="1" x14ac:dyDescent="0.3">
      <c r="A11" s="1" t="s">
        <v>16</v>
      </c>
      <c r="B11" s="1">
        <v>35</v>
      </c>
      <c r="C11" s="1" t="s">
        <v>0</v>
      </c>
      <c r="D11" s="1">
        <v>178</v>
      </c>
      <c r="E11" s="1">
        <v>74</v>
      </c>
      <c r="F11" s="1">
        <v>68</v>
      </c>
      <c r="G11" s="1">
        <v>70</v>
      </c>
      <c r="H11" s="1" t="s">
        <v>17</v>
      </c>
      <c r="I11" s="1">
        <v>67</v>
      </c>
      <c r="J11" s="1" t="s">
        <v>11</v>
      </c>
      <c r="K11" s="1"/>
      <c r="L11" s="1">
        <f t="shared" si="0"/>
        <v>335</v>
      </c>
      <c r="M11" s="1"/>
      <c r="N11" s="1"/>
      <c r="O11" s="12" t="str">
        <f>IF($J11=Sheet2!$A$2, ROW(), "")</f>
        <v/>
      </c>
      <c r="Q11" s="23" t="s">
        <v>1992</v>
      </c>
    </row>
    <row r="12" spans="1:19" ht="14" customHeight="1" x14ac:dyDescent="0.3">
      <c r="A12" s="1" t="s">
        <v>18</v>
      </c>
      <c r="B12" s="1">
        <v>30</v>
      </c>
      <c r="C12" s="1" t="s">
        <v>0</v>
      </c>
      <c r="D12" s="1">
        <v>175</v>
      </c>
      <c r="E12" s="1">
        <v>70</v>
      </c>
      <c r="F12" s="1">
        <v>70</v>
      </c>
      <c r="G12" s="1">
        <v>74</v>
      </c>
      <c r="H12" s="1" t="s">
        <v>19</v>
      </c>
      <c r="I12" s="1">
        <v>147</v>
      </c>
      <c r="J12" s="1" t="s">
        <v>11</v>
      </c>
      <c r="K12" s="1"/>
      <c r="L12" s="1">
        <f t="shared" si="0"/>
        <v>735</v>
      </c>
      <c r="M12" s="1"/>
      <c r="N12" s="1"/>
      <c r="O12" s="12" t="str">
        <f>IF($J12=Sheet2!$A$2, ROW(), "")</f>
        <v/>
      </c>
      <c r="Q12" s="23" t="s">
        <v>1993</v>
      </c>
    </row>
    <row r="13" spans="1:19" ht="14" customHeight="1" x14ac:dyDescent="0.3">
      <c r="A13" s="1" t="s">
        <v>20</v>
      </c>
      <c r="B13" s="1">
        <v>33</v>
      </c>
      <c r="C13" s="1" t="s">
        <v>0</v>
      </c>
      <c r="D13" s="1">
        <v>179</v>
      </c>
      <c r="E13" s="1">
        <v>73</v>
      </c>
      <c r="F13" s="1">
        <v>68</v>
      </c>
      <c r="G13" s="1">
        <v>70</v>
      </c>
      <c r="H13" s="1" t="s">
        <v>21</v>
      </c>
      <c r="I13" s="1">
        <v>87</v>
      </c>
      <c r="J13" s="1" t="s">
        <v>11</v>
      </c>
      <c r="K13" s="1"/>
      <c r="L13" s="1">
        <f t="shared" si="0"/>
        <v>435</v>
      </c>
      <c r="M13" s="1"/>
      <c r="N13" s="1"/>
      <c r="O13" s="12" t="str">
        <f>IF($J13=Sheet2!$A$2, ROW(), "")</f>
        <v/>
      </c>
      <c r="Q13" s="23" t="s">
        <v>1994</v>
      </c>
    </row>
    <row r="14" spans="1:19" ht="14" customHeight="1" x14ac:dyDescent="0.3">
      <c r="A14" s="1" t="s">
        <v>22</v>
      </c>
      <c r="B14" s="1">
        <v>29</v>
      </c>
      <c r="C14" s="1" t="s">
        <v>0</v>
      </c>
      <c r="D14" s="1">
        <v>182</v>
      </c>
      <c r="E14" s="1">
        <v>78</v>
      </c>
      <c r="F14" s="1">
        <v>70</v>
      </c>
      <c r="G14" s="1">
        <v>74</v>
      </c>
      <c r="H14" s="1" t="s">
        <v>23</v>
      </c>
      <c r="I14" s="1">
        <v>157</v>
      </c>
      <c r="J14" s="1" t="s">
        <v>11</v>
      </c>
      <c r="K14" s="1"/>
      <c r="L14" s="1">
        <f t="shared" si="0"/>
        <v>785</v>
      </c>
      <c r="M14" s="1"/>
      <c r="N14" s="1"/>
      <c r="O14" s="12" t="str">
        <f>IF($J14=Sheet2!$A$2, ROW(), "")</f>
        <v/>
      </c>
      <c r="Q14" s="23" t="s">
        <v>1995</v>
      </c>
    </row>
    <row r="15" spans="1:19" ht="14" customHeight="1" x14ac:dyDescent="0.3">
      <c r="A15" s="1" t="s">
        <v>24</v>
      </c>
      <c r="B15" s="1">
        <v>26</v>
      </c>
      <c r="C15" s="1" t="s">
        <v>0</v>
      </c>
      <c r="D15" s="1">
        <v>185</v>
      </c>
      <c r="E15" s="1">
        <v>80</v>
      </c>
      <c r="F15" s="1">
        <v>71</v>
      </c>
      <c r="G15" s="1">
        <v>75</v>
      </c>
      <c r="H15" s="1" t="s">
        <v>23</v>
      </c>
      <c r="I15" s="1">
        <v>117</v>
      </c>
      <c r="J15" s="1" t="s">
        <v>11</v>
      </c>
      <c r="K15" s="1"/>
      <c r="L15" s="1">
        <f t="shared" si="0"/>
        <v>585</v>
      </c>
      <c r="M15" s="1"/>
      <c r="N15" s="1"/>
      <c r="O15" s="12" t="str">
        <f>IF($J15=Sheet2!$A$2, ROW(), "")</f>
        <v/>
      </c>
      <c r="Q15" s="23" t="s">
        <v>1996</v>
      </c>
    </row>
    <row r="16" spans="1:19" ht="14" customHeight="1" x14ac:dyDescent="0.3">
      <c r="A16" s="1" t="s">
        <v>25</v>
      </c>
      <c r="B16" s="1">
        <v>32</v>
      </c>
      <c r="C16" s="1" t="s">
        <v>0</v>
      </c>
      <c r="D16" s="1">
        <v>178</v>
      </c>
      <c r="E16" s="1">
        <v>74</v>
      </c>
      <c r="F16" s="1">
        <v>69</v>
      </c>
      <c r="G16" s="1">
        <v>71</v>
      </c>
      <c r="H16" s="1" t="s">
        <v>21</v>
      </c>
      <c r="I16" s="1">
        <v>97</v>
      </c>
      <c r="J16" s="1" t="s">
        <v>11</v>
      </c>
      <c r="K16" s="1"/>
      <c r="L16" s="1">
        <f t="shared" si="0"/>
        <v>485</v>
      </c>
      <c r="M16" s="1"/>
      <c r="N16" s="1"/>
      <c r="O16" s="12" t="str">
        <f>IF($J16=Sheet2!$A$2, ROW(), "")</f>
        <v/>
      </c>
      <c r="Q16" s="23" t="s">
        <v>1997</v>
      </c>
    </row>
    <row r="17" spans="1:17" ht="14" customHeight="1" x14ac:dyDescent="0.3">
      <c r="A17" s="1" t="s">
        <v>26</v>
      </c>
      <c r="B17" s="1">
        <v>35</v>
      </c>
      <c r="C17" s="1" t="s">
        <v>0</v>
      </c>
      <c r="D17" s="1">
        <v>184</v>
      </c>
      <c r="E17" s="1">
        <v>82</v>
      </c>
      <c r="F17" s="1">
        <v>66</v>
      </c>
      <c r="G17" s="1">
        <v>67</v>
      </c>
      <c r="H17" s="1" t="s">
        <v>1</v>
      </c>
      <c r="I17" s="1">
        <v>7</v>
      </c>
      <c r="J17" s="1" t="s">
        <v>11</v>
      </c>
      <c r="K17" s="1"/>
      <c r="L17" s="1">
        <f t="shared" si="0"/>
        <v>35</v>
      </c>
      <c r="M17" s="1"/>
      <c r="N17" s="1"/>
      <c r="O17" s="12" t="str">
        <f>IF($J17=Sheet2!$A$2, ROW(), "")</f>
        <v/>
      </c>
      <c r="Q17" s="23" t="s">
        <v>1998</v>
      </c>
    </row>
    <row r="18" spans="1:17" ht="14" customHeight="1" x14ac:dyDescent="0.3">
      <c r="A18" s="1" t="s">
        <v>27</v>
      </c>
      <c r="B18" s="1">
        <v>33</v>
      </c>
      <c r="C18" s="1" t="s">
        <v>0</v>
      </c>
      <c r="D18" s="1">
        <v>195</v>
      </c>
      <c r="E18" s="1">
        <v>96</v>
      </c>
      <c r="F18" s="1">
        <v>69</v>
      </c>
      <c r="G18" s="1">
        <v>70</v>
      </c>
      <c r="H18" s="1" t="s">
        <v>1</v>
      </c>
      <c r="I18" s="1">
        <v>67</v>
      </c>
      <c r="J18" s="1" t="s">
        <v>28</v>
      </c>
      <c r="K18" s="1"/>
      <c r="L18" s="1">
        <f t="shared" si="0"/>
        <v>335</v>
      </c>
      <c r="M18" s="1"/>
      <c r="N18" s="1"/>
      <c r="O18" s="12" t="str">
        <f>IF($J18=Sheet2!$A$2, ROW(), "")</f>
        <v/>
      </c>
      <c r="Q18" s="23" t="s">
        <v>1999</v>
      </c>
    </row>
    <row r="19" spans="1:17" ht="14" customHeight="1" x14ac:dyDescent="0.3">
      <c r="A19" s="1" t="s">
        <v>29</v>
      </c>
      <c r="B19" s="1">
        <v>31</v>
      </c>
      <c r="C19" s="1" t="s">
        <v>0</v>
      </c>
      <c r="D19" s="1">
        <v>188</v>
      </c>
      <c r="E19" s="1">
        <v>90</v>
      </c>
      <c r="F19" s="1">
        <v>68</v>
      </c>
      <c r="G19" s="1">
        <v>71</v>
      </c>
      <c r="H19" s="1" t="s">
        <v>5</v>
      </c>
      <c r="I19" s="1">
        <v>87</v>
      </c>
      <c r="J19" s="1" t="s">
        <v>28</v>
      </c>
      <c r="K19" s="1"/>
      <c r="L19" s="1">
        <f t="shared" si="0"/>
        <v>435</v>
      </c>
      <c r="M19" s="1"/>
      <c r="N19" s="1"/>
      <c r="O19" s="12" t="str">
        <f>IF($J19=Sheet2!$A$2, ROW(), "")</f>
        <v/>
      </c>
      <c r="Q19" s="23" t="s">
        <v>2000</v>
      </c>
    </row>
    <row r="20" spans="1:17" ht="14" customHeight="1" x14ac:dyDescent="0.3">
      <c r="A20" s="1" t="s">
        <v>30</v>
      </c>
      <c r="B20" s="1">
        <v>29</v>
      </c>
      <c r="C20" s="1" t="s">
        <v>0</v>
      </c>
      <c r="D20" s="1">
        <v>185</v>
      </c>
      <c r="E20" s="1">
        <v>88</v>
      </c>
      <c r="F20" s="1">
        <v>69</v>
      </c>
      <c r="G20" s="1">
        <v>73</v>
      </c>
      <c r="H20" s="1" t="s">
        <v>15</v>
      </c>
      <c r="I20" s="1">
        <v>107</v>
      </c>
      <c r="J20" s="1" t="s">
        <v>28</v>
      </c>
      <c r="K20" s="1"/>
      <c r="L20" s="1">
        <f t="shared" si="0"/>
        <v>535</v>
      </c>
      <c r="M20" s="1"/>
      <c r="N20" s="1"/>
      <c r="O20" s="12" t="str">
        <f>IF($J20=Sheet2!$A$2, ROW(), "")</f>
        <v/>
      </c>
      <c r="Q20" s="23" t="s">
        <v>2001</v>
      </c>
    </row>
    <row r="21" spans="1:17" ht="14" customHeight="1" x14ac:dyDescent="0.3">
      <c r="A21" s="1" t="s">
        <v>31</v>
      </c>
      <c r="B21" s="1">
        <v>28</v>
      </c>
      <c r="C21" s="1" t="s">
        <v>0</v>
      </c>
      <c r="D21" s="1">
        <v>183</v>
      </c>
      <c r="E21" s="1">
        <v>85</v>
      </c>
      <c r="F21" s="1">
        <v>68</v>
      </c>
      <c r="G21" s="1">
        <v>74</v>
      </c>
      <c r="H21" s="1" t="s">
        <v>19</v>
      </c>
      <c r="I21" s="1">
        <v>117</v>
      </c>
      <c r="J21" s="1" t="s">
        <v>28</v>
      </c>
      <c r="K21" s="1"/>
      <c r="L21" s="1">
        <f t="shared" si="0"/>
        <v>585</v>
      </c>
      <c r="M21" s="1"/>
      <c r="N21" s="1"/>
      <c r="O21" s="12" t="str">
        <f>IF($J21=Sheet2!$A$2, ROW(), "")</f>
        <v/>
      </c>
      <c r="Q21" s="23" t="s">
        <v>2002</v>
      </c>
    </row>
    <row r="22" spans="1:17" ht="14" customHeight="1" x14ac:dyDescent="0.3">
      <c r="A22" s="1" t="s">
        <v>32</v>
      </c>
      <c r="B22" s="1">
        <v>32</v>
      </c>
      <c r="C22" s="1" t="s">
        <v>0</v>
      </c>
      <c r="D22" s="1">
        <v>180</v>
      </c>
      <c r="E22" s="1">
        <v>82</v>
      </c>
      <c r="F22" s="1">
        <v>69</v>
      </c>
      <c r="G22" s="1">
        <v>70</v>
      </c>
      <c r="H22" s="1" t="s">
        <v>21</v>
      </c>
      <c r="I22" s="1">
        <v>77</v>
      </c>
      <c r="J22" s="1" t="s">
        <v>28</v>
      </c>
      <c r="K22" s="1"/>
      <c r="L22" s="1">
        <f t="shared" si="0"/>
        <v>385</v>
      </c>
      <c r="M22" s="1"/>
      <c r="N22" s="1"/>
      <c r="O22" s="12" t="str">
        <f>IF($J22=Sheet2!$A$2, ROW(), "")</f>
        <v/>
      </c>
      <c r="Q22" s="23" t="s">
        <v>2003</v>
      </c>
    </row>
    <row r="23" spans="1:17" ht="14" customHeight="1" x14ac:dyDescent="0.3">
      <c r="A23" s="1" t="s">
        <v>33</v>
      </c>
      <c r="B23" s="1">
        <v>30</v>
      </c>
      <c r="C23" s="1" t="s">
        <v>0</v>
      </c>
      <c r="D23" s="1">
        <v>182</v>
      </c>
      <c r="E23" s="1">
        <v>84</v>
      </c>
      <c r="F23" s="1">
        <v>70</v>
      </c>
      <c r="G23" s="1">
        <v>72</v>
      </c>
      <c r="H23" s="1" t="s">
        <v>34</v>
      </c>
      <c r="I23" s="1">
        <v>127</v>
      </c>
      <c r="J23" s="1" t="s">
        <v>28</v>
      </c>
      <c r="K23" s="1"/>
      <c r="L23" s="1">
        <f t="shared" si="0"/>
        <v>635</v>
      </c>
      <c r="M23" s="1"/>
      <c r="N23" s="1"/>
      <c r="O23" s="12" t="str">
        <f>IF($J23=Sheet2!$A$2, ROW(), "")</f>
        <v/>
      </c>
      <c r="Q23" s="23" t="s">
        <v>2004</v>
      </c>
    </row>
    <row r="24" spans="1:17" ht="14" customHeight="1" x14ac:dyDescent="0.3">
      <c r="A24" s="1" t="s">
        <v>35</v>
      </c>
      <c r="B24" s="1">
        <v>31</v>
      </c>
      <c r="C24" s="1" t="s">
        <v>0</v>
      </c>
      <c r="D24" s="1">
        <v>190</v>
      </c>
      <c r="E24" s="1">
        <v>98</v>
      </c>
      <c r="F24" s="1">
        <v>68</v>
      </c>
      <c r="G24" s="1">
        <v>71</v>
      </c>
      <c r="H24" s="1" t="s">
        <v>23</v>
      </c>
      <c r="I24" s="1">
        <v>97</v>
      </c>
      <c r="J24" s="1" t="s">
        <v>28</v>
      </c>
      <c r="K24" s="1"/>
      <c r="L24" s="1">
        <f t="shared" si="0"/>
        <v>485</v>
      </c>
      <c r="M24" s="1"/>
      <c r="N24" s="1"/>
      <c r="O24" s="12" t="str">
        <f>IF($J24=Sheet2!$A$2, ROW(), "")</f>
        <v/>
      </c>
      <c r="Q24" s="23" t="s">
        <v>2005</v>
      </c>
    </row>
    <row r="25" spans="1:17" ht="14" customHeight="1" x14ac:dyDescent="0.3">
      <c r="A25" s="1" t="s">
        <v>36</v>
      </c>
      <c r="B25" s="1">
        <v>33</v>
      </c>
      <c r="C25" s="1" t="s">
        <v>0</v>
      </c>
      <c r="D25" s="1">
        <v>188</v>
      </c>
      <c r="E25" s="1">
        <v>93</v>
      </c>
      <c r="F25" s="1">
        <v>67</v>
      </c>
      <c r="G25" s="1">
        <v>68</v>
      </c>
      <c r="H25" s="1" t="s">
        <v>23</v>
      </c>
      <c r="I25" s="1">
        <v>47</v>
      </c>
      <c r="J25" s="1" t="s">
        <v>37</v>
      </c>
      <c r="K25" s="1">
        <v>3.5</v>
      </c>
      <c r="L25" s="1">
        <f t="shared" si="0"/>
        <v>235</v>
      </c>
      <c r="M25" s="1" t="s">
        <v>38</v>
      </c>
      <c r="N25" s="1"/>
      <c r="O25" s="12" t="str">
        <f>IF($J25=Sheet2!$A$2, ROW(), "")</f>
        <v/>
      </c>
      <c r="Q25" s="23" t="s">
        <v>2006</v>
      </c>
    </row>
    <row r="26" spans="1:17" ht="14" customHeight="1" x14ac:dyDescent="0.3">
      <c r="A26" s="1" t="s">
        <v>39</v>
      </c>
      <c r="B26" s="1">
        <v>32</v>
      </c>
      <c r="C26" s="1" t="s">
        <v>0</v>
      </c>
      <c r="D26" s="1">
        <v>187</v>
      </c>
      <c r="E26" s="1">
        <v>92</v>
      </c>
      <c r="F26" s="1">
        <v>69</v>
      </c>
      <c r="G26" s="1">
        <v>70</v>
      </c>
      <c r="H26" s="1" t="s">
        <v>40</v>
      </c>
      <c r="I26" s="1">
        <v>87</v>
      </c>
      <c r="J26" s="1" t="s">
        <v>28</v>
      </c>
      <c r="K26" s="1"/>
      <c r="L26" s="1">
        <f t="shared" si="0"/>
        <v>435</v>
      </c>
      <c r="M26" s="1"/>
      <c r="N26" s="1"/>
      <c r="O26" s="12" t="str">
        <f>IF($J26=Sheet2!$A$2, ROW(), "")</f>
        <v/>
      </c>
      <c r="Q26" s="23" t="s">
        <v>2007</v>
      </c>
    </row>
    <row r="27" spans="1:17" ht="14" customHeight="1" x14ac:dyDescent="0.3">
      <c r="A27" s="1" t="s">
        <v>41</v>
      </c>
      <c r="B27" s="1">
        <v>29</v>
      </c>
      <c r="C27" s="1" t="s">
        <v>0</v>
      </c>
      <c r="D27" s="1">
        <v>179</v>
      </c>
      <c r="E27" s="1">
        <v>78</v>
      </c>
      <c r="F27" s="1">
        <v>68</v>
      </c>
      <c r="G27" s="1">
        <v>73</v>
      </c>
      <c r="H27" s="1" t="s">
        <v>21</v>
      </c>
      <c r="I27" s="1">
        <v>107</v>
      </c>
      <c r="J27" s="1" t="s">
        <v>28</v>
      </c>
      <c r="K27" s="1"/>
      <c r="L27" s="1">
        <f t="shared" si="0"/>
        <v>535</v>
      </c>
      <c r="M27" s="1"/>
      <c r="N27" s="1"/>
      <c r="O27" s="12" t="str">
        <f>IF($J27=Sheet2!$A$2, ROW(), "")</f>
        <v/>
      </c>
      <c r="Q27" s="23" t="s">
        <v>2008</v>
      </c>
    </row>
    <row r="28" spans="1:17" ht="14" customHeight="1" x14ac:dyDescent="0.3">
      <c r="A28" s="1" t="s">
        <v>42</v>
      </c>
      <c r="B28" s="1">
        <v>28</v>
      </c>
      <c r="C28" s="1" t="s">
        <v>0</v>
      </c>
      <c r="D28" s="1">
        <v>186</v>
      </c>
      <c r="E28" s="1">
        <v>89</v>
      </c>
      <c r="F28" s="1">
        <v>67</v>
      </c>
      <c r="G28" s="1">
        <v>74</v>
      </c>
      <c r="H28" s="1" t="s">
        <v>34</v>
      </c>
      <c r="I28" s="1">
        <v>117</v>
      </c>
      <c r="J28" s="1" t="s">
        <v>28</v>
      </c>
      <c r="K28" s="1"/>
      <c r="L28" s="1">
        <f t="shared" si="0"/>
        <v>585</v>
      </c>
      <c r="M28" s="1"/>
      <c r="N28" s="1"/>
      <c r="O28" s="12" t="str">
        <f>IF($J28=Sheet2!$A$2, ROW(), "")</f>
        <v/>
      </c>
      <c r="Q28" s="23" t="s">
        <v>2009</v>
      </c>
    </row>
    <row r="29" spans="1:17" ht="14" customHeight="1" x14ac:dyDescent="0.3">
      <c r="A29" s="1" t="s">
        <v>43</v>
      </c>
      <c r="B29" s="1">
        <v>34</v>
      </c>
      <c r="C29" s="1" t="s">
        <v>0</v>
      </c>
      <c r="D29" s="1">
        <v>192</v>
      </c>
      <c r="E29" s="1">
        <v>95</v>
      </c>
      <c r="F29" s="1">
        <v>67</v>
      </c>
      <c r="G29" s="1">
        <v>68</v>
      </c>
      <c r="H29" s="1" t="s">
        <v>5</v>
      </c>
      <c r="I29" s="1">
        <v>37</v>
      </c>
      <c r="J29" s="1" t="s">
        <v>28</v>
      </c>
      <c r="K29" s="1"/>
      <c r="L29" s="1">
        <f t="shared" si="0"/>
        <v>185</v>
      </c>
      <c r="M29" s="1"/>
      <c r="N29" s="1"/>
      <c r="O29" s="12" t="str">
        <f>IF($J29=Sheet2!$A$2, ROW(), "")</f>
        <v/>
      </c>
      <c r="Q29" s="23" t="s">
        <v>2010</v>
      </c>
    </row>
    <row r="30" spans="1:17" ht="14" customHeight="1" x14ac:dyDescent="0.3">
      <c r="A30" s="1" t="s">
        <v>44</v>
      </c>
      <c r="B30" s="1">
        <v>30</v>
      </c>
      <c r="C30" s="1" t="s">
        <v>0</v>
      </c>
      <c r="D30" s="1">
        <v>184</v>
      </c>
      <c r="E30" s="1">
        <v>87</v>
      </c>
      <c r="F30" s="1">
        <v>68</v>
      </c>
      <c r="G30" s="1">
        <v>72</v>
      </c>
      <c r="H30" s="1" t="s">
        <v>10</v>
      </c>
      <c r="I30" s="1">
        <v>97</v>
      </c>
      <c r="J30" s="1" t="s">
        <v>28</v>
      </c>
      <c r="K30" s="1"/>
      <c r="L30" s="1">
        <f t="shared" si="0"/>
        <v>485</v>
      </c>
      <c r="M30" s="1"/>
      <c r="N30" s="1"/>
      <c r="O30" s="12" t="str">
        <f>IF($J30=Sheet2!$A$2, ROW(), "")</f>
        <v/>
      </c>
      <c r="Q30" s="23" t="s">
        <v>2011</v>
      </c>
    </row>
    <row r="31" spans="1:17" ht="14" customHeight="1" x14ac:dyDescent="0.3">
      <c r="A31" s="1" t="s">
        <v>45</v>
      </c>
      <c r="B31" s="1">
        <v>32</v>
      </c>
      <c r="C31" s="1" t="s">
        <v>0</v>
      </c>
      <c r="D31" s="1">
        <v>182</v>
      </c>
      <c r="E31" s="1">
        <v>86</v>
      </c>
      <c r="F31" s="1">
        <v>67</v>
      </c>
      <c r="G31" s="1">
        <v>69</v>
      </c>
      <c r="H31" s="1" t="s">
        <v>19</v>
      </c>
      <c r="I31" s="1">
        <v>67</v>
      </c>
      <c r="J31" s="1" t="s">
        <v>28</v>
      </c>
      <c r="K31" s="1"/>
      <c r="L31" s="1">
        <f t="shared" si="0"/>
        <v>335</v>
      </c>
      <c r="M31" s="1"/>
      <c r="N31" s="1"/>
      <c r="O31" s="12" t="str">
        <f>IF($J31=Sheet2!$A$2, ROW(), "")</f>
        <v/>
      </c>
      <c r="Q31" s="23" t="s">
        <v>2012</v>
      </c>
    </row>
    <row r="32" spans="1:17" ht="14" customHeight="1" x14ac:dyDescent="0.3">
      <c r="A32" s="1" t="s">
        <v>46</v>
      </c>
      <c r="B32" s="1">
        <v>27</v>
      </c>
      <c r="C32" s="1" t="s">
        <v>0</v>
      </c>
      <c r="D32" s="1">
        <v>185</v>
      </c>
      <c r="E32" s="1">
        <v>90</v>
      </c>
      <c r="F32" s="1">
        <v>66</v>
      </c>
      <c r="G32" s="1">
        <v>74</v>
      </c>
      <c r="H32" s="1" t="s">
        <v>5</v>
      </c>
      <c r="I32" s="1">
        <v>97</v>
      </c>
      <c r="J32" s="1" t="s">
        <v>28</v>
      </c>
      <c r="K32" s="1"/>
      <c r="L32" s="1">
        <f t="shared" si="0"/>
        <v>485</v>
      </c>
      <c r="M32" s="1"/>
      <c r="N32" s="1"/>
      <c r="O32" s="12" t="str">
        <f>IF($J32=Sheet2!$A$2, ROW(), "")</f>
        <v/>
      </c>
      <c r="Q32" s="23" t="s">
        <v>2013</v>
      </c>
    </row>
    <row r="33" spans="1:17" ht="14" customHeight="1" x14ac:dyDescent="0.3">
      <c r="A33" s="1" t="s">
        <v>47</v>
      </c>
      <c r="B33" s="1">
        <v>31</v>
      </c>
      <c r="C33" s="1" t="s">
        <v>0</v>
      </c>
      <c r="D33" s="1">
        <v>181</v>
      </c>
      <c r="E33" s="1">
        <v>83</v>
      </c>
      <c r="F33" s="1">
        <v>69</v>
      </c>
      <c r="G33" s="1">
        <v>71</v>
      </c>
      <c r="H33" s="1" t="s">
        <v>15</v>
      </c>
      <c r="I33" s="1">
        <v>107</v>
      </c>
      <c r="J33" s="1" t="s">
        <v>28</v>
      </c>
      <c r="K33" s="1"/>
      <c r="L33" s="1">
        <f t="shared" si="0"/>
        <v>535</v>
      </c>
      <c r="M33" s="1"/>
      <c r="N33" s="1"/>
      <c r="O33" s="12" t="str">
        <f>IF($J33=Sheet2!$A$2, ROW(), "")</f>
        <v/>
      </c>
      <c r="Q33" s="23" t="s">
        <v>2014</v>
      </c>
    </row>
    <row r="34" spans="1:17" ht="14" customHeight="1" x14ac:dyDescent="0.3">
      <c r="A34" s="1" t="s">
        <v>48</v>
      </c>
      <c r="B34" s="1">
        <v>30</v>
      </c>
      <c r="C34" s="1" t="s">
        <v>0</v>
      </c>
      <c r="D34" s="1">
        <v>178</v>
      </c>
      <c r="E34" s="1">
        <v>75</v>
      </c>
      <c r="F34" s="1">
        <v>68</v>
      </c>
      <c r="G34" s="1">
        <v>72</v>
      </c>
      <c r="H34" s="1" t="s">
        <v>17</v>
      </c>
      <c r="I34" s="1">
        <v>87</v>
      </c>
      <c r="J34" s="1" t="s">
        <v>28</v>
      </c>
      <c r="K34" s="1"/>
      <c r="L34" s="1">
        <f t="shared" si="0"/>
        <v>435</v>
      </c>
      <c r="M34" s="1"/>
      <c r="N34" s="1"/>
      <c r="O34" s="12" t="str">
        <f>IF($J34=Sheet2!$A$2, ROW(), "")</f>
        <v/>
      </c>
      <c r="Q34" s="23" t="s">
        <v>2015</v>
      </c>
    </row>
    <row r="35" spans="1:17" ht="14" customHeight="1" x14ac:dyDescent="0.3">
      <c r="A35" s="1" t="s">
        <v>49</v>
      </c>
      <c r="B35" s="1">
        <v>33</v>
      </c>
      <c r="C35" s="1" t="s">
        <v>0</v>
      </c>
      <c r="D35" s="1">
        <v>180</v>
      </c>
      <c r="E35" s="1">
        <v>78</v>
      </c>
      <c r="F35" s="1">
        <v>68</v>
      </c>
      <c r="G35" s="1">
        <v>69</v>
      </c>
      <c r="H35" s="1" t="s">
        <v>10</v>
      </c>
      <c r="I35" s="1">
        <v>67</v>
      </c>
      <c r="J35" s="1" t="s">
        <v>28</v>
      </c>
      <c r="K35" s="1"/>
      <c r="L35" s="1">
        <f t="shared" si="0"/>
        <v>335</v>
      </c>
      <c r="M35" s="1"/>
      <c r="N35" s="1"/>
      <c r="O35" s="12" t="str">
        <f>IF($J35=Sheet2!$A$2, ROW(), "")</f>
        <v/>
      </c>
      <c r="Q35" s="23" t="s">
        <v>2016</v>
      </c>
    </row>
    <row r="36" spans="1:17" ht="14" customHeight="1" x14ac:dyDescent="0.3">
      <c r="A36" s="1" t="s">
        <v>50</v>
      </c>
      <c r="B36" s="1">
        <v>29</v>
      </c>
      <c r="C36" s="1" t="s">
        <v>0</v>
      </c>
      <c r="D36" s="1">
        <v>175</v>
      </c>
      <c r="E36" s="1">
        <v>70</v>
      </c>
      <c r="F36" s="1">
        <v>69</v>
      </c>
      <c r="G36" s="1">
        <v>73</v>
      </c>
      <c r="H36" s="1" t="s">
        <v>51</v>
      </c>
      <c r="I36" s="1">
        <v>117</v>
      </c>
      <c r="J36" s="1" t="s">
        <v>28</v>
      </c>
      <c r="K36" s="1"/>
      <c r="L36" s="1">
        <f t="shared" si="0"/>
        <v>585</v>
      </c>
      <c r="M36" s="1"/>
      <c r="N36" s="1"/>
      <c r="O36" s="12" t="str">
        <f>IF($J36=Sheet2!$A$2, ROW(), "")</f>
        <v/>
      </c>
      <c r="Q36" s="23" t="s">
        <v>2017</v>
      </c>
    </row>
    <row r="37" spans="1:17" ht="14" customHeight="1" x14ac:dyDescent="0.3">
      <c r="A37" s="1" t="s">
        <v>52</v>
      </c>
      <c r="B37" s="1">
        <v>34</v>
      </c>
      <c r="C37" s="1" t="s">
        <v>0</v>
      </c>
      <c r="D37" s="1">
        <v>183</v>
      </c>
      <c r="E37" s="1">
        <v>81</v>
      </c>
      <c r="F37" s="1">
        <v>66</v>
      </c>
      <c r="G37" s="1">
        <v>67</v>
      </c>
      <c r="H37" s="1" t="s">
        <v>1</v>
      </c>
      <c r="I37" s="1">
        <v>17</v>
      </c>
      <c r="J37" s="1" t="s">
        <v>28</v>
      </c>
      <c r="K37" s="1"/>
      <c r="L37" s="1">
        <f t="shared" si="0"/>
        <v>85</v>
      </c>
      <c r="M37" s="1"/>
      <c r="N37" s="1"/>
      <c r="O37" s="12" t="str">
        <f>IF($J37=Sheet2!$A$2, ROW(), "")</f>
        <v/>
      </c>
      <c r="Q37" s="23" t="s">
        <v>2018</v>
      </c>
    </row>
    <row r="38" spans="1:17" ht="14" customHeight="1" x14ac:dyDescent="0.3">
      <c r="A38" s="1" t="s">
        <v>53</v>
      </c>
      <c r="B38" s="1">
        <v>30</v>
      </c>
      <c r="C38" s="1" t="s">
        <v>0</v>
      </c>
      <c r="D38" s="1">
        <v>189</v>
      </c>
      <c r="E38" s="1">
        <v>94</v>
      </c>
      <c r="F38" s="1">
        <v>68</v>
      </c>
      <c r="G38" s="1">
        <v>72</v>
      </c>
      <c r="H38" s="1" t="s">
        <v>5</v>
      </c>
      <c r="I38" s="1">
        <v>97</v>
      </c>
      <c r="J38" s="1" t="s">
        <v>28</v>
      </c>
      <c r="K38" s="1"/>
      <c r="L38" s="1">
        <f t="shared" si="0"/>
        <v>485</v>
      </c>
      <c r="M38" s="1"/>
      <c r="N38" s="1"/>
      <c r="O38" s="12" t="str">
        <f>IF($J38=Sheet2!$A$2, ROW(), "")</f>
        <v/>
      </c>
      <c r="Q38" s="23" t="s">
        <v>2019</v>
      </c>
    </row>
    <row r="39" spans="1:17" ht="14" customHeight="1" x14ac:dyDescent="0.3">
      <c r="A39" s="1" t="s">
        <v>54</v>
      </c>
      <c r="B39" s="1">
        <v>28</v>
      </c>
      <c r="C39" s="1" t="s">
        <v>0</v>
      </c>
      <c r="D39" s="1">
        <v>187</v>
      </c>
      <c r="E39" s="1">
        <v>91</v>
      </c>
      <c r="F39" s="1">
        <v>67</v>
      </c>
      <c r="G39" s="1">
        <v>74</v>
      </c>
      <c r="H39" s="1" t="s">
        <v>23</v>
      </c>
      <c r="I39" s="1">
        <v>127</v>
      </c>
      <c r="J39" s="1" t="s">
        <v>28</v>
      </c>
      <c r="K39" s="1"/>
      <c r="L39" s="1">
        <f t="shared" si="0"/>
        <v>635</v>
      </c>
      <c r="M39" s="1"/>
      <c r="N39" s="1"/>
      <c r="O39" s="12" t="str">
        <f>IF($J39=Sheet2!$A$2, ROW(), "")</f>
        <v/>
      </c>
      <c r="Q39" s="23" t="s">
        <v>2020</v>
      </c>
    </row>
    <row r="40" spans="1:17" ht="14" customHeight="1" x14ac:dyDescent="0.3">
      <c r="A40" s="1" t="s">
        <v>55</v>
      </c>
      <c r="B40" s="1">
        <v>31</v>
      </c>
      <c r="C40" s="1" t="s">
        <v>0</v>
      </c>
      <c r="D40" s="1">
        <v>186</v>
      </c>
      <c r="E40" s="1">
        <v>90</v>
      </c>
      <c r="F40" s="1">
        <v>69</v>
      </c>
      <c r="G40" s="1">
        <v>71</v>
      </c>
      <c r="H40" s="1" t="s">
        <v>15</v>
      </c>
      <c r="I40" s="1">
        <v>87</v>
      </c>
      <c r="J40" s="1" t="s">
        <v>28</v>
      </c>
      <c r="K40" s="1"/>
      <c r="L40" s="1">
        <f t="shared" si="0"/>
        <v>435</v>
      </c>
      <c r="M40" s="1"/>
      <c r="N40" s="1"/>
      <c r="O40" s="12" t="str">
        <f>IF($J40=Sheet2!$A$2, ROW(), "")</f>
        <v/>
      </c>
      <c r="Q40" s="23" t="s">
        <v>2021</v>
      </c>
    </row>
    <row r="41" spans="1:17" ht="14" customHeight="1" x14ac:dyDescent="0.3">
      <c r="A41" s="1" t="s">
        <v>56</v>
      </c>
      <c r="B41" s="1">
        <v>32</v>
      </c>
      <c r="C41" s="1" t="s">
        <v>0</v>
      </c>
      <c r="D41" s="1">
        <v>182</v>
      </c>
      <c r="E41" s="1">
        <v>80</v>
      </c>
      <c r="F41" s="1">
        <v>68</v>
      </c>
      <c r="G41" s="1">
        <v>70</v>
      </c>
      <c r="H41" s="1" t="s">
        <v>19</v>
      </c>
      <c r="I41" s="1">
        <v>77</v>
      </c>
      <c r="J41" s="1" t="s">
        <v>28</v>
      </c>
      <c r="K41" s="1"/>
      <c r="L41" s="1">
        <f t="shared" si="0"/>
        <v>385</v>
      </c>
      <c r="M41" s="1"/>
      <c r="N41" s="1"/>
      <c r="O41" s="12" t="str">
        <f>IF($J41=Sheet2!$A$2, ROW(), "")</f>
        <v/>
      </c>
      <c r="Q41" s="23" t="s">
        <v>2022</v>
      </c>
    </row>
    <row r="42" spans="1:17" ht="14" customHeight="1" x14ac:dyDescent="0.3">
      <c r="A42" s="1" t="s">
        <v>57</v>
      </c>
      <c r="B42" s="1">
        <v>26</v>
      </c>
      <c r="C42" s="1" t="s">
        <v>0</v>
      </c>
      <c r="D42" s="1">
        <v>172</v>
      </c>
      <c r="E42" s="1">
        <v>67</v>
      </c>
      <c r="F42" s="1">
        <v>60</v>
      </c>
      <c r="G42" s="1">
        <v>67</v>
      </c>
      <c r="H42" s="1" t="s">
        <v>1</v>
      </c>
      <c r="I42" s="1">
        <v>36</v>
      </c>
      <c r="J42" s="1" t="s">
        <v>11</v>
      </c>
      <c r="K42" s="1"/>
      <c r="L42" s="1">
        <f t="shared" si="0"/>
        <v>180</v>
      </c>
      <c r="M42" s="1"/>
      <c r="N42" s="1"/>
      <c r="O42" s="12" t="str">
        <f>IF($J42=Sheet2!$A$2, ROW(), "")</f>
        <v/>
      </c>
      <c r="Q42" s="23" t="s">
        <v>2023</v>
      </c>
    </row>
    <row r="43" spans="1:17" ht="14" customHeight="1" x14ac:dyDescent="0.3">
      <c r="A43" s="1" t="s">
        <v>58</v>
      </c>
      <c r="B43" s="1">
        <v>27</v>
      </c>
      <c r="C43" s="1" t="s">
        <v>0</v>
      </c>
      <c r="D43" s="1">
        <v>175</v>
      </c>
      <c r="E43" s="1">
        <v>70</v>
      </c>
      <c r="F43" s="1">
        <v>61</v>
      </c>
      <c r="G43" s="1">
        <v>66</v>
      </c>
      <c r="H43" s="1" t="s">
        <v>8</v>
      </c>
      <c r="I43" s="1">
        <v>46</v>
      </c>
      <c r="J43" s="1" t="s">
        <v>11</v>
      </c>
      <c r="K43" s="1"/>
      <c r="L43" s="1">
        <f t="shared" si="0"/>
        <v>230</v>
      </c>
      <c r="M43" s="1"/>
      <c r="N43" s="1"/>
      <c r="O43" s="12" t="str">
        <f>IF($J43=Sheet2!$A$2, ROW(), "")</f>
        <v/>
      </c>
      <c r="Q43" s="23" t="s">
        <v>2024</v>
      </c>
    </row>
    <row r="44" spans="1:17" ht="14" customHeight="1" x14ac:dyDescent="0.3">
      <c r="A44" s="1" t="s">
        <v>59</v>
      </c>
      <c r="B44" s="1">
        <v>25</v>
      </c>
      <c r="C44" s="1" t="s">
        <v>0</v>
      </c>
      <c r="D44" s="1">
        <v>170</v>
      </c>
      <c r="E44" s="1">
        <v>68</v>
      </c>
      <c r="F44" s="1">
        <v>59</v>
      </c>
      <c r="G44" s="1">
        <v>68</v>
      </c>
      <c r="H44" s="1" t="s">
        <v>5</v>
      </c>
      <c r="I44" s="1">
        <v>26</v>
      </c>
      <c r="J44" s="1" t="s">
        <v>11</v>
      </c>
      <c r="K44" s="1"/>
      <c r="L44" s="1">
        <f t="shared" si="0"/>
        <v>130</v>
      </c>
      <c r="M44" s="1"/>
      <c r="N44" s="1"/>
      <c r="O44" s="12" t="str">
        <f>IF($J44=Sheet2!$A$2, ROW(), "")</f>
        <v/>
      </c>
      <c r="Q44" s="23" t="s">
        <v>2025</v>
      </c>
    </row>
    <row r="45" spans="1:17" ht="14" customHeight="1" x14ac:dyDescent="0.3">
      <c r="A45" s="1" t="s">
        <v>60</v>
      </c>
      <c r="B45" s="1">
        <v>28</v>
      </c>
      <c r="C45" s="1" t="s">
        <v>0</v>
      </c>
      <c r="D45" s="1">
        <v>168</v>
      </c>
      <c r="E45" s="1">
        <v>65</v>
      </c>
      <c r="F45" s="1">
        <v>62</v>
      </c>
      <c r="G45" s="1">
        <v>65</v>
      </c>
      <c r="H45" s="1" t="s">
        <v>10</v>
      </c>
      <c r="I45" s="1">
        <v>56</v>
      </c>
      <c r="J45" s="1" t="s">
        <v>11</v>
      </c>
      <c r="K45" s="1"/>
      <c r="L45" s="1">
        <f t="shared" si="0"/>
        <v>280</v>
      </c>
      <c r="M45" s="1"/>
      <c r="N45" s="1"/>
      <c r="O45" s="12" t="str">
        <f>IF($J45=Sheet2!$A$2, ROW(), "")</f>
        <v/>
      </c>
      <c r="Q45" s="23" t="s">
        <v>2026</v>
      </c>
    </row>
    <row r="46" spans="1:17" ht="14" customHeight="1" x14ac:dyDescent="0.3">
      <c r="A46" s="1" t="s">
        <v>61</v>
      </c>
      <c r="B46" s="1">
        <v>24</v>
      </c>
      <c r="C46" s="1" t="s">
        <v>0</v>
      </c>
      <c r="D46" s="1">
        <v>171</v>
      </c>
      <c r="E46" s="1">
        <v>66</v>
      </c>
      <c r="F46" s="1">
        <v>58</v>
      </c>
      <c r="G46" s="1">
        <v>67</v>
      </c>
      <c r="H46" s="1" t="s">
        <v>15</v>
      </c>
      <c r="I46" s="1">
        <v>16</v>
      </c>
      <c r="J46" s="1" t="s">
        <v>11</v>
      </c>
      <c r="K46" s="1"/>
      <c r="L46" s="1">
        <f t="shared" si="0"/>
        <v>80</v>
      </c>
      <c r="M46" s="1"/>
      <c r="N46" s="1"/>
      <c r="O46" s="12" t="str">
        <f>IF($J46=Sheet2!$A$2, ROW(), "")</f>
        <v/>
      </c>
      <c r="Q46" s="23" t="s">
        <v>2027</v>
      </c>
    </row>
    <row r="47" spans="1:17" ht="14" customHeight="1" x14ac:dyDescent="0.3">
      <c r="A47" s="1" t="s">
        <v>62</v>
      </c>
      <c r="B47" s="1">
        <v>29</v>
      </c>
      <c r="C47" s="1" t="s">
        <v>0</v>
      </c>
      <c r="D47" s="1">
        <v>173</v>
      </c>
      <c r="E47" s="1">
        <v>69</v>
      </c>
      <c r="F47" s="1">
        <v>62</v>
      </c>
      <c r="G47" s="1">
        <v>64</v>
      </c>
      <c r="H47" s="1" t="s">
        <v>17</v>
      </c>
      <c r="I47" s="1">
        <v>56</v>
      </c>
      <c r="J47" s="1" t="s">
        <v>11</v>
      </c>
      <c r="K47" s="1"/>
      <c r="L47" s="1">
        <f t="shared" si="0"/>
        <v>280</v>
      </c>
      <c r="M47" s="1"/>
      <c r="N47" s="1"/>
      <c r="O47" s="12" t="str">
        <f>IF($J47=Sheet2!$A$2, ROW(), "")</f>
        <v/>
      </c>
      <c r="Q47" s="23" t="s">
        <v>2028</v>
      </c>
    </row>
    <row r="48" spans="1:17" ht="14" customHeight="1" x14ac:dyDescent="0.3">
      <c r="A48" s="1" t="s">
        <v>63</v>
      </c>
      <c r="B48" s="1">
        <v>26</v>
      </c>
      <c r="C48" s="1" t="s">
        <v>0</v>
      </c>
      <c r="D48" s="1">
        <v>169</v>
      </c>
      <c r="E48" s="1">
        <v>64</v>
      </c>
      <c r="F48" s="1">
        <v>60</v>
      </c>
      <c r="G48" s="1">
        <v>67</v>
      </c>
      <c r="H48" s="1" t="s">
        <v>19</v>
      </c>
      <c r="I48" s="1">
        <v>36</v>
      </c>
      <c r="J48" s="1" t="s">
        <v>11</v>
      </c>
      <c r="K48" s="1"/>
      <c r="L48" s="1">
        <f t="shared" si="0"/>
        <v>180</v>
      </c>
      <c r="M48" s="1"/>
      <c r="N48" s="1"/>
      <c r="O48" s="12" t="str">
        <f>IF($J48=Sheet2!$A$2, ROW(), "")</f>
        <v/>
      </c>
      <c r="Q48" s="23" t="s">
        <v>2029</v>
      </c>
    </row>
    <row r="49" spans="1:17" ht="14" customHeight="1" x14ac:dyDescent="0.3">
      <c r="A49" s="1" t="s">
        <v>64</v>
      </c>
      <c r="B49" s="1">
        <v>27</v>
      </c>
      <c r="C49" s="1" t="s">
        <v>0</v>
      </c>
      <c r="D49" s="1">
        <v>172</v>
      </c>
      <c r="E49" s="1">
        <v>67</v>
      </c>
      <c r="F49" s="1">
        <v>61</v>
      </c>
      <c r="G49" s="1">
        <v>66</v>
      </c>
      <c r="H49" s="1" t="s">
        <v>51</v>
      </c>
      <c r="I49" s="1">
        <v>46</v>
      </c>
      <c r="J49" s="1" t="s">
        <v>11</v>
      </c>
      <c r="K49" s="1"/>
      <c r="L49" s="1">
        <f t="shared" si="0"/>
        <v>230</v>
      </c>
      <c r="M49" s="1"/>
      <c r="N49" s="1"/>
      <c r="O49" s="12" t="str">
        <f>IF($J49=Sheet2!$A$2, ROW(), "")</f>
        <v/>
      </c>
      <c r="Q49" s="23" t="s">
        <v>2030</v>
      </c>
    </row>
    <row r="50" spans="1:17" ht="14" customHeight="1" x14ac:dyDescent="0.3">
      <c r="A50" s="1" t="s">
        <v>65</v>
      </c>
      <c r="B50" s="1">
        <v>25</v>
      </c>
      <c r="C50" s="1" t="s">
        <v>0</v>
      </c>
      <c r="D50" s="1">
        <v>174</v>
      </c>
      <c r="E50" s="1">
        <v>68</v>
      </c>
      <c r="F50" s="1">
        <v>59</v>
      </c>
      <c r="G50" s="1">
        <v>68</v>
      </c>
      <c r="H50" s="1" t="s">
        <v>21</v>
      </c>
      <c r="I50" s="1">
        <v>26</v>
      </c>
      <c r="J50" s="1" t="s">
        <v>11</v>
      </c>
      <c r="K50" s="1"/>
      <c r="L50" s="1">
        <f t="shared" si="0"/>
        <v>130</v>
      </c>
      <c r="M50" s="1"/>
      <c r="N50" s="1"/>
      <c r="O50" s="12" t="str">
        <f>IF($J50=Sheet2!$A$2, ROW(), "")</f>
        <v/>
      </c>
      <c r="Q50" s="23" t="s">
        <v>2031</v>
      </c>
    </row>
    <row r="51" spans="1:17" ht="14" customHeight="1" x14ac:dyDescent="0.3">
      <c r="A51" s="1" t="s">
        <v>66</v>
      </c>
      <c r="B51" s="1">
        <v>28</v>
      </c>
      <c r="C51" s="1" t="s">
        <v>0</v>
      </c>
      <c r="D51" s="1">
        <v>171</v>
      </c>
      <c r="E51" s="1">
        <v>66</v>
      </c>
      <c r="F51" s="1">
        <v>62</v>
      </c>
      <c r="G51" s="1">
        <v>65</v>
      </c>
      <c r="H51" s="1" t="s">
        <v>34</v>
      </c>
      <c r="I51" s="1">
        <v>56</v>
      </c>
      <c r="J51" s="1" t="s">
        <v>11</v>
      </c>
      <c r="K51" s="1"/>
      <c r="L51" s="1">
        <f t="shared" si="0"/>
        <v>280</v>
      </c>
      <c r="M51" s="1"/>
      <c r="N51" s="1"/>
      <c r="O51" s="12" t="str">
        <f>IF($J51=Sheet2!$A$2, ROW(), "")</f>
        <v/>
      </c>
      <c r="Q51" s="23" t="s">
        <v>2032</v>
      </c>
    </row>
    <row r="52" spans="1:17" ht="14" customHeight="1" x14ac:dyDescent="0.3">
      <c r="A52" s="1" t="s">
        <v>67</v>
      </c>
      <c r="B52" s="1">
        <v>24</v>
      </c>
      <c r="C52" s="1" t="s">
        <v>0</v>
      </c>
      <c r="D52" s="1">
        <v>176</v>
      </c>
      <c r="E52" s="1">
        <v>72</v>
      </c>
      <c r="F52" s="1">
        <v>58</v>
      </c>
      <c r="G52" s="1">
        <v>67</v>
      </c>
      <c r="H52" s="1" t="s">
        <v>23</v>
      </c>
      <c r="I52" s="1">
        <v>16</v>
      </c>
      <c r="J52" s="1" t="s">
        <v>11</v>
      </c>
      <c r="K52" s="1"/>
      <c r="L52" s="1">
        <f t="shared" si="0"/>
        <v>80</v>
      </c>
      <c r="M52" s="1"/>
      <c r="N52" s="1"/>
      <c r="O52" s="12" t="str">
        <f>IF($J52=Sheet2!$A$2, ROW(), "")</f>
        <v/>
      </c>
      <c r="Q52" s="23" t="s">
        <v>2033</v>
      </c>
    </row>
    <row r="53" spans="1:17" ht="14" customHeight="1" x14ac:dyDescent="0.3">
      <c r="A53" s="1" t="s">
        <v>68</v>
      </c>
      <c r="B53" s="1">
        <v>26</v>
      </c>
      <c r="C53" s="1" t="s">
        <v>0</v>
      </c>
      <c r="D53" s="1">
        <v>173</v>
      </c>
      <c r="E53" s="1">
        <v>69</v>
      </c>
      <c r="F53" s="1">
        <v>60</v>
      </c>
      <c r="G53" s="1">
        <v>67</v>
      </c>
      <c r="H53" s="1" t="s">
        <v>40</v>
      </c>
      <c r="I53" s="1">
        <v>36</v>
      </c>
      <c r="J53" s="1" t="s">
        <v>11</v>
      </c>
      <c r="K53" s="1"/>
      <c r="L53" s="1">
        <f t="shared" si="0"/>
        <v>180</v>
      </c>
      <c r="M53" s="1"/>
      <c r="N53" s="1"/>
      <c r="O53" s="12" t="str">
        <f>IF($J53=Sheet2!$A$2, ROW(), "")</f>
        <v/>
      </c>
      <c r="Q53" s="23" t="s">
        <v>2034</v>
      </c>
    </row>
    <row r="54" spans="1:17" ht="14" customHeight="1" x14ac:dyDescent="0.3">
      <c r="A54" s="1" t="s">
        <v>69</v>
      </c>
      <c r="B54" s="1">
        <v>23</v>
      </c>
      <c r="C54" s="1" t="s">
        <v>0</v>
      </c>
      <c r="D54" s="1">
        <v>168</v>
      </c>
      <c r="E54" s="1">
        <v>63</v>
      </c>
      <c r="F54" s="1">
        <v>57</v>
      </c>
      <c r="G54" s="1">
        <v>68</v>
      </c>
      <c r="H54" s="1" t="s">
        <v>34</v>
      </c>
      <c r="I54" s="1">
        <v>6</v>
      </c>
      <c r="J54" s="1" t="s">
        <v>11</v>
      </c>
      <c r="K54" s="1"/>
      <c r="L54" s="1">
        <f t="shared" si="0"/>
        <v>30</v>
      </c>
      <c r="M54" s="1"/>
      <c r="N54" s="1"/>
      <c r="O54" s="12" t="str">
        <f>IF($J54=Sheet2!$A$2, ROW(), "")</f>
        <v/>
      </c>
      <c r="Q54" s="23" t="s">
        <v>2035</v>
      </c>
    </row>
    <row r="55" spans="1:17" ht="14" customHeight="1" x14ac:dyDescent="0.3">
      <c r="A55" s="1" t="s">
        <v>70</v>
      </c>
      <c r="B55" s="1">
        <v>28</v>
      </c>
      <c r="C55" s="1" t="s">
        <v>0</v>
      </c>
      <c r="D55" s="1">
        <v>178</v>
      </c>
      <c r="E55" s="1">
        <v>74</v>
      </c>
      <c r="F55" s="1">
        <v>61</v>
      </c>
      <c r="G55" s="1">
        <v>65</v>
      </c>
      <c r="H55" s="1" t="s">
        <v>5</v>
      </c>
      <c r="I55" s="1">
        <v>56</v>
      </c>
      <c r="J55" s="1" t="s">
        <v>11</v>
      </c>
      <c r="K55" s="1"/>
      <c r="L55" s="1">
        <f t="shared" si="0"/>
        <v>280</v>
      </c>
      <c r="M55" s="1"/>
      <c r="N55" s="1"/>
      <c r="O55" s="12" t="str">
        <f>IF($J55=Sheet2!$A$2, ROW(), "")</f>
        <v/>
      </c>
      <c r="Q55" s="23" t="s">
        <v>2036</v>
      </c>
    </row>
    <row r="56" spans="1:17" ht="14" customHeight="1" x14ac:dyDescent="0.3">
      <c r="A56" s="1" t="s">
        <v>71</v>
      </c>
      <c r="B56" s="1">
        <v>27</v>
      </c>
      <c r="C56" s="1" t="s">
        <v>0</v>
      </c>
      <c r="D56" s="1">
        <v>175</v>
      </c>
      <c r="E56" s="1">
        <v>71</v>
      </c>
      <c r="F56" s="1">
        <v>60</v>
      </c>
      <c r="G56" s="1">
        <v>66</v>
      </c>
      <c r="H56" s="1" t="s">
        <v>15</v>
      </c>
      <c r="I56" s="1">
        <v>46</v>
      </c>
      <c r="J56" s="1" t="s">
        <v>11</v>
      </c>
      <c r="K56" s="1"/>
      <c r="L56" s="1">
        <f t="shared" si="0"/>
        <v>230</v>
      </c>
      <c r="M56" s="1"/>
      <c r="N56" s="1"/>
      <c r="O56" s="12" t="str">
        <f>IF($J56=Sheet2!$A$2, ROW(), "")</f>
        <v/>
      </c>
      <c r="Q56" s="23" t="s">
        <v>2037</v>
      </c>
    </row>
    <row r="57" spans="1:17" ht="14" customHeight="1" x14ac:dyDescent="0.3">
      <c r="A57" s="1" t="s">
        <v>72</v>
      </c>
      <c r="B57" s="1">
        <v>26</v>
      </c>
      <c r="C57" s="1" t="s">
        <v>0</v>
      </c>
      <c r="D57" s="1">
        <v>180</v>
      </c>
      <c r="E57" s="1">
        <v>77</v>
      </c>
      <c r="F57" s="1">
        <v>59</v>
      </c>
      <c r="G57" s="1">
        <v>67</v>
      </c>
      <c r="H57" s="1" t="s">
        <v>23</v>
      </c>
      <c r="I57" s="1">
        <v>36</v>
      </c>
      <c r="J57" s="1" t="s">
        <v>11</v>
      </c>
      <c r="K57" s="1"/>
      <c r="L57" s="1">
        <f t="shared" si="0"/>
        <v>180</v>
      </c>
      <c r="M57" s="1"/>
      <c r="N57" s="1"/>
      <c r="O57" s="12" t="str">
        <f>IF($J57=Sheet2!$A$2, ROW(), "")</f>
        <v/>
      </c>
      <c r="Q57" s="23" t="s">
        <v>2038</v>
      </c>
    </row>
    <row r="58" spans="1:17" ht="14" customHeight="1" x14ac:dyDescent="0.3">
      <c r="A58" s="1" t="s">
        <v>73</v>
      </c>
      <c r="B58" s="1">
        <v>29</v>
      </c>
      <c r="C58" s="1" t="s">
        <v>0</v>
      </c>
      <c r="D58" s="1">
        <v>177</v>
      </c>
      <c r="E58" s="1">
        <v>73</v>
      </c>
      <c r="F58" s="1">
        <v>62</v>
      </c>
      <c r="G58" s="1">
        <v>64</v>
      </c>
      <c r="H58" s="1" t="s">
        <v>1</v>
      </c>
      <c r="I58" s="1">
        <v>56</v>
      </c>
      <c r="J58" s="1" t="s">
        <v>11</v>
      </c>
      <c r="K58" s="1"/>
      <c r="L58" s="1">
        <f t="shared" si="0"/>
        <v>280</v>
      </c>
      <c r="M58" s="1"/>
      <c r="N58" s="1"/>
      <c r="O58" s="12" t="str">
        <f>IF($J58=Sheet2!$A$2, ROW(), "")</f>
        <v/>
      </c>
      <c r="Q58" s="23" t="s">
        <v>2039</v>
      </c>
    </row>
    <row r="59" spans="1:17" ht="14" customHeight="1" x14ac:dyDescent="0.3">
      <c r="A59" s="1" t="s">
        <v>74</v>
      </c>
      <c r="B59" s="1">
        <v>28</v>
      </c>
      <c r="C59" s="1" t="s">
        <v>0</v>
      </c>
      <c r="D59" s="1">
        <v>174</v>
      </c>
      <c r="E59" s="1">
        <v>70</v>
      </c>
      <c r="F59" s="1">
        <v>61</v>
      </c>
      <c r="G59" s="1">
        <v>65</v>
      </c>
      <c r="H59" s="1" t="s">
        <v>19</v>
      </c>
      <c r="I59" s="1">
        <v>46</v>
      </c>
      <c r="J59" s="1" t="s">
        <v>11</v>
      </c>
      <c r="K59" s="1"/>
      <c r="L59" s="1">
        <f t="shared" si="0"/>
        <v>230</v>
      </c>
      <c r="M59" s="1"/>
      <c r="N59" s="1"/>
      <c r="O59" s="12" t="str">
        <f>IF($J59=Sheet2!$A$2, ROW(), "")</f>
        <v/>
      </c>
      <c r="Q59" s="23" t="s">
        <v>2040</v>
      </c>
    </row>
    <row r="60" spans="1:17" ht="14" customHeight="1" x14ac:dyDescent="0.3">
      <c r="A60" s="1" t="s">
        <v>75</v>
      </c>
      <c r="B60" s="1">
        <v>27</v>
      </c>
      <c r="C60" s="1" t="s">
        <v>0</v>
      </c>
      <c r="D60" s="1">
        <v>172</v>
      </c>
      <c r="E60" s="1">
        <v>68</v>
      </c>
      <c r="F60" s="1">
        <v>60</v>
      </c>
      <c r="G60" s="1">
        <v>66</v>
      </c>
      <c r="H60" s="1" t="s">
        <v>8</v>
      </c>
      <c r="I60" s="1">
        <v>36</v>
      </c>
      <c r="J60" s="1" t="s">
        <v>11</v>
      </c>
      <c r="K60" s="1"/>
      <c r="L60" s="1">
        <f t="shared" si="0"/>
        <v>180</v>
      </c>
      <c r="M60" s="1"/>
      <c r="N60" s="1"/>
      <c r="O60" s="12" t="str">
        <f>IF($J60=Sheet2!$A$2, ROW(), "")</f>
        <v/>
      </c>
      <c r="Q60" s="23" t="s">
        <v>2041</v>
      </c>
    </row>
    <row r="61" spans="1:17" ht="14" customHeight="1" x14ac:dyDescent="0.3">
      <c r="A61" s="1" t="s">
        <v>76</v>
      </c>
      <c r="B61" s="1">
        <v>25</v>
      </c>
      <c r="C61" s="1" t="s">
        <v>0</v>
      </c>
      <c r="D61" s="1">
        <v>170</v>
      </c>
      <c r="E61" s="1">
        <v>66</v>
      </c>
      <c r="F61" s="1">
        <v>58</v>
      </c>
      <c r="G61" s="1">
        <v>67</v>
      </c>
      <c r="H61" s="1" t="s">
        <v>51</v>
      </c>
      <c r="I61" s="1">
        <v>26</v>
      </c>
      <c r="J61" s="1" t="s">
        <v>11</v>
      </c>
      <c r="K61" s="1"/>
      <c r="L61" s="1">
        <f t="shared" si="0"/>
        <v>130</v>
      </c>
      <c r="M61" s="1"/>
      <c r="N61" s="1"/>
      <c r="O61" s="12" t="str">
        <f>IF($J61=Sheet2!$A$2, ROW(), "")</f>
        <v/>
      </c>
      <c r="Q61" s="23" t="s">
        <v>2042</v>
      </c>
    </row>
    <row r="62" spans="1:17" ht="14" customHeight="1" x14ac:dyDescent="0.3">
      <c r="A62" s="1" t="s">
        <v>77</v>
      </c>
      <c r="B62" s="1">
        <v>26</v>
      </c>
      <c r="C62" s="1" t="s">
        <v>0</v>
      </c>
      <c r="D62" s="1">
        <v>173</v>
      </c>
      <c r="E62" s="1">
        <v>69</v>
      </c>
      <c r="F62" s="1">
        <v>59</v>
      </c>
      <c r="G62" s="1">
        <v>67</v>
      </c>
      <c r="H62" s="1" t="s">
        <v>34</v>
      </c>
      <c r="I62" s="1">
        <v>36</v>
      </c>
      <c r="J62" s="1" t="s">
        <v>11</v>
      </c>
      <c r="K62" s="1"/>
      <c r="L62" s="1">
        <f t="shared" si="0"/>
        <v>180</v>
      </c>
      <c r="M62" s="1"/>
      <c r="N62" s="1"/>
      <c r="O62" s="12" t="str">
        <f>IF($J62=Sheet2!$A$2, ROW(), "")</f>
        <v/>
      </c>
      <c r="Q62" s="23" t="s">
        <v>2043</v>
      </c>
    </row>
    <row r="63" spans="1:17" ht="14" customHeight="1" x14ac:dyDescent="0.3">
      <c r="A63" s="1" t="s">
        <v>78</v>
      </c>
      <c r="B63" s="1">
        <v>29</v>
      </c>
      <c r="C63" s="1" t="s">
        <v>0</v>
      </c>
      <c r="D63" s="1">
        <v>176</v>
      </c>
      <c r="E63" s="1">
        <v>72</v>
      </c>
      <c r="F63" s="1">
        <v>62</v>
      </c>
      <c r="G63" s="1">
        <v>64</v>
      </c>
      <c r="H63" s="1" t="s">
        <v>5</v>
      </c>
      <c r="I63" s="1">
        <v>56</v>
      </c>
      <c r="J63" s="1" t="s">
        <v>11</v>
      </c>
      <c r="K63" s="1"/>
      <c r="L63" s="1">
        <f t="shared" si="0"/>
        <v>280</v>
      </c>
      <c r="M63" s="1"/>
      <c r="N63" s="1"/>
      <c r="O63" s="12" t="str">
        <f>IF($J63=Sheet2!$A$2, ROW(), "")</f>
        <v/>
      </c>
      <c r="Q63" s="23" t="s">
        <v>2044</v>
      </c>
    </row>
    <row r="64" spans="1:17" ht="14" customHeight="1" x14ac:dyDescent="0.3">
      <c r="A64" s="1" t="s">
        <v>79</v>
      </c>
      <c r="B64" s="1">
        <v>28</v>
      </c>
      <c r="C64" s="1" t="s">
        <v>0</v>
      </c>
      <c r="D64" s="1">
        <v>174</v>
      </c>
      <c r="E64" s="1">
        <v>70</v>
      </c>
      <c r="F64" s="1">
        <v>61</v>
      </c>
      <c r="G64" s="1">
        <v>65</v>
      </c>
      <c r="H64" s="1" t="s">
        <v>40</v>
      </c>
      <c r="I64" s="1">
        <v>46</v>
      </c>
      <c r="J64" s="1" t="s">
        <v>11</v>
      </c>
      <c r="K64" s="1"/>
      <c r="L64" s="1">
        <f t="shared" si="0"/>
        <v>230</v>
      </c>
      <c r="M64" s="1"/>
      <c r="N64" s="1"/>
      <c r="O64" s="12" t="str">
        <f>IF($J64=Sheet2!$A$2, ROW(), "")</f>
        <v/>
      </c>
      <c r="Q64" s="23" t="s">
        <v>2045</v>
      </c>
    </row>
    <row r="65" spans="1:17" ht="14" customHeight="1" x14ac:dyDescent="0.3">
      <c r="A65" s="1" t="s">
        <v>80</v>
      </c>
      <c r="B65" s="1">
        <v>28</v>
      </c>
      <c r="C65" s="1" t="s">
        <v>0</v>
      </c>
      <c r="D65" s="1">
        <v>178</v>
      </c>
      <c r="E65" s="1">
        <v>75</v>
      </c>
      <c r="F65" s="1">
        <v>62</v>
      </c>
      <c r="G65" s="1">
        <v>65</v>
      </c>
      <c r="H65" s="1" t="s">
        <v>23</v>
      </c>
      <c r="I65" s="1">
        <v>56</v>
      </c>
      <c r="J65" s="1" t="s">
        <v>11</v>
      </c>
      <c r="K65" s="1"/>
      <c r="L65" s="1">
        <f t="shared" si="0"/>
        <v>280</v>
      </c>
      <c r="M65" s="1"/>
      <c r="N65" s="1"/>
      <c r="O65" s="12" t="str">
        <f>IF($J65=Sheet2!$A$2, ROW(), "")</f>
        <v/>
      </c>
      <c r="Q65" s="23" t="s">
        <v>2046</v>
      </c>
    </row>
    <row r="66" spans="1:17" ht="14" customHeight="1" x14ac:dyDescent="0.3">
      <c r="A66" s="1" t="s">
        <v>81</v>
      </c>
      <c r="B66" s="1">
        <v>27</v>
      </c>
      <c r="C66" s="1" t="s">
        <v>0</v>
      </c>
      <c r="D66" s="1">
        <v>175</v>
      </c>
      <c r="E66" s="1">
        <v>71</v>
      </c>
      <c r="F66" s="1">
        <v>60</v>
      </c>
      <c r="G66" s="1">
        <v>66</v>
      </c>
      <c r="H66" s="1" t="s">
        <v>15</v>
      </c>
      <c r="I66" s="1">
        <v>46</v>
      </c>
      <c r="J66" s="1" t="s">
        <v>11</v>
      </c>
      <c r="K66" s="1"/>
      <c r="L66" s="1">
        <f t="shared" ref="L66:L129" si="1">I66*5</f>
        <v>230</v>
      </c>
      <c r="M66" s="1"/>
      <c r="N66" s="1"/>
      <c r="O66" s="12" t="str">
        <f>IF($J66=Sheet2!$A$2, ROW(), "")</f>
        <v/>
      </c>
      <c r="Q66" s="23" t="s">
        <v>2047</v>
      </c>
    </row>
    <row r="67" spans="1:17" ht="14" customHeight="1" x14ac:dyDescent="0.3">
      <c r="A67" s="1" t="s">
        <v>82</v>
      </c>
      <c r="B67" s="1">
        <v>23</v>
      </c>
      <c r="C67" s="1" t="s">
        <v>0</v>
      </c>
      <c r="D67" s="1">
        <v>182</v>
      </c>
      <c r="E67" s="1">
        <v>78</v>
      </c>
      <c r="F67" s="1">
        <v>64</v>
      </c>
      <c r="G67" s="1">
        <v>73</v>
      </c>
      <c r="H67" s="1" t="s">
        <v>1</v>
      </c>
      <c r="I67" s="1">
        <v>17</v>
      </c>
      <c r="J67" s="1" t="s">
        <v>83</v>
      </c>
      <c r="K67" s="1"/>
      <c r="L67" s="1">
        <f t="shared" si="1"/>
        <v>85</v>
      </c>
      <c r="M67" s="1"/>
      <c r="N67" s="1"/>
      <c r="O67" s="12" t="str">
        <f>IF($J67=Sheet2!$A$2, ROW(), "")</f>
        <v/>
      </c>
      <c r="Q67" s="23" t="s">
        <v>2048</v>
      </c>
    </row>
    <row r="68" spans="1:17" ht="14" customHeight="1" x14ac:dyDescent="0.3">
      <c r="A68" s="1" t="s">
        <v>84</v>
      </c>
      <c r="B68" s="1">
        <v>24</v>
      </c>
      <c r="C68" s="1" t="s">
        <v>0</v>
      </c>
      <c r="D68" s="1">
        <v>186</v>
      </c>
      <c r="E68" s="1">
        <v>83</v>
      </c>
      <c r="F68" s="1">
        <v>64</v>
      </c>
      <c r="G68" s="1">
        <v>74</v>
      </c>
      <c r="H68" s="1" t="s">
        <v>10</v>
      </c>
      <c r="I68" s="1">
        <v>47</v>
      </c>
      <c r="J68" s="1" t="s">
        <v>83</v>
      </c>
      <c r="K68" s="1"/>
      <c r="L68" s="1">
        <f t="shared" si="1"/>
        <v>235</v>
      </c>
      <c r="M68" s="1"/>
      <c r="N68" s="1"/>
      <c r="O68" s="12" t="str">
        <f>IF($J68=Sheet2!$A$2, ROW(), "")</f>
        <v/>
      </c>
      <c r="Q68" s="23" t="s">
        <v>2049</v>
      </c>
    </row>
    <row r="69" spans="1:17" ht="14" customHeight="1" x14ac:dyDescent="0.3">
      <c r="A69" s="1" t="s">
        <v>85</v>
      </c>
      <c r="B69" s="1">
        <v>23</v>
      </c>
      <c r="C69" s="1" t="s">
        <v>0</v>
      </c>
      <c r="D69" s="1">
        <v>180</v>
      </c>
      <c r="E69" s="1">
        <v>77</v>
      </c>
      <c r="F69" s="1">
        <v>63</v>
      </c>
      <c r="G69" s="1">
        <v>74</v>
      </c>
      <c r="H69" s="1" t="s">
        <v>15</v>
      </c>
      <c r="I69" s="1">
        <v>27</v>
      </c>
      <c r="J69" s="1" t="s">
        <v>83</v>
      </c>
      <c r="K69" s="1"/>
      <c r="L69" s="1">
        <f t="shared" si="1"/>
        <v>135</v>
      </c>
      <c r="M69" s="1"/>
      <c r="N69" s="1"/>
      <c r="O69" s="12" t="str">
        <f>IF($J69=Sheet2!$A$2, ROW(), "")</f>
        <v/>
      </c>
      <c r="Q69" s="23" t="s">
        <v>2050</v>
      </c>
    </row>
    <row r="70" spans="1:17" ht="14" customHeight="1" x14ac:dyDescent="0.3">
      <c r="A70" s="1" t="s">
        <v>86</v>
      </c>
      <c r="B70" s="1">
        <v>24</v>
      </c>
      <c r="C70" s="1" t="s">
        <v>0</v>
      </c>
      <c r="D70" s="1">
        <v>178</v>
      </c>
      <c r="E70" s="1">
        <v>75</v>
      </c>
      <c r="F70" s="1">
        <v>64</v>
      </c>
      <c r="G70" s="1">
        <v>73</v>
      </c>
      <c r="H70" s="1" t="s">
        <v>17</v>
      </c>
      <c r="I70" s="1">
        <v>37</v>
      </c>
      <c r="J70" s="1" t="s">
        <v>83</v>
      </c>
      <c r="K70" s="1"/>
      <c r="L70" s="1">
        <f t="shared" si="1"/>
        <v>185</v>
      </c>
      <c r="M70" s="1"/>
      <c r="N70" s="1"/>
      <c r="O70" s="12" t="str">
        <f>IF($J70=Sheet2!$A$2, ROW(), "")</f>
        <v/>
      </c>
      <c r="Q70" s="23" t="s">
        <v>2051</v>
      </c>
    </row>
    <row r="71" spans="1:17" ht="14" customHeight="1" x14ac:dyDescent="0.3">
      <c r="A71" s="1" t="s">
        <v>87</v>
      </c>
      <c r="B71" s="1">
        <v>27</v>
      </c>
      <c r="C71" s="1" t="s">
        <v>0</v>
      </c>
      <c r="D71" s="1">
        <v>183</v>
      </c>
      <c r="E71" s="1">
        <v>81</v>
      </c>
      <c r="F71" s="1">
        <v>67</v>
      </c>
      <c r="G71" s="1">
        <v>70</v>
      </c>
      <c r="H71" s="1" t="s">
        <v>34</v>
      </c>
      <c r="I71" s="1">
        <v>90</v>
      </c>
      <c r="J71" s="1" t="s">
        <v>11</v>
      </c>
      <c r="K71" s="1"/>
      <c r="L71" s="1">
        <f t="shared" si="1"/>
        <v>450</v>
      </c>
      <c r="M71" s="1"/>
      <c r="N71" s="1"/>
      <c r="O71" s="12" t="str">
        <f>IF($J71=Sheet2!$A$2, ROW(), "")</f>
        <v/>
      </c>
      <c r="Q71" s="23" t="s">
        <v>2052</v>
      </c>
    </row>
    <row r="72" spans="1:17" ht="14" customHeight="1" x14ac:dyDescent="0.3">
      <c r="A72" s="1" t="s">
        <v>88</v>
      </c>
      <c r="B72" s="1">
        <v>24</v>
      </c>
      <c r="C72" s="1" t="s">
        <v>0</v>
      </c>
      <c r="D72" s="1">
        <v>181</v>
      </c>
      <c r="E72" s="1">
        <v>79</v>
      </c>
      <c r="F72" s="1">
        <v>64</v>
      </c>
      <c r="G72" s="1">
        <v>74</v>
      </c>
      <c r="H72" s="1" t="s">
        <v>21</v>
      </c>
      <c r="I72" s="1">
        <v>47</v>
      </c>
      <c r="J72" s="1" t="s">
        <v>83</v>
      </c>
      <c r="K72" s="1"/>
      <c r="L72" s="1">
        <f t="shared" si="1"/>
        <v>235</v>
      </c>
      <c r="M72" s="1"/>
      <c r="N72" s="1"/>
      <c r="O72" s="12" t="str">
        <f>IF($J72=Sheet2!$A$2, ROW(), "")</f>
        <v/>
      </c>
      <c r="Q72" s="23" t="s">
        <v>2053</v>
      </c>
    </row>
    <row r="73" spans="1:17" ht="14" customHeight="1" x14ac:dyDescent="0.3">
      <c r="A73" s="1" t="s">
        <v>89</v>
      </c>
      <c r="B73" s="1">
        <v>23</v>
      </c>
      <c r="C73" s="1" t="s">
        <v>0</v>
      </c>
      <c r="D73" s="1">
        <v>186</v>
      </c>
      <c r="E73" s="1">
        <v>84</v>
      </c>
      <c r="F73" s="1">
        <v>63</v>
      </c>
      <c r="G73" s="1">
        <v>73</v>
      </c>
      <c r="H73" s="1" t="s">
        <v>23</v>
      </c>
      <c r="I73" s="1">
        <v>27</v>
      </c>
      <c r="J73" s="1" t="s">
        <v>83</v>
      </c>
      <c r="K73" s="1"/>
      <c r="L73" s="1">
        <f t="shared" si="1"/>
        <v>135</v>
      </c>
      <c r="M73" s="1"/>
      <c r="N73" s="1"/>
      <c r="O73" s="12" t="str">
        <f>IF($J73=Sheet2!$A$2, ROW(), "")</f>
        <v/>
      </c>
      <c r="Q73" s="23" t="s">
        <v>2054</v>
      </c>
    </row>
    <row r="74" spans="1:17" ht="14" customHeight="1" x14ac:dyDescent="0.3">
      <c r="A74" s="1" t="s">
        <v>90</v>
      </c>
      <c r="B74" s="1">
        <v>28</v>
      </c>
      <c r="C74" s="1" t="s">
        <v>0</v>
      </c>
      <c r="D74" s="1">
        <v>185</v>
      </c>
      <c r="E74" s="1">
        <v>83</v>
      </c>
      <c r="F74" s="1">
        <v>68</v>
      </c>
      <c r="G74" s="1">
        <v>69</v>
      </c>
      <c r="H74" s="1" t="s">
        <v>23</v>
      </c>
      <c r="I74" s="1">
        <v>80</v>
      </c>
      <c r="J74" s="1" t="s">
        <v>91</v>
      </c>
      <c r="K74" s="1"/>
      <c r="L74" s="1">
        <f t="shared" si="1"/>
        <v>400</v>
      </c>
      <c r="M74" s="1"/>
      <c r="N74" s="1"/>
      <c r="O74" s="12" t="str">
        <f>IF($J74=Sheet2!$A$2, ROW(), "")</f>
        <v/>
      </c>
      <c r="Q74" s="23" t="s">
        <v>2055</v>
      </c>
    </row>
    <row r="75" spans="1:17" ht="14" customHeight="1" x14ac:dyDescent="0.3">
      <c r="A75" s="1" t="s">
        <v>92</v>
      </c>
      <c r="B75" s="1">
        <v>27</v>
      </c>
      <c r="C75" s="1" t="s">
        <v>0</v>
      </c>
      <c r="D75" s="1">
        <v>181</v>
      </c>
      <c r="E75" s="1">
        <v>79</v>
      </c>
      <c r="F75" s="1">
        <v>67</v>
      </c>
      <c r="G75" s="1">
        <v>70</v>
      </c>
      <c r="H75" s="1" t="s">
        <v>19</v>
      </c>
      <c r="I75" s="1">
        <v>24</v>
      </c>
      <c r="J75" s="1" t="s">
        <v>91</v>
      </c>
      <c r="K75" s="1"/>
      <c r="L75" s="1">
        <f t="shared" si="1"/>
        <v>120</v>
      </c>
      <c r="M75" s="1"/>
      <c r="N75" s="1"/>
      <c r="O75" s="12" t="str">
        <f>IF($J75=Sheet2!$A$2, ROW(), "")</f>
        <v/>
      </c>
      <c r="Q75" s="23" t="s">
        <v>2056</v>
      </c>
    </row>
    <row r="76" spans="1:17" ht="14" customHeight="1" x14ac:dyDescent="0.3">
      <c r="A76" s="1" t="s">
        <v>93</v>
      </c>
      <c r="B76" s="1">
        <v>27</v>
      </c>
      <c r="C76" s="1" t="s">
        <v>0</v>
      </c>
      <c r="D76" s="1">
        <v>187</v>
      </c>
      <c r="E76" s="1">
        <v>92</v>
      </c>
      <c r="F76" s="1">
        <v>65</v>
      </c>
      <c r="G76" s="1">
        <v>72</v>
      </c>
      <c r="H76" s="1" t="s">
        <v>1</v>
      </c>
      <c r="I76" s="1">
        <v>25</v>
      </c>
      <c r="J76" s="1" t="s">
        <v>83</v>
      </c>
      <c r="K76" s="1"/>
      <c r="L76" s="1">
        <f t="shared" si="1"/>
        <v>125</v>
      </c>
      <c r="M76" s="1"/>
      <c r="N76" s="1"/>
      <c r="O76" s="12" t="str">
        <f>IF($J76=Sheet2!$A$2, ROW(), "")</f>
        <v/>
      </c>
      <c r="Q76" s="23" t="s">
        <v>2057</v>
      </c>
    </row>
    <row r="77" spans="1:17" ht="14" customHeight="1" x14ac:dyDescent="0.3">
      <c r="A77" s="1" t="s">
        <v>94</v>
      </c>
      <c r="B77" s="1">
        <v>32</v>
      </c>
      <c r="C77" s="1" t="s">
        <v>0</v>
      </c>
      <c r="D77" s="1">
        <v>197</v>
      </c>
      <c r="E77" s="1">
        <v>104</v>
      </c>
      <c r="F77" s="1">
        <v>68</v>
      </c>
      <c r="G77" s="1">
        <v>69</v>
      </c>
      <c r="H77" s="1" t="s">
        <v>5</v>
      </c>
      <c r="I77" s="1">
        <v>24</v>
      </c>
      <c r="J77" s="1" t="s">
        <v>83</v>
      </c>
      <c r="K77" s="1">
        <v>2.5</v>
      </c>
      <c r="L77" s="1">
        <f t="shared" si="1"/>
        <v>120</v>
      </c>
      <c r="M77" s="1" t="s">
        <v>38</v>
      </c>
      <c r="N77" s="1"/>
      <c r="O77" s="12" t="str">
        <f>IF($J77=Sheet2!$A$2, ROW(), "")</f>
        <v/>
      </c>
      <c r="Q77" s="23" t="s">
        <v>2058</v>
      </c>
    </row>
    <row r="78" spans="1:17" ht="14" customHeight="1" x14ac:dyDescent="0.3">
      <c r="A78" s="1" t="s">
        <v>95</v>
      </c>
      <c r="B78" s="1">
        <v>28</v>
      </c>
      <c r="C78" s="1" t="s">
        <v>0</v>
      </c>
      <c r="D78" s="1">
        <v>193</v>
      </c>
      <c r="E78" s="1">
        <v>98</v>
      </c>
      <c r="F78" s="1">
        <v>65</v>
      </c>
      <c r="G78" s="1">
        <v>71</v>
      </c>
      <c r="H78" s="1" t="s">
        <v>5</v>
      </c>
      <c r="I78" s="1">
        <v>35</v>
      </c>
      <c r="J78" s="1" t="s">
        <v>83</v>
      </c>
      <c r="K78" s="1"/>
      <c r="L78" s="1">
        <f t="shared" si="1"/>
        <v>175</v>
      </c>
      <c r="M78" s="1"/>
      <c r="N78" s="1"/>
      <c r="O78" s="12" t="str">
        <f>IF($J78=Sheet2!$A$2, ROW(), "")</f>
        <v/>
      </c>
      <c r="Q78" s="23" t="s">
        <v>2059</v>
      </c>
    </row>
    <row r="79" spans="1:17" ht="14" customHeight="1" x14ac:dyDescent="0.3">
      <c r="A79" s="1" t="s">
        <v>96</v>
      </c>
      <c r="B79" s="1">
        <v>31</v>
      </c>
      <c r="C79" s="1" t="s">
        <v>0</v>
      </c>
      <c r="D79" s="1">
        <v>191</v>
      </c>
      <c r="E79" s="1">
        <v>100</v>
      </c>
      <c r="F79" s="1">
        <v>67</v>
      </c>
      <c r="G79" s="1">
        <v>69</v>
      </c>
      <c r="H79" s="1" t="s">
        <v>8</v>
      </c>
      <c r="I79" s="1">
        <v>24</v>
      </c>
      <c r="J79" s="1" t="s">
        <v>83</v>
      </c>
      <c r="K79" s="1">
        <v>2.5</v>
      </c>
      <c r="L79" s="1">
        <f t="shared" si="1"/>
        <v>120</v>
      </c>
      <c r="M79" s="1" t="s">
        <v>38</v>
      </c>
      <c r="N79" s="1"/>
      <c r="O79" s="12" t="str">
        <f>IF($J79=Sheet2!$A$2, ROW(), "")</f>
        <v/>
      </c>
      <c r="Q79" s="23" t="s">
        <v>2060</v>
      </c>
    </row>
    <row r="80" spans="1:17" ht="14" customHeight="1" x14ac:dyDescent="0.3">
      <c r="A80" s="1" t="s">
        <v>97</v>
      </c>
      <c r="B80" s="1">
        <v>30</v>
      </c>
      <c r="C80" s="1" t="s">
        <v>0</v>
      </c>
      <c r="D80" s="1">
        <v>185</v>
      </c>
      <c r="E80" s="1">
        <v>90</v>
      </c>
      <c r="F80" s="1">
        <v>66</v>
      </c>
      <c r="G80" s="1">
        <v>70</v>
      </c>
      <c r="H80" s="1" t="s">
        <v>34</v>
      </c>
      <c r="I80" s="1">
        <v>24</v>
      </c>
      <c r="J80" s="1" t="s">
        <v>83</v>
      </c>
      <c r="K80" s="1">
        <v>2.5</v>
      </c>
      <c r="L80" s="1">
        <f t="shared" si="1"/>
        <v>120</v>
      </c>
      <c r="M80" s="1" t="s">
        <v>98</v>
      </c>
      <c r="N80" s="1"/>
      <c r="O80" s="12" t="str">
        <f>IF($J80=Sheet2!$A$2, ROW(), "")</f>
        <v/>
      </c>
      <c r="Q80" s="23" t="s">
        <v>2061</v>
      </c>
    </row>
    <row r="81" spans="1:17" ht="14" customHeight="1" x14ac:dyDescent="0.3">
      <c r="A81" s="1" t="s">
        <v>99</v>
      </c>
      <c r="B81" s="1">
        <v>33</v>
      </c>
      <c r="C81" s="1" t="s">
        <v>0</v>
      </c>
      <c r="D81" s="1">
        <v>183</v>
      </c>
      <c r="E81" s="1">
        <v>85</v>
      </c>
      <c r="F81" s="1">
        <v>65</v>
      </c>
      <c r="G81" s="1">
        <v>70</v>
      </c>
      <c r="H81" s="1" t="s">
        <v>10</v>
      </c>
      <c r="I81" s="1">
        <v>27</v>
      </c>
      <c r="J81" s="1" t="s">
        <v>100</v>
      </c>
      <c r="K81" s="1"/>
      <c r="L81" s="1">
        <f t="shared" si="1"/>
        <v>135</v>
      </c>
      <c r="M81" s="1"/>
      <c r="N81" s="1"/>
      <c r="O81" s="12" t="str">
        <f>IF($J81=Sheet2!$A$2, ROW(), "")</f>
        <v/>
      </c>
      <c r="Q81" s="23" t="s">
        <v>2062</v>
      </c>
    </row>
    <row r="82" spans="1:17" ht="14" customHeight="1" x14ac:dyDescent="0.3">
      <c r="A82" s="1" t="s">
        <v>101</v>
      </c>
      <c r="B82" s="1">
        <v>34</v>
      </c>
      <c r="C82" s="1" t="s">
        <v>0</v>
      </c>
      <c r="D82" s="1">
        <v>178</v>
      </c>
      <c r="E82" s="1">
        <v>80</v>
      </c>
      <c r="F82" s="1">
        <v>66</v>
      </c>
      <c r="G82" s="1">
        <v>69</v>
      </c>
      <c r="H82" s="1" t="s">
        <v>17</v>
      </c>
      <c r="I82" s="1">
        <v>47</v>
      </c>
      <c r="J82" s="1" t="s">
        <v>100</v>
      </c>
      <c r="K82" s="1"/>
      <c r="L82" s="1">
        <f t="shared" si="1"/>
        <v>235</v>
      </c>
      <c r="M82" s="1"/>
      <c r="N82" s="1"/>
      <c r="O82" s="12" t="str">
        <f>IF($J82=Sheet2!$A$2, ROW(), "")</f>
        <v/>
      </c>
      <c r="Q82" s="23" t="s">
        <v>2063</v>
      </c>
    </row>
    <row r="83" spans="1:17" ht="14" customHeight="1" x14ac:dyDescent="0.3">
      <c r="A83" s="1" t="s">
        <v>102</v>
      </c>
      <c r="B83" s="1">
        <v>33</v>
      </c>
      <c r="C83" s="1" t="s">
        <v>0</v>
      </c>
      <c r="D83" s="1">
        <v>177</v>
      </c>
      <c r="E83" s="1">
        <v>79</v>
      </c>
      <c r="F83" s="1">
        <v>66</v>
      </c>
      <c r="G83" s="1">
        <v>70</v>
      </c>
      <c r="H83" s="1" t="s">
        <v>51</v>
      </c>
      <c r="I83" s="1">
        <v>27</v>
      </c>
      <c r="J83" s="1" t="s">
        <v>100</v>
      </c>
      <c r="K83" s="1"/>
      <c r="L83" s="1">
        <f t="shared" si="1"/>
        <v>135</v>
      </c>
      <c r="M83" s="1"/>
      <c r="N83" s="1"/>
      <c r="O83" s="12" t="str">
        <f>IF($J83=Sheet2!$A$2, ROW(), "")</f>
        <v/>
      </c>
      <c r="Q83" s="23" t="s">
        <v>2064</v>
      </c>
    </row>
    <row r="84" spans="1:17" ht="14" customHeight="1" x14ac:dyDescent="0.3">
      <c r="A84" s="1" t="s">
        <v>103</v>
      </c>
      <c r="B84" s="1">
        <v>34</v>
      </c>
      <c r="C84" s="1" t="s">
        <v>0</v>
      </c>
      <c r="D84" s="1">
        <v>181</v>
      </c>
      <c r="E84" s="1">
        <v>84</v>
      </c>
      <c r="F84" s="1">
        <v>66</v>
      </c>
      <c r="G84" s="1">
        <v>69</v>
      </c>
      <c r="H84" s="1" t="s">
        <v>34</v>
      </c>
      <c r="I84" s="1">
        <v>47</v>
      </c>
      <c r="J84" s="1" t="s">
        <v>100</v>
      </c>
      <c r="K84" s="1"/>
      <c r="L84" s="1">
        <f t="shared" si="1"/>
        <v>235</v>
      </c>
      <c r="M84" s="1"/>
      <c r="N84" s="1"/>
      <c r="O84" s="12" t="str">
        <f>IF($J84=Sheet2!$A$2, ROW(), "")</f>
        <v/>
      </c>
      <c r="Q84" s="23" t="s">
        <v>2065</v>
      </c>
    </row>
    <row r="85" spans="1:17" ht="14" customHeight="1" x14ac:dyDescent="0.3">
      <c r="A85" s="1" t="s">
        <v>104</v>
      </c>
      <c r="B85" s="1">
        <v>37</v>
      </c>
      <c r="C85" s="1" t="s">
        <v>0</v>
      </c>
      <c r="D85" s="1">
        <v>185</v>
      </c>
      <c r="E85" s="1">
        <v>87</v>
      </c>
      <c r="F85" s="1">
        <v>68</v>
      </c>
      <c r="G85" s="1">
        <v>68</v>
      </c>
      <c r="H85" s="1" t="s">
        <v>23</v>
      </c>
      <c r="I85" s="1">
        <v>67</v>
      </c>
      <c r="J85" s="1" t="s">
        <v>100</v>
      </c>
      <c r="K85" s="1"/>
      <c r="L85" s="1">
        <f t="shared" si="1"/>
        <v>335</v>
      </c>
      <c r="M85" s="1"/>
      <c r="N85" s="1"/>
      <c r="O85" s="12" t="str">
        <f>IF($J85=Sheet2!$A$2, ROW(), "")</f>
        <v/>
      </c>
      <c r="Q85" s="23" t="s">
        <v>2066</v>
      </c>
    </row>
    <row r="86" spans="1:17" ht="14" customHeight="1" x14ac:dyDescent="0.3">
      <c r="A86" s="1" t="s">
        <v>105</v>
      </c>
      <c r="B86" s="1">
        <v>32</v>
      </c>
      <c r="C86" s="1" t="s">
        <v>0</v>
      </c>
      <c r="D86" s="1">
        <v>182</v>
      </c>
      <c r="E86" s="1">
        <v>84</v>
      </c>
      <c r="F86" s="1">
        <v>65</v>
      </c>
      <c r="G86" s="1">
        <v>70</v>
      </c>
      <c r="H86" s="1" t="s">
        <v>21</v>
      </c>
      <c r="I86" s="1">
        <v>17</v>
      </c>
      <c r="J86" s="1" t="s">
        <v>100</v>
      </c>
      <c r="K86" s="1"/>
      <c r="L86" s="1">
        <f t="shared" si="1"/>
        <v>85</v>
      </c>
      <c r="M86" s="1"/>
      <c r="N86" s="1"/>
      <c r="O86" s="12" t="str">
        <f>IF($J86=Sheet2!$A$2, ROW(), "")</f>
        <v/>
      </c>
      <c r="Q86" s="23" t="s">
        <v>2067</v>
      </c>
    </row>
    <row r="87" spans="1:17" ht="14" customHeight="1" x14ac:dyDescent="0.3">
      <c r="A87" s="1" t="s">
        <v>106</v>
      </c>
      <c r="B87" s="1">
        <v>37</v>
      </c>
      <c r="C87" s="1" t="s">
        <v>0</v>
      </c>
      <c r="D87" s="1">
        <v>186</v>
      </c>
      <c r="E87" s="1">
        <v>87</v>
      </c>
      <c r="F87" s="1">
        <v>67</v>
      </c>
      <c r="G87" s="1">
        <v>68</v>
      </c>
      <c r="H87" s="1" t="s">
        <v>15</v>
      </c>
      <c r="I87" s="1">
        <v>57</v>
      </c>
      <c r="J87" s="1" t="s">
        <v>100</v>
      </c>
      <c r="K87" s="1">
        <v>1</v>
      </c>
      <c r="L87" s="1">
        <f t="shared" si="1"/>
        <v>285</v>
      </c>
      <c r="M87" s="1"/>
      <c r="N87" s="1"/>
      <c r="O87" s="12" t="str">
        <f>IF($J87=Sheet2!$A$2, ROW(), "")</f>
        <v/>
      </c>
      <c r="Q87" s="23" t="s">
        <v>2068</v>
      </c>
    </row>
    <row r="88" spans="1:17" ht="14" customHeight="1" x14ac:dyDescent="0.3">
      <c r="A88" s="1" t="s">
        <v>107</v>
      </c>
      <c r="B88" s="1">
        <v>39</v>
      </c>
      <c r="C88" s="1" t="s">
        <v>0</v>
      </c>
      <c r="D88" s="1">
        <v>184</v>
      </c>
      <c r="E88" s="1">
        <v>86</v>
      </c>
      <c r="F88" s="1">
        <v>68</v>
      </c>
      <c r="G88" s="1">
        <v>68</v>
      </c>
      <c r="H88" s="1" t="s">
        <v>8</v>
      </c>
      <c r="I88" s="1">
        <v>30</v>
      </c>
      <c r="J88" s="1" t="s">
        <v>108</v>
      </c>
      <c r="K88" s="1">
        <v>3.5</v>
      </c>
      <c r="L88" s="1">
        <f t="shared" si="1"/>
        <v>150</v>
      </c>
      <c r="M88" s="1" t="s">
        <v>38</v>
      </c>
      <c r="N88" s="1" t="s">
        <v>109</v>
      </c>
      <c r="O88" s="12" t="str">
        <f>IF($J88=Sheet2!$A$2, ROW(), "")</f>
        <v/>
      </c>
      <c r="Q88" s="23" t="s">
        <v>2069</v>
      </c>
    </row>
    <row r="89" spans="1:17" ht="14" customHeight="1" x14ac:dyDescent="0.3">
      <c r="A89" s="1" t="s">
        <v>110</v>
      </c>
      <c r="B89" s="1">
        <v>31</v>
      </c>
      <c r="C89" s="1" t="s">
        <v>0</v>
      </c>
      <c r="D89" s="1">
        <v>182</v>
      </c>
      <c r="E89" s="1">
        <v>84</v>
      </c>
      <c r="F89" s="1">
        <v>66</v>
      </c>
      <c r="G89" s="1">
        <v>68</v>
      </c>
      <c r="H89" s="1" t="s">
        <v>1</v>
      </c>
      <c r="I89" s="1">
        <v>72</v>
      </c>
      <c r="J89" s="1" t="s">
        <v>1735</v>
      </c>
      <c r="K89" s="1"/>
      <c r="L89" s="1">
        <f t="shared" si="1"/>
        <v>360</v>
      </c>
      <c r="M89" s="1"/>
      <c r="N89" s="1"/>
      <c r="O89" s="12" t="str">
        <f>IF($J89=Sheet2!$A$2, ROW(), "")</f>
        <v/>
      </c>
      <c r="Q89" s="23" t="s">
        <v>2070</v>
      </c>
    </row>
    <row r="90" spans="1:17" ht="14" customHeight="1" x14ac:dyDescent="0.3">
      <c r="A90" s="1" t="s">
        <v>112</v>
      </c>
      <c r="B90" s="1">
        <v>28</v>
      </c>
      <c r="C90" s="1" t="s">
        <v>0</v>
      </c>
      <c r="D90" s="1">
        <v>180</v>
      </c>
      <c r="E90" s="1">
        <v>82</v>
      </c>
      <c r="F90" s="1">
        <v>65</v>
      </c>
      <c r="G90" s="1">
        <v>69</v>
      </c>
      <c r="H90" s="1" t="s">
        <v>1</v>
      </c>
      <c r="I90" s="1">
        <v>52</v>
      </c>
      <c r="J90" s="1" t="s">
        <v>1735</v>
      </c>
      <c r="K90" s="1"/>
      <c r="L90" s="1">
        <f t="shared" si="1"/>
        <v>260</v>
      </c>
      <c r="M90" s="1"/>
      <c r="N90" s="1"/>
      <c r="O90" s="12" t="str">
        <f>IF($J90=Sheet2!$A$2, ROW(), "")</f>
        <v/>
      </c>
      <c r="Q90" s="23" t="s">
        <v>2071</v>
      </c>
    </row>
    <row r="91" spans="1:17" ht="14" customHeight="1" x14ac:dyDescent="0.3">
      <c r="A91" s="1" t="s">
        <v>113</v>
      </c>
      <c r="B91" s="1">
        <v>30</v>
      </c>
      <c r="C91" s="1" t="s">
        <v>0</v>
      </c>
      <c r="D91" s="1">
        <v>188</v>
      </c>
      <c r="E91" s="1">
        <v>90</v>
      </c>
      <c r="F91" s="1">
        <v>67</v>
      </c>
      <c r="G91" s="1">
        <v>68</v>
      </c>
      <c r="H91" s="1" t="s">
        <v>5</v>
      </c>
      <c r="I91" s="1">
        <v>82</v>
      </c>
      <c r="J91" s="1" t="s">
        <v>1735</v>
      </c>
      <c r="K91" s="1"/>
      <c r="L91" s="1">
        <f t="shared" si="1"/>
        <v>410</v>
      </c>
      <c r="M91" s="1"/>
      <c r="N91" s="1"/>
      <c r="O91" s="12" t="str">
        <f>IF($J91=Sheet2!$A$2, ROW(), "")</f>
        <v/>
      </c>
      <c r="Q91" s="23" t="s">
        <v>2072</v>
      </c>
    </row>
    <row r="92" spans="1:17" ht="14" customHeight="1" x14ac:dyDescent="0.3">
      <c r="A92" s="1" t="s">
        <v>114</v>
      </c>
      <c r="B92" s="1">
        <v>32</v>
      </c>
      <c r="C92" s="1" t="s">
        <v>0</v>
      </c>
      <c r="D92" s="1">
        <v>186</v>
      </c>
      <c r="E92" s="1">
        <v>88</v>
      </c>
      <c r="F92" s="1">
        <v>66</v>
      </c>
      <c r="G92" s="1">
        <v>67</v>
      </c>
      <c r="H92" s="1" t="s">
        <v>5</v>
      </c>
      <c r="I92" s="1">
        <v>72</v>
      </c>
      <c r="J92" s="1" t="s">
        <v>1735</v>
      </c>
      <c r="K92" s="1"/>
      <c r="L92" s="1">
        <f t="shared" si="1"/>
        <v>360</v>
      </c>
      <c r="M92" s="1"/>
      <c r="N92" s="1"/>
      <c r="O92" s="12" t="str">
        <f>IF($J92=Sheet2!$A$2, ROW(), "")</f>
        <v/>
      </c>
      <c r="Q92" s="23" t="s">
        <v>2073</v>
      </c>
    </row>
    <row r="93" spans="1:17" ht="14" customHeight="1" x14ac:dyDescent="0.3">
      <c r="A93" s="1" t="s">
        <v>115</v>
      </c>
      <c r="B93" s="1">
        <v>29</v>
      </c>
      <c r="C93" s="1" t="s">
        <v>0</v>
      </c>
      <c r="D93" s="1">
        <v>183</v>
      </c>
      <c r="E93" s="1">
        <v>85</v>
      </c>
      <c r="F93" s="1">
        <v>65</v>
      </c>
      <c r="G93" s="1">
        <v>69</v>
      </c>
      <c r="H93" s="1" t="s">
        <v>8</v>
      </c>
      <c r="I93" s="1">
        <v>62</v>
      </c>
      <c r="J93" s="1" t="s">
        <v>1735</v>
      </c>
      <c r="K93" s="1"/>
      <c r="L93" s="1">
        <f t="shared" si="1"/>
        <v>310</v>
      </c>
      <c r="M93" s="1"/>
      <c r="N93" s="1"/>
      <c r="O93" s="12" t="str">
        <f>IF($J93=Sheet2!$A$2, ROW(), "")</f>
        <v/>
      </c>
      <c r="Q93" s="23" t="s">
        <v>2074</v>
      </c>
    </row>
    <row r="94" spans="1:17" ht="14" customHeight="1" x14ac:dyDescent="0.3">
      <c r="A94" s="1" t="s">
        <v>116</v>
      </c>
      <c r="B94" s="1">
        <v>27</v>
      </c>
      <c r="C94" s="1" t="s">
        <v>0</v>
      </c>
      <c r="D94" s="1">
        <v>181</v>
      </c>
      <c r="E94" s="1">
        <v>83</v>
      </c>
      <c r="F94" s="1">
        <v>64</v>
      </c>
      <c r="G94" s="1">
        <v>70</v>
      </c>
      <c r="H94" s="1" t="s">
        <v>10</v>
      </c>
      <c r="I94" s="1">
        <v>42</v>
      </c>
      <c r="J94" s="1" t="s">
        <v>1735</v>
      </c>
      <c r="K94" s="1"/>
      <c r="L94" s="1">
        <f t="shared" si="1"/>
        <v>210</v>
      </c>
      <c r="M94" s="1"/>
      <c r="N94" s="1"/>
      <c r="O94" s="12" t="str">
        <f>IF($J94=Sheet2!$A$2, ROW(), "")</f>
        <v/>
      </c>
      <c r="Q94" s="23" t="s">
        <v>2075</v>
      </c>
    </row>
    <row r="95" spans="1:17" ht="14" customHeight="1" x14ac:dyDescent="0.3">
      <c r="A95" s="1" t="s">
        <v>117</v>
      </c>
      <c r="B95" s="1">
        <v>33</v>
      </c>
      <c r="C95" s="1" t="s">
        <v>0</v>
      </c>
      <c r="D95" s="1">
        <v>185</v>
      </c>
      <c r="E95" s="1">
        <v>87</v>
      </c>
      <c r="F95" s="1">
        <v>66</v>
      </c>
      <c r="G95" s="1">
        <v>67</v>
      </c>
      <c r="H95" s="1" t="s">
        <v>5</v>
      </c>
      <c r="I95" s="1">
        <v>82</v>
      </c>
      <c r="J95" s="1" t="s">
        <v>1735</v>
      </c>
      <c r="K95" s="1"/>
      <c r="L95" s="1">
        <f t="shared" si="1"/>
        <v>410</v>
      </c>
      <c r="M95" s="1"/>
      <c r="N95" s="1"/>
      <c r="O95" s="12" t="str">
        <f>IF($J95=Sheet2!$A$2, ROW(), "")</f>
        <v/>
      </c>
      <c r="Q95" s="23" t="s">
        <v>2076</v>
      </c>
    </row>
    <row r="96" spans="1:17" ht="14" customHeight="1" x14ac:dyDescent="0.3">
      <c r="A96" s="1" t="s">
        <v>118</v>
      </c>
      <c r="B96" s="1">
        <v>28</v>
      </c>
      <c r="C96" s="1" t="s">
        <v>0</v>
      </c>
      <c r="D96" s="1">
        <v>182</v>
      </c>
      <c r="E96" s="1">
        <v>84</v>
      </c>
      <c r="F96" s="1">
        <v>65</v>
      </c>
      <c r="G96" s="1">
        <v>69</v>
      </c>
      <c r="H96" s="1" t="s">
        <v>8</v>
      </c>
      <c r="I96" s="1">
        <v>52</v>
      </c>
      <c r="J96" s="1" t="s">
        <v>1735</v>
      </c>
      <c r="K96" s="1"/>
      <c r="L96" s="1">
        <f t="shared" si="1"/>
        <v>260</v>
      </c>
      <c r="M96" s="1"/>
      <c r="N96" s="1"/>
      <c r="O96" s="12" t="str">
        <f>IF($J96=Sheet2!$A$2, ROW(), "")</f>
        <v/>
      </c>
      <c r="Q96" s="23" t="s">
        <v>2077</v>
      </c>
    </row>
    <row r="97" spans="1:17" ht="14" customHeight="1" x14ac:dyDescent="0.3">
      <c r="A97" s="1" t="s">
        <v>119</v>
      </c>
      <c r="B97" s="1">
        <v>30</v>
      </c>
      <c r="C97" s="1" t="s">
        <v>0</v>
      </c>
      <c r="D97" s="1">
        <v>179</v>
      </c>
      <c r="E97" s="1">
        <v>80</v>
      </c>
      <c r="F97" s="1">
        <v>66</v>
      </c>
      <c r="G97" s="1">
        <v>68</v>
      </c>
      <c r="H97" s="1" t="s">
        <v>15</v>
      </c>
      <c r="I97" s="1">
        <v>72</v>
      </c>
      <c r="J97" s="1" t="s">
        <v>1735</v>
      </c>
      <c r="K97" s="1"/>
      <c r="L97" s="1">
        <f t="shared" si="1"/>
        <v>360</v>
      </c>
      <c r="M97" s="1"/>
      <c r="N97" s="1"/>
      <c r="O97" s="12" t="str">
        <f>IF($J97=Sheet2!$A$2, ROW(), "")</f>
        <v/>
      </c>
      <c r="Q97" s="23" t="s">
        <v>2078</v>
      </c>
    </row>
    <row r="98" spans="1:17" ht="14" customHeight="1" x14ac:dyDescent="0.3">
      <c r="A98" s="1" t="s">
        <v>120</v>
      </c>
      <c r="B98" s="1">
        <v>31</v>
      </c>
      <c r="C98" s="1" t="s">
        <v>121</v>
      </c>
      <c r="D98" s="1">
        <v>177</v>
      </c>
      <c r="E98" s="1">
        <v>78</v>
      </c>
      <c r="F98" s="1">
        <v>66</v>
      </c>
      <c r="G98" s="1">
        <v>68</v>
      </c>
      <c r="H98" s="1" t="s">
        <v>17</v>
      </c>
      <c r="I98" s="1">
        <v>72</v>
      </c>
      <c r="J98" s="1" t="s">
        <v>1735</v>
      </c>
      <c r="K98" s="1"/>
      <c r="L98" s="1">
        <f t="shared" si="1"/>
        <v>360</v>
      </c>
      <c r="M98" s="1"/>
      <c r="N98" s="1"/>
      <c r="O98" s="12" t="str">
        <f>IF($J98=Sheet2!$A$2, ROW(), "")</f>
        <v/>
      </c>
      <c r="Q98" s="23" t="s">
        <v>2079</v>
      </c>
    </row>
    <row r="99" spans="1:17" ht="14" customHeight="1" x14ac:dyDescent="0.3">
      <c r="A99" s="1" t="s">
        <v>122</v>
      </c>
      <c r="B99" s="1">
        <v>28</v>
      </c>
      <c r="C99" s="1" t="s">
        <v>0</v>
      </c>
      <c r="D99" s="1">
        <v>175</v>
      </c>
      <c r="E99" s="1">
        <v>75</v>
      </c>
      <c r="F99" s="1">
        <v>64</v>
      </c>
      <c r="G99" s="1">
        <v>70</v>
      </c>
      <c r="H99" s="1" t="s">
        <v>51</v>
      </c>
      <c r="I99" s="1">
        <v>52</v>
      </c>
      <c r="J99" s="1" t="s">
        <v>100</v>
      </c>
      <c r="K99" s="1"/>
      <c r="L99" s="1">
        <f t="shared" si="1"/>
        <v>260</v>
      </c>
      <c r="M99" s="1"/>
      <c r="N99" s="1"/>
      <c r="O99" s="12" t="str">
        <f>IF($J99=Sheet2!$A$2, ROW(), "")</f>
        <v/>
      </c>
      <c r="Q99" s="23" t="s">
        <v>2080</v>
      </c>
    </row>
    <row r="100" spans="1:17" ht="14" customHeight="1" x14ac:dyDescent="0.3">
      <c r="A100" s="1" t="s">
        <v>123</v>
      </c>
      <c r="B100" s="1">
        <v>25</v>
      </c>
      <c r="C100" s="1" t="s">
        <v>121</v>
      </c>
      <c r="D100" s="1">
        <v>178</v>
      </c>
      <c r="E100" s="1">
        <v>79</v>
      </c>
      <c r="F100" s="1">
        <v>68</v>
      </c>
      <c r="G100" s="1">
        <v>90</v>
      </c>
      <c r="H100" s="1" t="s">
        <v>124</v>
      </c>
      <c r="I100" s="1">
        <v>72</v>
      </c>
      <c r="J100" s="1" t="s">
        <v>1735</v>
      </c>
      <c r="K100" s="1"/>
      <c r="L100" s="1">
        <f t="shared" si="1"/>
        <v>360</v>
      </c>
      <c r="M100" s="1"/>
      <c r="N100" s="1"/>
      <c r="O100" s="12" t="str">
        <f>IF($J100=Sheet2!$A$2, ROW(), "")</f>
        <v/>
      </c>
      <c r="Q100" s="23" t="s">
        <v>2081</v>
      </c>
    </row>
    <row r="101" spans="1:17" ht="14" customHeight="1" x14ac:dyDescent="0.3">
      <c r="A101" s="1" t="s">
        <v>125</v>
      </c>
      <c r="B101" s="1">
        <v>27</v>
      </c>
      <c r="C101" s="1" t="s">
        <v>0</v>
      </c>
      <c r="D101" s="1">
        <v>177</v>
      </c>
      <c r="E101" s="1">
        <v>77</v>
      </c>
      <c r="F101" s="1">
        <v>64</v>
      </c>
      <c r="G101" s="1">
        <v>70</v>
      </c>
      <c r="H101" s="1" t="s">
        <v>19</v>
      </c>
      <c r="I101" s="1">
        <v>42</v>
      </c>
      <c r="J101" s="1" t="s">
        <v>1735</v>
      </c>
      <c r="K101" s="1"/>
      <c r="L101" s="1">
        <f t="shared" si="1"/>
        <v>210</v>
      </c>
      <c r="M101" s="1"/>
      <c r="N101" s="1"/>
      <c r="O101" s="12" t="str">
        <f>IF($J101=Sheet2!$A$2, ROW(), "")</f>
        <v/>
      </c>
      <c r="Q101" s="23" t="s">
        <v>2082</v>
      </c>
    </row>
    <row r="102" spans="1:17" ht="14" customHeight="1" x14ac:dyDescent="0.3">
      <c r="A102" s="1" t="s">
        <v>126</v>
      </c>
      <c r="B102" s="1">
        <v>30</v>
      </c>
      <c r="C102" s="1" t="s">
        <v>0</v>
      </c>
      <c r="D102" s="1">
        <v>180</v>
      </c>
      <c r="E102" s="1">
        <v>81</v>
      </c>
      <c r="F102" s="1">
        <v>66</v>
      </c>
      <c r="G102" s="1">
        <v>68</v>
      </c>
      <c r="H102" s="1" t="s">
        <v>34</v>
      </c>
      <c r="I102" s="1">
        <v>72</v>
      </c>
      <c r="J102" s="1" t="s">
        <v>100</v>
      </c>
      <c r="K102" s="1"/>
      <c r="L102" s="1">
        <f t="shared" si="1"/>
        <v>360</v>
      </c>
      <c r="M102" s="1"/>
      <c r="N102" s="1"/>
      <c r="O102" s="12" t="str">
        <f>IF($J102=Sheet2!$A$2, ROW(), "")</f>
        <v/>
      </c>
      <c r="Q102" s="23" t="s">
        <v>2083</v>
      </c>
    </row>
    <row r="103" spans="1:17" ht="14" customHeight="1" x14ac:dyDescent="0.3">
      <c r="A103" s="1" t="s">
        <v>127</v>
      </c>
      <c r="B103" s="1">
        <v>29</v>
      </c>
      <c r="C103" s="1" t="s">
        <v>121</v>
      </c>
      <c r="D103" s="1">
        <v>182</v>
      </c>
      <c r="E103" s="1">
        <v>83</v>
      </c>
      <c r="F103" s="1">
        <v>65</v>
      </c>
      <c r="G103" s="1">
        <v>69</v>
      </c>
      <c r="H103" s="1" t="s">
        <v>21</v>
      </c>
      <c r="I103" s="1">
        <v>62</v>
      </c>
      <c r="J103" s="1" t="s">
        <v>1735</v>
      </c>
      <c r="K103" s="1"/>
      <c r="L103" s="1">
        <f t="shared" si="1"/>
        <v>310</v>
      </c>
      <c r="M103" s="1"/>
      <c r="N103" s="1"/>
      <c r="O103" s="12" t="str">
        <f>IF($J103=Sheet2!$A$2, ROW(), "")</f>
        <v/>
      </c>
      <c r="Q103" s="23" t="s">
        <v>2084</v>
      </c>
    </row>
    <row r="104" spans="1:17" ht="14" customHeight="1" x14ac:dyDescent="0.3">
      <c r="A104" s="1" t="s">
        <v>128</v>
      </c>
      <c r="B104" s="1">
        <v>25</v>
      </c>
      <c r="C104" s="1" t="s">
        <v>121</v>
      </c>
      <c r="D104" s="1">
        <v>183</v>
      </c>
      <c r="E104" s="1">
        <v>82</v>
      </c>
      <c r="F104" s="1">
        <v>140</v>
      </c>
      <c r="G104" s="1">
        <v>140</v>
      </c>
      <c r="H104" s="1" t="s">
        <v>129</v>
      </c>
      <c r="I104" s="1">
        <v>250</v>
      </c>
      <c r="J104" s="1" t="s">
        <v>1762</v>
      </c>
      <c r="K104" s="1">
        <v>5</v>
      </c>
      <c r="L104" s="1">
        <f t="shared" si="1"/>
        <v>1250</v>
      </c>
      <c r="M104" s="1" t="s">
        <v>38</v>
      </c>
      <c r="N104" s="1"/>
      <c r="O104" s="12" t="str">
        <f>IF($J104=Sheet2!$A$2, ROW(), "")</f>
        <v/>
      </c>
      <c r="Q104" s="23" t="s">
        <v>2085</v>
      </c>
    </row>
    <row r="105" spans="1:17" ht="14" customHeight="1" x14ac:dyDescent="0.3">
      <c r="A105" s="1" t="s">
        <v>131</v>
      </c>
      <c r="B105" s="1">
        <v>31</v>
      </c>
      <c r="C105" s="1" t="s">
        <v>0</v>
      </c>
      <c r="D105" s="1">
        <v>185</v>
      </c>
      <c r="E105" s="1">
        <v>85</v>
      </c>
      <c r="F105" s="1">
        <v>66</v>
      </c>
      <c r="G105" s="1">
        <v>68</v>
      </c>
      <c r="H105" s="1" t="s">
        <v>23</v>
      </c>
      <c r="I105" s="1">
        <v>82</v>
      </c>
      <c r="J105" s="1" t="s">
        <v>1735</v>
      </c>
      <c r="K105" s="1"/>
      <c r="L105" s="1">
        <f t="shared" si="1"/>
        <v>410</v>
      </c>
      <c r="M105" s="1"/>
      <c r="N105" s="1"/>
      <c r="O105" s="12" t="str">
        <f>IF($J105=Sheet2!$A$2, ROW(), "")</f>
        <v/>
      </c>
      <c r="Q105" s="23" t="s">
        <v>2086</v>
      </c>
    </row>
    <row r="106" spans="1:17" ht="14" customHeight="1" x14ac:dyDescent="0.3">
      <c r="A106" s="1" t="s">
        <v>132</v>
      </c>
      <c r="B106" s="1">
        <v>28</v>
      </c>
      <c r="C106" s="1" t="s">
        <v>0</v>
      </c>
      <c r="D106" s="1">
        <v>183</v>
      </c>
      <c r="E106" s="1">
        <v>84</v>
      </c>
      <c r="F106" s="1">
        <v>65</v>
      </c>
      <c r="G106" s="1">
        <v>69</v>
      </c>
      <c r="H106" s="1" t="s">
        <v>40</v>
      </c>
      <c r="I106" s="1">
        <v>62</v>
      </c>
      <c r="J106" s="1" t="s">
        <v>1735</v>
      </c>
      <c r="K106" s="1"/>
      <c r="L106" s="1">
        <f t="shared" si="1"/>
        <v>310</v>
      </c>
      <c r="M106" s="1"/>
      <c r="N106" s="1"/>
      <c r="O106" s="12" t="str">
        <f>IF($J106=Sheet2!$A$2, ROW(), "")</f>
        <v/>
      </c>
      <c r="Q106" s="23" t="s">
        <v>2087</v>
      </c>
    </row>
    <row r="107" spans="1:17" ht="14" customHeight="1" x14ac:dyDescent="0.3">
      <c r="A107" s="1" t="s">
        <v>133</v>
      </c>
      <c r="B107" s="1">
        <v>27</v>
      </c>
      <c r="C107" s="1" t="s">
        <v>0</v>
      </c>
      <c r="D107" s="1">
        <v>180</v>
      </c>
      <c r="E107" s="1">
        <v>81</v>
      </c>
      <c r="F107" s="1">
        <v>64</v>
      </c>
      <c r="G107" s="1">
        <v>70</v>
      </c>
      <c r="H107" s="1" t="s">
        <v>34</v>
      </c>
      <c r="I107" s="1">
        <v>52</v>
      </c>
      <c r="J107" s="1" t="s">
        <v>1735</v>
      </c>
      <c r="K107" s="1"/>
      <c r="L107" s="1">
        <f t="shared" si="1"/>
        <v>260</v>
      </c>
      <c r="M107" s="1"/>
      <c r="N107" s="1"/>
      <c r="O107" s="12" t="str">
        <f>IF($J107=Sheet2!$A$2, ROW(), "")</f>
        <v/>
      </c>
      <c r="Q107" s="23" t="s">
        <v>2088</v>
      </c>
    </row>
    <row r="108" spans="1:17" ht="14" customHeight="1" x14ac:dyDescent="0.3">
      <c r="A108" s="1" t="s">
        <v>134</v>
      </c>
      <c r="B108" s="1">
        <v>29</v>
      </c>
      <c r="C108" s="1" t="s">
        <v>0</v>
      </c>
      <c r="D108" s="1">
        <v>178</v>
      </c>
      <c r="E108" s="1">
        <v>80</v>
      </c>
      <c r="F108" s="1">
        <v>65</v>
      </c>
      <c r="G108" s="1">
        <v>69</v>
      </c>
      <c r="H108" s="1" t="s">
        <v>21</v>
      </c>
      <c r="I108" s="1">
        <v>62</v>
      </c>
      <c r="J108" s="1" t="s">
        <v>1735</v>
      </c>
      <c r="K108" s="1"/>
      <c r="L108" s="1">
        <f t="shared" si="1"/>
        <v>310</v>
      </c>
      <c r="M108" s="1"/>
      <c r="N108" s="1"/>
      <c r="O108" s="12" t="str">
        <f>IF($J108=Sheet2!$A$2, ROW(), "")</f>
        <v/>
      </c>
      <c r="Q108" s="23" t="s">
        <v>2089</v>
      </c>
    </row>
    <row r="109" spans="1:17" ht="14" customHeight="1" x14ac:dyDescent="0.3">
      <c r="A109" s="1" t="s">
        <v>135</v>
      </c>
      <c r="B109" s="1">
        <v>30</v>
      </c>
      <c r="C109" s="1" t="s">
        <v>0</v>
      </c>
      <c r="D109" s="1">
        <v>179</v>
      </c>
      <c r="E109" s="1">
        <v>79</v>
      </c>
      <c r="F109" s="1">
        <v>66</v>
      </c>
      <c r="G109" s="1">
        <v>68</v>
      </c>
      <c r="H109" s="1" t="s">
        <v>19</v>
      </c>
      <c r="I109" s="1">
        <v>72</v>
      </c>
      <c r="J109" s="1" t="s">
        <v>100</v>
      </c>
      <c r="K109" s="1"/>
      <c r="L109" s="1">
        <f t="shared" si="1"/>
        <v>360</v>
      </c>
      <c r="M109" s="1"/>
      <c r="N109" s="1"/>
      <c r="O109" s="12" t="str">
        <f>IF($J109=Sheet2!$A$2, ROW(), "")</f>
        <v/>
      </c>
      <c r="Q109" s="23" t="s">
        <v>2090</v>
      </c>
    </row>
    <row r="110" spans="1:17" ht="14" customHeight="1" x14ac:dyDescent="0.3">
      <c r="A110" s="1" t="s">
        <v>136</v>
      </c>
      <c r="B110" s="1">
        <v>32</v>
      </c>
      <c r="C110" s="1" t="s">
        <v>0</v>
      </c>
      <c r="D110" s="1">
        <v>176</v>
      </c>
      <c r="E110" s="1">
        <v>77</v>
      </c>
      <c r="F110" s="1">
        <v>66</v>
      </c>
      <c r="G110" s="1">
        <v>67</v>
      </c>
      <c r="H110" s="1" t="s">
        <v>15</v>
      </c>
      <c r="I110" s="1">
        <v>72</v>
      </c>
      <c r="J110" s="1" t="s">
        <v>100</v>
      </c>
      <c r="K110" s="1"/>
      <c r="L110" s="1">
        <f t="shared" si="1"/>
        <v>360</v>
      </c>
      <c r="M110" s="1"/>
      <c r="N110" s="1"/>
      <c r="O110" s="12" t="str">
        <f>IF($J110=Sheet2!$A$2, ROW(), "")</f>
        <v/>
      </c>
      <c r="Q110" s="23" t="s">
        <v>2091</v>
      </c>
    </row>
    <row r="111" spans="1:17" ht="14" customHeight="1" x14ac:dyDescent="0.3">
      <c r="A111" s="1" t="s">
        <v>137</v>
      </c>
      <c r="B111" s="1">
        <v>28</v>
      </c>
      <c r="C111" s="1" t="s">
        <v>0</v>
      </c>
      <c r="D111" s="1">
        <v>181</v>
      </c>
      <c r="E111" s="1">
        <v>82</v>
      </c>
      <c r="F111" s="1">
        <v>65</v>
      </c>
      <c r="G111" s="1">
        <v>69</v>
      </c>
      <c r="H111" s="1" t="s">
        <v>10</v>
      </c>
      <c r="I111" s="1">
        <v>52</v>
      </c>
      <c r="J111" s="1" t="s">
        <v>100</v>
      </c>
      <c r="K111" s="1"/>
      <c r="L111" s="1">
        <f t="shared" si="1"/>
        <v>260</v>
      </c>
      <c r="M111" s="1"/>
      <c r="N111" s="1"/>
      <c r="O111" s="12" t="str">
        <f>IF($J111=Sheet2!$A$2, ROW(), "")</f>
        <v/>
      </c>
      <c r="Q111" s="23" t="s">
        <v>2092</v>
      </c>
    </row>
    <row r="112" spans="1:17" ht="14" customHeight="1" x14ac:dyDescent="0.3">
      <c r="A112" s="1" t="s">
        <v>138</v>
      </c>
      <c r="B112" s="1">
        <v>31</v>
      </c>
      <c r="C112" s="1" t="s">
        <v>0</v>
      </c>
      <c r="D112" s="1">
        <v>184</v>
      </c>
      <c r="E112" s="1">
        <v>86</v>
      </c>
      <c r="F112" s="1">
        <v>66</v>
      </c>
      <c r="G112" s="1">
        <v>68</v>
      </c>
      <c r="H112" s="1" t="s">
        <v>1</v>
      </c>
      <c r="I112" s="1">
        <v>82</v>
      </c>
      <c r="J112" s="1" t="s">
        <v>1735</v>
      </c>
      <c r="K112" s="1"/>
      <c r="L112" s="1">
        <f t="shared" si="1"/>
        <v>410</v>
      </c>
      <c r="M112" s="1"/>
      <c r="N112" s="1"/>
      <c r="O112" s="12" t="str">
        <f>IF($J112=Sheet2!$A$2, ROW(), "")</f>
        <v/>
      </c>
      <c r="Q112" s="23" t="s">
        <v>2093</v>
      </c>
    </row>
    <row r="113" spans="1:17" ht="14" customHeight="1" x14ac:dyDescent="0.3">
      <c r="A113" s="1" t="s">
        <v>139</v>
      </c>
      <c r="B113" s="1">
        <v>31</v>
      </c>
      <c r="C113" s="1" t="s">
        <v>0</v>
      </c>
      <c r="D113" s="1">
        <v>178</v>
      </c>
      <c r="E113" s="1">
        <v>76</v>
      </c>
      <c r="F113" s="1">
        <v>63</v>
      </c>
      <c r="G113" s="1">
        <v>65</v>
      </c>
      <c r="H113" s="1" t="s">
        <v>15</v>
      </c>
      <c r="I113" s="1">
        <v>50</v>
      </c>
      <c r="J113" s="1" t="s">
        <v>100</v>
      </c>
      <c r="K113" s="1"/>
      <c r="L113" s="1">
        <f t="shared" si="1"/>
        <v>250</v>
      </c>
      <c r="M113" s="1"/>
      <c r="N113" s="1"/>
      <c r="O113" s="12" t="str">
        <f>IF($J113=Sheet2!$A$2, ROW(), "")</f>
        <v/>
      </c>
      <c r="Q113" s="23" t="s">
        <v>2094</v>
      </c>
    </row>
    <row r="114" spans="1:17" ht="14" customHeight="1" x14ac:dyDescent="0.3">
      <c r="A114" s="1" t="s">
        <v>140</v>
      </c>
      <c r="B114" s="1">
        <v>26</v>
      </c>
      <c r="C114" s="1" t="s">
        <v>0</v>
      </c>
      <c r="D114" s="1">
        <v>176</v>
      </c>
      <c r="E114" s="1">
        <v>74</v>
      </c>
      <c r="F114" s="1">
        <v>61</v>
      </c>
      <c r="G114" s="1">
        <v>68</v>
      </c>
      <c r="H114" s="1" t="s">
        <v>19</v>
      </c>
      <c r="I114" s="1">
        <v>47</v>
      </c>
      <c r="J114" s="1" t="s">
        <v>11</v>
      </c>
      <c r="K114" s="1"/>
      <c r="L114" s="1">
        <f t="shared" si="1"/>
        <v>235</v>
      </c>
      <c r="M114" s="1"/>
      <c r="N114" s="1"/>
      <c r="O114" s="12" t="str">
        <f>IF($J114=Sheet2!$A$2, ROW(), "")</f>
        <v/>
      </c>
      <c r="Q114" s="23" t="s">
        <v>2095</v>
      </c>
    </row>
    <row r="115" spans="1:17" ht="14" customHeight="1" x14ac:dyDescent="0.3">
      <c r="A115" s="1" t="s">
        <v>141</v>
      </c>
      <c r="B115" s="1">
        <v>28</v>
      </c>
      <c r="C115" s="1" t="s">
        <v>0</v>
      </c>
      <c r="D115" s="1">
        <v>180</v>
      </c>
      <c r="E115" s="1">
        <v>78</v>
      </c>
      <c r="F115" s="1">
        <v>62</v>
      </c>
      <c r="G115" s="1">
        <v>67</v>
      </c>
      <c r="H115" s="1" t="s">
        <v>34</v>
      </c>
      <c r="I115" s="1">
        <v>57</v>
      </c>
      <c r="J115" s="1" t="s">
        <v>11</v>
      </c>
      <c r="K115" s="1"/>
      <c r="L115" s="1">
        <f t="shared" si="1"/>
        <v>285</v>
      </c>
      <c r="M115" s="1"/>
      <c r="N115" s="1"/>
      <c r="O115" s="12" t="str">
        <f>IF($J115=Sheet2!$A$2, ROW(), "")</f>
        <v/>
      </c>
      <c r="Q115" s="23" t="s">
        <v>2096</v>
      </c>
    </row>
    <row r="116" spans="1:17" ht="14" customHeight="1" x14ac:dyDescent="0.3">
      <c r="A116" s="1" t="s">
        <v>142</v>
      </c>
      <c r="B116" s="1">
        <v>29</v>
      </c>
      <c r="C116" s="1" t="s">
        <v>0</v>
      </c>
      <c r="D116" s="1">
        <v>179</v>
      </c>
      <c r="E116" s="1">
        <v>77</v>
      </c>
      <c r="F116" s="1">
        <v>62</v>
      </c>
      <c r="G116" s="1">
        <v>66</v>
      </c>
      <c r="H116" s="1" t="s">
        <v>21</v>
      </c>
      <c r="I116" s="1">
        <v>57</v>
      </c>
      <c r="J116" s="1" t="s">
        <v>11</v>
      </c>
      <c r="K116" s="1"/>
      <c r="L116" s="1">
        <f t="shared" si="1"/>
        <v>285</v>
      </c>
      <c r="M116" s="1"/>
      <c r="N116" s="1"/>
      <c r="O116" s="12" t="str">
        <f>IF($J116=Sheet2!$A$2, ROW(), "")</f>
        <v/>
      </c>
      <c r="Q116" s="23" t="s">
        <v>2097</v>
      </c>
    </row>
    <row r="117" spans="1:17" ht="14" customHeight="1" x14ac:dyDescent="0.3">
      <c r="A117" s="1" t="s">
        <v>143</v>
      </c>
      <c r="B117" s="1">
        <v>28</v>
      </c>
      <c r="C117" s="1" t="s">
        <v>0</v>
      </c>
      <c r="D117" s="1">
        <v>178</v>
      </c>
      <c r="E117" s="1">
        <v>76</v>
      </c>
      <c r="F117" s="1">
        <v>62</v>
      </c>
      <c r="G117" s="1">
        <v>67</v>
      </c>
      <c r="H117" s="1" t="s">
        <v>34</v>
      </c>
      <c r="I117" s="1">
        <v>57</v>
      </c>
      <c r="J117" s="1" t="s">
        <v>11</v>
      </c>
      <c r="K117" s="1"/>
      <c r="L117" s="1">
        <f t="shared" si="1"/>
        <v>285</v>
      </c>
      <c r="M117" s="1"/>
      <c r="N117" s="1"/>
      <c r="O117" s="12" t="str">
        <f>IF($J117=Sheet2!$A$2, ROW(), "")</f>
        <v/>
      </c>
      <c r="Q117" s="23" t="s">
        <v>2098</v>
      </c>
    </row>
    <row r="118" spans="1:17" ht="14" customHeight="1" x14ac:dyDescent="0.3">
      <c r="A118" s="1" t="s">
        <v>144</v>
      </c>
      <c r="B118" s="1">
        <v>26</v>
      </c>
      <c r="C118" s="1" t="s">
        <v>0</v>
      </c>
      <c r="D118" s="1">
        <v>175</v>
      </c>
      <c r="E118" s="1">
        <v>73</v>
      </c>
      <c r="F118" s="1">
        <v>61</v>
      </c>
      <c r="G118" s="1">
        <v>68</v>
      </c>
      <c r="H118" s="1" t="s">
        <v>21</v>
      </c>
      <c r="I118" s="1">
        <v>47</v>
      </c>
      <c r="J118" s="1" t="s">
        <v>11</v>
      </c>
      <c r="K118" s="1"/>
      <c r="L118" s="1">
        <f t="shared" si="1"/>
        <v>235</v>
      </c>
      <c r="M118" s="1"/>
      <c r="N118" s="1"/>
      <c r="O118" s="12" t="str">
        <f>IF($J118=Sheet2!$A$2, ROW(), "")</f>
        <v/>
      </c>
      <c r="Q118" s="23" t="s">
        <v>2099</v>
      </c>
    </row>
    <row r="119" spans="1:17" ht="14" customHeight="1" x14ac:dyDescent="0.3">
      <c r="A119" s="1" t="s">
        <v>145</v>
      </c>
      <c r="B119" s="1">
        <v>30</v>
      </c>
      <c r="C119" s="1" t="s">
        <v>0</v>
      </c>
      <c r="D119" s="1">
        <v>176</v>
      </c>
      <c r="E119" s="1">
        <v>74</v>
      </c>
      <c r="F119" s="1">
        <v>62</v>
      </c>
      <c r="G119" s="1">
        <v>66</v>
      </c>
      <c r="H119" s="1" t="s">
        <v>19</v>
      </c>
      <c r="I119" s="1">
        <v>67</v>
      </c>
      <c r="J119" s="1" t="s">
        <v>108</v>
      </c>
      <c r="K119" s="1"/>
      <c r="L119" s="1">
        <f t="shared" si="1"/>
        <v>335</v>
      </c>
      <c r="M119" s="1"/>
      <c r="N119" s="1"/>
      <c r="O119" s="12" t="str">
        <f>IF($J119=Sheet2!$A$2, ROW(), "")</f>
        <v/>
      </c>
      <c r="Q119" s="23" t="s">
        <v>2100</v>
      </c>
    </row>
    <row r="120" spans="1:17" ht="14" customHeight="1" x14ac:dyDescent="0.3">
      <c r="A120" s="1" t="s">
        <v>146</v>
      </c>
      <c r="B120" s="1">
        <v>31</v>
      </c>
      <c r="C120" s="1" t="s">
        <v>0</v>
      </c>
      <c r="D120" s="1">
        <v>177</v>
      </c>
      <c r="E120" s="1">
        <v>75</v>
      </c>
      <c r="F120" s="1">
        <v>63</v>
      </c>
      <c r="G120" s="1">
        <v>65</v>
      </c>
      <c r="H120" s="1" t="s">
        <v>15</v>
      </c>
      <c r="I120" s="1">
        <v>77</v>
      </c>
      <c r="J120" s="1" t="s">
        <v>108</v>
      </c>
      <c r="K120" s="1"/>
      <c r="L120" s="1">
        <f t="shared" si="1"/>
        <v>385</v>
      </c>
      <c r="M120" s="1"/>
      <c r="N120" s="1"/>
      <c r="O120" s="12" t="str">
        <f>IF($J120=Sheet2!$A$2, ROW(), "")</f>
        <v/>
      </c>
      <c r="Q120" s="23" t="s">
        <v>2101</v>
      </c>
    </row>
    <row r="121" spans="1:17" ht="14" customHeight="1" x14ac:dyDescent="0.3">
      <c r="A121" s="1" t="s">
        <v>147</v>
      </c>
      <c r="B121" s="1">
        <v>29</v>
      </c>
      <c r="C121" s="1" t="s">
        <v>0</v>
      </c>
      <c r="D121" s="1">
        <v>179</v>
      </c>
      <c r="E121" s="1">
        <v>77</v>
      </c>
      <c r="F121" s="1">
        <v>62</v>
      </c>
      <c r="G121" s="1">
        <v>66</v>
      </c>
      <c r="H121" s="1" t="s">
        <v>10</v>
      </c>
      <c r="I121" s="1">
        <v>57</v>
      </c>
      <c r="J121" s="1" t="s">
        <v>108</v>
      </c>
      <c r="K121" s="1"/>
      <c r="L121" s="1">
        <f t="shared" si="1"/>
        <v>285</v>
      </c>
      <c r="M121" s="1"/>
      <c r="N121" s="1"/>
      <c r="O121" s="12" t="str">
        <f>IF($J121=Sheet2!$A$2, ROW(), "")</f>
        <v/>
      </c>
      <c r="Q121" s="23" t="s">
        <v>2102</v>
      </c>
    </row>
    <row r="122" spans="1:17" ht="14" customHeight="1" x14ac:dyDescent="0.3">
      <c r="A122" s="1" t="s">
        <v>148</v>
      </c>
      <c r="B122" s="1">
        <v>28</v>
      </c>
      <c r="C122" s="1" t="s">
        <v>0</v>
      </c>
      <c r="D122" s="1">
        <v>183</v>
      </c>
      <c r="E122" s="1">
        <v>80</v>
      </c>
      <c r="F122" s="1">
        <v>62</v>
      </c>
      <c r="G122" s="1">
        <v>67</v>
      </c>
      <c r="H122" s="1" t="s">
        <v>1</v>
      </c>
      <c r="I122" s="1">
        <v>67</v>
      </c>
      <c r="J122" s="1" t="s">
        <v>108</v>
      </c>
      <c r="K122" s="1"/>
      <c r="L122" s="1">
        <f t="shared" si="1"/>
        <v>335</v>
      </c>
      <c r="M122" s="1"/>
      <c r="N122" s="1"/>
      <c r="O122" s="12" t="str">
        <f>IF($J122=Sheet2!$A$2, ROW(), "")</f>
        <v/>
      </c>
      <c r="Q122" s="23" t="s">
        <v>2103</v>
      </c>
    </row>
    <row r="123" spans="1:17" ht="14" customHeight="1" x14ac:dyDescent="0.3">
      <c r="A123" s="1" t="s">
        <v>149</v>
      </c>
      <c r="B123" s="1">
        <v>33</v>
      </c>
      <c r="C123" s="1" t="s">
        <v>0</v>
      </c>
      <c r="D123" s="1">
        <v>182</v>
      </c>
      <c r="E123" s="1">
        <v>78</v>
      </c>
      <c r="F123" s="1">
        <v>61</v>
      </c>
      <c r="G123" s="1">
        <v>63</v>
      </c>
      <c r="H123" s="1" t="s">
        <v>1</v>
      </c>
      <c r="I123" s="1">
        <v>77</v>
      </c>
      <c r="J123" s="1" t="s">
        <v>91</v>
      </c>
      <c r="K123" s="1"/>
      <c r="L123" s="1">
        <f t="shared" si="1"/>
        <v>385</v>
      </c>
      <c r="M123" s="1"/>
      <c r="N123" s="1"/>
      <c r="O123" s="12" t="str">
        <f>IF($J123=Sheet2!$A$2, ROW(), "")</f>
        <v/>
      </c>
      <c r="Q123" s="23" t="s">
        <v>2104</v>
      </c>
    </row>
    <row r="124" spans="1:17" ht="14" customHeight="1" x14ac:dyDescent="0.3">
      <c r="A124" s="1" t="s">
        <v>150</v>
      </c>
      <c r="B124" s="1">
        <v>32</v>
      </c>
      <c r="C124" s="1" t="s">
        <v>0</v>
      </c>
      <c r="D124" s="1">
        <v>185</v>
      </c>
      <c r="E124" s="1">
        <v>83</v>
      </c>
      <c r="F124" s="1">
        <v>62</v>
      </c>
      <c r="G124" s="1">
        <v>64</v>
      </c>
      <c r="H124" s="1" t="s">
        <v>5</v>
      </c>
      <c r="I124" s="1">
        <v>82</v>
      </c>
      <c r="J124" s="1" t="s">
        <v>91</v>
      </c>
      <c r="K124" s="1"/>
      <c r="L124" s="1">
        <f t="shared" si="1"/>
        <v>410</v>
      </c>
      <c r="M124" s="1"/>
      <c r="N124" s="1"/>
      <c r="O124" s="12" t="str">
        <f>IF($J124=Sheet2!$A$2, ROW(), "")</f>
        <v/>
      </c>
      <c r="Q124" s="23" t="s">
        <v>2105</v>
      </c>
    </row>
    <row r="125" spans="1:17" ht="14" customHeight="1" x14ac:dyDescent="0.3">
      <c r="A125" s="1" t="s">
        <v>151</v>
      </c>
      <c r="B125" s="1">
        <v>33</v>
      </c>
      <c r="C125" s="1" t="s">
        <v>0</v>
      </c>
      <c r="D125" s="1">
        <v>184</v>
      </c>
      <c r="E125" s="1">
        <v>82</v>
      </c>
      <c r="F125" s="1">
        <v>61</v>
      </c>
      <c r="G125" s="1">
        <v>63</v>
      </c>
      <c r="H125" s="1" t="s">
        <v>5</v>
      </c>
      <c r="I125" s="1">
        <v>77</v>
      </c>
      <c r="J125" s="1" t="s">
        <v>91</v>
      </c>
      <c r="K125" s="1"/>
      <c r="L125" s="1">
        <f t="shared" si="1"/>
        <v>385</v>
      </c>
      <c r="M125" s="1"/>
      <c r="N125" s="1"/>
      <c r="O125" s="12" t="str">
        <f>IF($J125=Sheet2!$A$2, ROW(), "")</f>
        <v/>
      </c>
      <c r="Q125" s="23" t="s">
        <v>2106</v>
      </c>
    </row>
    <row r="126" spans="1:17" ht="14" customHeight="1" x14ac:dyDescent="0.3">
      <c r="A126" s="1" t="s">
        <v>152</v>
      </c>
      <c r="B126" s="1">
        <v>31</v>
      </c>
      <c r="C126" s="1" t="s">
        <v>0</v>
      </c>
      <c r="D126" s="1">
        <v>178</v>
      </c>
      <c r="E126" s="1">
        <v>74</v>
      </c>
      <c r="F126" s="1">
        <v>60</v>
      </c>
      <c r="G126" s="1">
        <v>65</v>
      </c>
      <c r="H126" s="1" t="s">
        <v>8</v>
      </c>
      <c r="I126" s="1">
        <v>67</v>
      </c>
      <c r="J126" s="1" t="s">
        <v>91</v>
      </c>
      <c r="K126" s="1"/>
      <c r="L126" s="1">
        <f t="shared" si="1"/>
        <v>335</v>
      </c>
      <c r="M126" s="1"/>
      <c r="N126" s="1"/>
      <c r="O126" s="12" t="str">
        <f>IF($J126=Sheet2!$A$2, ROW(), "")</f>
        <v/>
      </c>
      <c r="Q126" s="23" t="s">
        <v>2107</v>
      </c>
    </row>
    <row r="127" spans="1:17" ht="14" customHeight="1" x14ac:dyDescent="0.3">
      <c r="A127" s="1" t="s">
        <v>153</v>
      </c>
      <c r="B127" s="1">
        <v>32</v>
      </c>
      <c r="C127" s="1" t="s">
        <v>0</v>
      </c>
      <c r="D127" s="1">
        <v>176</v>
      </c>
      <c r="E127" s="1">
        <v>72</v>
      </c>
      <c r="F127" s="1">
        <v>61</v>
      </c>
      <c r="G127" s="1">
        <v>64</v>
      </c>
      <c r="H127" s="1" t="s">
        <v>15</v>
      </c>
      <c r="I127" s="1">
        <v>72</v>
      </c>
      <c r="J127" s="1" t="s">
        <v>91</v>
      </c>
      <c r="K127" s="1"/>
      <c r="L127" s="1">
        <f t="shared" si="1"/>
        <v>360</v>
      </c>
      <c r="M127" s="1"/>
      <c r="N127" s="1"/>
      <c r="O127" s="12" t="str">
        <f>IF($J127=Sheet2!$A$2, ROW(), "")</f>
        <v/>
      </c>
      <c r="Q127" s="23" t="s">
        <v>2108</v>
      </c>
    </row>
    <row r="128" spans="1:17" ht="14" customHeight="1" x14ac:dyDescent="0.3">
      <c r="A128" s="1" t="s">
        <v>154</v>
      </c>
      <c r="B128" s="1">
        <v>34</v>
      </c>
      <c r="C128" s="1" t="s">
        <v>0</v>
      </c>
      <c r="D128" s="1">
        <v>174</v>
      </c>
      <c r="E128" s="1">
        <v>70</v>
      </c>
      <c r="F128" s="1">
        <v>60</v>
      </c>
      <c r="G128" s="1">
        <v>62</v>
      </c>
      <c r="H128" s="1" t="s">
        <v>17</v>
      </c>
      <c r="I128" s="1">
        <v>72</v>
      </c>
      <c r="J128" s="1" t="s">
        <v>91</v>
      </c>
      <c r="K128" s="1"/>
      <c r="L128" s="1">
        <f t="shared" si="1"/>
        <v>360</v>
      </c>
      <c r="M128" s="1"/>
      <c r="N128" s="1"/>
      <c r="O128" s="12" t="str">
        <f>IF($J128=Sheet2!$A$2, ROW(), "")</f>
        <v/>
      </c>
      <c r="Q128" s="23" t="s">
        <v>2109</v>
      </c>
    </row>
    <row r="129" spans="1:17" ht="14" customHeight="1" x14ac:dyDescent="0.3">
      <c r="A129" s="1" t="s">
        <v>155</v>
      </c>
      <c r="B129" s="1">
        <v>33</v>
      </c>
      <c r="C129" s="1" t="s">
        <v>0</v>
      </c>
      <c r="D129" s="1">
        <v>176</v>
      </c>
      <c r="E129" s="1">
        <v>72</v>
      </c>
      <c r="F129" s="1">
        <v>61</v>
      </c>
      <c r="G129" s="1">
        <v>63</v>
      </c>
      <c r="H129" s="1" t="s">
        <v>15</v>
      </c>
      <c r="I129" s="1">
        <v>72</v>
      </c>
      <c r="J129" s="1" t="s">
        <v>91</v>
      </c>
      <c r="K129" s="1"/>
      <c r="L129" s="1">
        <f t="shared" si="1"/>
        <v>360</v>
      </c>
      <c r="M129" s="1"/>
      <c r="N129" s="1"/>
      <c r="O129" s="12" t="str">
        <f>IF($J129=Sheet2!$A$2, ROW(), "")</f>
        <v/>
      </c>
      <c r="Q129" s="23" t="s">
        <v>2110</v>
      </c>
    </row>
    <row r="130" spans="1:17" ht="14" customHeight="1" x14ac:dyDescent="0.3">
      <c r="A130" s="1" t="s">
        <v>156</v>
      </c>
      <c r="B130" s="1">
        <v>31</v>
      </c>
      <c r="C130" s="1" t="s">
        <v>0</v>
      </c>
      <c r="D130" s="1">
        <v>174</v>
      </c>
      <c r="E130" s="1">
        <v>70</v>
      </c>
      <c r="F130" s="1">
        <v>60</v>
      </c>
      <c r="G130" s="1">
        <v>65</v>
      </c>
      <c r="H130" s="1" t="s">
        <v>19</v>
      </c>
      <c r="I130" s="1">
        <v>67</v>
      </c>
      <c r="J130" s="1" t="s">
        <v>91</v>
      </c>
      <c r="K130" s="1"/>
      <c r="L130" s="1">
        <f t="shared" ref="L130:L193" si="2">I130*5</f>
        <v>335</v>
      </c>
      <c r="M130" s="1"/>
      <c r="N130" s="1"/>
      <c r="O130" s="12" t="str">
        <f>IF($J130=Sheet2!$A$2, ROW(), "")</f>
        <v/>
      </c>
      <c r="Q130" s="23" t="s">
        <v>2111</v>
      </c>
    </row>
    <row r="131" spans="1:17" ht="14" customHeight="1" x14ac:dyDescent="0.3">
      <c r="A131" s="1" t="s">
        <v>157</v>
      </c>
      <c r="B131" s="1">
        <v>32</v>
      </c>
      <c r="C131" s="1" t="s">
        <v>0</v>
      </c>
      <c r="D131" s="1">
        <v>180</v>
      </c>
      <c r="E131" s="1">
        <v>76</v>
      </c>
      <c r="F131" s="1">
        <v>61</v>
      </c>
      <c r="G131" s="1">
        <v>64</v>
      </c>
      <c r="H131" s="1" t="s">
        <v>21</v>
      </c>
      <c r="I131" s="1">
        <v>72</v>
      </c>
      <c r="J131" s="1" t="s">
        <v>91</v>
      </c>
      <c r="K131" s="1"/>
      <c r="L131" s="1">
        <f t="shared" si="2"/>
        <v>360</v>
      </c>
      <c r="M131" s="1"/>
      <c r="N131" s="1"/>
      <c r="O131" s="12" t="str">
        <f>IF($J131=Sheet2!$A$2, ROW(), "")</f>
        <v/>
      </c>
      <c r="Q131" s="23" t="s">
        <v>2112</v>
      </c>
    </row>
    <row r="132" spans="1:17" ht="14" customHeight="1" x14ac:dyDescent="0.3">
      <c r="A132" s="1" t="s">
        <v>158</v>
      </c>
      <c r="B132" s="1">
        <v>30</v>
      </c>
      <c r="C132" s="1" t="s">
        <v>0</v>
      </c>
      <c r="D132" s="1">
        <v>182</v>
      </c>
      <c r="E132" s="1">
        <v>79</v>
      </c>
      <c r="F132" s="1">
        <v>60</v>
      </c>
      <c r="G132" s="1">
        <v>66</v>
      </c>
      <c r="H132" s="1" t="s">
        <v>23</v>
      </c>
      <c r="I132" s="1">
        <v>67</v>
      </c>
      <c r="J132" s="1" t="s">
        <v>91</v>
      </c>
      <c r="K132" s="1"/>
      <c r="L132" s="1">
        <f t="shared" si="2"/>
        <v>335</v>
      </c>
      <c r="M132" s="1"/>
      <c r="N132" s="1"/>
      <c r="O132" s="12" t="str">
        <f>IF($J132=Sheet2!$A$2, ROW(), "")</f>
        <v/>
      </c>
      <c r="Q132" s="23" t="s">
        <v>2113</v>
      </c>
    </row>
    <row r="133" spans="1:17" ht="14" customHeight="1" x14ac:dyDescent="0.3">
      <c r="A133" s="1" t="s">
        <v>159</v>
      </c>
      <c r="B133" s="1">
        <v>34</v>
      </c>
      <c r="C133" s="1" t="s">
        <v>0</v>
      </c>
      <c r="D133" s="1">
        <v>181</v>
      </c>
      <c r="E133" s="1">
        <v>78</v>
      </c>
      <c r="F133" s="1">
        <v>61</v>
      </c>
      <c r="G133" s="1">
        <v>62</v>
      </c>
      <c r="H133" s="1" t="s">
        <v>23</v>
      </c>
      <c r="I133" s="1">
        <v>77</v>
      </c>
      <c r="J133" s="1" t="s">
        <v>91</v>
      </c>
      <c r="K133" s="1"/>
      <c r="L133" s="1">
        <f t="shared" si="2"/>
        <v>385</v>
      </c>
      <c r="M133" s="1"/>
      <c r="N133" s="1"/>
      <c r="O133" s="12" t="str">
        <f>IF($J133=Sheet2!$A$2, ROW(), "")</f>
        <v/>
      </c>
      <c r="Q133" s="23" t="s">
        <v>2114</v>
      </c>
    </row>
    <row r="134" spans="1:17" ht="14" customHeight="1" x14ac:dyDescent="0.3">
      <c r="A134" s="1" t="s">
        <v>160</v>
      </c>
      <c r="B134" s="1">
        <v>31</v>
      </c>
      <c r="C134" s="1" t="s">
        <v>0</v>
      </c>
      <c r="D134" s="1">
        <v>177</v>
      </c>
      <c r="E134" s="1">
        <v>73</v>
      </c>
      <c r="F134" s="1">
        <v>60</v>
      </c>
      <c r="G134" s="1">
        <v>65</v>
      </c>
      <c r="H134" s="1" t="s">
        <v>34</v>
      </c>
      <c r="I134" s="1">
        <v>67</v>
      </c>
      <c r="J134" s="1" t="s">
        <v>91</v>
      </c>
      <c r="K134" s="1"/>
      <c r="L134" s="1">
        <f t="shared" si="2"/>
        <v>335</v>
      </c>
      <c r="M134" s="1"/>
      <c r="N134" s="1"/>
      <c r="O134" s="12" t="str">
        <f>IF($J134=Sheet2!$A$2, ROW(), "")</f>
        <v/>
      </c>
      <c r="Q134" s="23" t="s">
        <v>2115</v>
      </c>
    </row>
    <row r="135" spans="1:17" ht="14" customHeight="1" x14ac:dyDescent="0.3">
      <c r="A135" s="1" t="s">
        <v>161</v>
      </c>
      <c r="B135" s="1">
        <v>32</v>
      </c>
      <c r="C135" s="1" t="s">
        <v>0</v>
      </c>
      <c r="D135" s="1">
        <v>174</v>
      </c>
      <c r="E135" s="1">
        <v>70</v>
      </c>
      <c r="F135" s="1">
        <v>60</v>
      </c>
      <c r="G135" s="1">
        <v>64</v>
      </c>
      <c r="H135" s="1" t="s">
        <v>19</v>
      </c>
      <c r="I135" s="1">
        <v>67</v>
      </c>
      <c r="J135" s="1" t="s">
        <v>91</v>
      </c>
      <c r="K135" s="1"/>
      <c r="L135" s="1">
        <f t="shared" si="2"/>
        <v>335</v>
      </c>
      <c r="M135" s="1"/>
      <c r="N135" s="1"/>
      <c r="O135" s="12" t="str">
        <f>IF($J135=Sheet2!$A$2, ROW(), "")</f>
        <v/>
      </c>
      <c r="Q135" s="23" t="s">
        <v>2116</v>
      </c>
    </row>
    <row r="136" spans="1:17" ht="14" customHeight="1" x14ac:dyDescent="0.3">
      <c r="A136" s="1" t="s">
        <v>162</v>
      </c>
      <c r="B136" s="1">
        <v>31</v>
      </c>
      <c r="C136" s="1" t="s">
        <v>0</v>
      </c>
      <c r="D136" s="1">
        <v>178</v>
      </c>
      <c r="E136" s="1">
        <v>74</v>
      </c>
      <c r="F136" s="1">
        <v>60</v>
      </c>
      <c r="G136" s="1">
        <v>65</v>
      </c>
      <c r="H136" s="1" t="s">
        <v>10</v>
      </c>
      <c r="I136" s="1">
        <v>67</v>
      </c>
      <c r="J136" s="1" t="s">
        <v>91</v>
      </c>
      <c r="K136" s="1"/>
      <c r="L136" s="1">
        <f t="shared" si="2"/>
        <v>335</v>
      </c>
      <c r="M136" s="1"/>
      <c r="N136" s="1"/>
      <c r="O136" s="12" t="str">
        <f>IF($J136=Sheet2!$A$2, ROW(), "")</f>
        <v/>
      </c>
      <c r="Q136" s="23" t="s">
        <v>2117</v>
      </c>
    </row>
    <row r="137" spans="1:17" ht="14" customHeight="1" x14ac:dyDescent="0.3">
      <c r="A137" s="1" t="s">
        <v>163</v>
      </c>
      <c r="B137" s="1">
        <v>33</v>
      </c>
      <c r="C137" s="1" t="s">
        <v>0</v>
      </c>
      <c r="D137" s="1">
        <v>180</v>
      </c>
      <c r="E137" s="1">
        <v>76</v>
      </c>
      <c r="F137" s="1">
        <v>61</v>
      </c>
      <c r="G137" s="1">
        <v>63</v>
      </c>
      <c r="H137" s="1" t="s">
        <v>1</v>
      </c>
      <c r="I137" s="1">
        <v>72</v>
      </c>
      <c r="J137" s="1" t="s">
        <v>91</v>
      </c>
      <c r="K137" s="1"/>
      <c r="L137" s="1">
        <f t="shared" si="2"/>
        <v>360</v>
      </c>
      <c r="M137" s="1"/>
      <c r="N137" s="1"/>
      <c r="O137" s="12" t="str">
        <f>IF($J137=Sheet2!$A$2, ROW(), "")</f>
        <v/>
      </c>
      <c r="Q137" s="23" t="s">
        <v>2118</v>
      </c>
    </row>
    <row r="138" spans="1:17" ht="14" customHeight="1" x14ac:dyDescent="0.3">
      <c r="A138" s="1" t="s">
        <v>164</v>
      </c>
      <c r="B138" s="1">
        <v>28</v>
      </c>
      <c r="C138" s="1" t="s">
        <v>0</v>
      </c>
      <c r="D138" s="1">
        <v>174</v>
      </c>
      <c r="E138" s="1">
        <v>76</v>
      </c>
      <c r="F138" s="1">
        <v>57</v>
      </c>
      <c r="G138" s="1">
        <v>65</v>
      </c>
      <c r="H138" s="1" t="s">
        <v>19</v>
      </c>
      <c r="I138" s="1">
        <v>24</v>
      </c>
      <c r="J138" s="1" t="s">
        <v>11</v>
      </c>
      <c r="K138" s="1"/>
      <c r="L138" s="1">
        <f t="shared" si="2"/>
        <v>120</v>
      </c>
      <c r="M138" s="1"/>
      <c r="N138" s="1"/>
      <c r="O138" s="12" t="str">
        <f>IF($J138=Sheet2!$A$2, ROW(), "")</f>
        <v/>
      </c>
      <c r="Q138" s="23" t="s">
        <v>2119</v>
      </c>
    </row>
    <row r="139" spans="1:17" ht="14" customHeight="1" x14ac:dyDescent="0.3">
      <c r="A139" s="1" t="s">
        <v>165</v>
      </c>
      <c r="B139" s="1">
        <v>30</v>
      </c>
      <c r="C139" s="1" t="s">
        <v>0</v>
      </c>
      <c r="D139" s="1">
        <v>173</v>
      </c>
      <c r="E139" s="1">
        <v>75</v>
      </c>
      <c r="F139" s="1">
        <v>58</v>
      </c>
      <c r="G139" s="1">
        <v>63</v>
      </c>
      <c r="H139" s="1" t="s">
        <v>51</v>
      </c>
      <c r="I139" s="1">
        <v>29</v>
      </c>
      <c r="J139" s="1" t="s">
        <v>11</v>
      </c>
      <c r="K139" s="1"/>
      <c r="L139" s="1">
        <f t="shared" si="2"/>
        <v>145</v>
      </c>
      <c r="M139" s="1"/>
      <c r="N139" s="1"/>
      <c r="O139" s="12" t="str">
        <f>IF($J139=Sheet2!$A$2, ROW(), "")</f>
        <v/>
      </c>
      <c r="Q139" s="23" t="s">
        <v>2120</v>
      </c>
    </row>
    <row r="140" spans="1:17" ht="14" customHeight="1" x14ac:dyDescent="0.3">
      <c r="A140" s="1" t="s">
        <v>166</v>
      </c>
      <c r="B140" s="1">
        <v>28</v>
      </c>
      <c r="C140" s="1" t="s">
        <v>0</v>
      </c>
      <c r="D140" s="1">
        <v>182</v>
      </c>
      <c r="E140" s="1">
        <v>85</v>
      </c>
      <c r="F140" s="1">
        <v>59</v>
      </c>
      <c r="G140" s="1">
        <v>66</v>
      </c>
      <c r="H140" s="1" t="s">
        <v>8</v>
      </c>
      <c r="I140" s="1">
        <v>37</v>
      </c>
      <c r="J140" s="1" t="s">
        <v>11</v>
      </c>
      <c r="K140" s="1"/>
      <c r="L140" s="1">
        <f t="shared" si="2"/>
        <v>185</v>
      </c>
      <c r="M140" s="1"/>
      <c r="N140" s="1"/>
      <c r="O140" s="12" t="str">
        <f>IF($J140=Sheet2!$A$2, ROW(), "")</f>
        <v/>
      </c>
      <c r="Q140" s="23" t="s">
        <v>2121</v>
      </c>
    </row>
    <row r="141" spans="1:17" ht="14" customHeight="1" x14ac:dyDescent="0.3">
      <c r="A141" s="1" t="s">
        <v>70</v>
      </c>
      <c r="B141" s="1">
        <v>29</v>
      </c>
      <c r="C141" s="1" t="s">
        <v>0</v>
      </c>
      <c r="D141" s="1">
        <v>180</v>
      </c>
      <c r="E141" s="1">
        <v>83</v>
      </c>
      <c r="F141" s="1">
        <v>58</v>
      </c>
      <c r="G141" s="1">
        <v>65</v>
      </c>
      <c r="H141" s="1" t="s">
        <v>10</v>
      </c>
      <c r="I141" s="1">
        <v>22</v>
      </c>
      <c r="J141" s="1" t="s">
        <v>11</v>
      </c>
      <c r="K141" s="1"/>
      <c r="L141" s="1">
        <f t="shared" si="2"/>
        <v>110</v>
      </c>
      <c r="M141" s="1"/>
      <c r="N141" s="1"/>
      <c r="O141" s="12" t="str">
        <f>IF($J141=Sheet2!$A$2, ROW(), "")</f>
        <v/>
      </c>
      <c r="Q141" s="23" t="s">
        <v>2122</v>
      </c>
    </row>
    <row r="142" spans="1:17" ht="14" customHeight="1" x14ac:dyDescent="0.3">
      <c r="A142" s="1" t="s">
        <v>167</v>
      </c>
      <c r="B142" s="1">
        <v>31</v>
      </c>
      <c r="C142" s="1" t="s">
        <v>0</v>
      </c>
      <c r="D142" s="1">
        <v>183</v>
      </c>
      <c r="E142" s="1">
        <v>86</v>
      </c>
      <c r="F142" s="1">
        <v>60</v>
      </c>
      <c r="G142" s="1">
        <v>64</v>
      </c>
      <c r="H142" s="1" t="s">
        <v>5</v>
      </c>
      <c r="I142" s="1">
        <v>27</v>
      </c>
      <c r="J142" s="1" t="s">
        <v>11</v>
      </c>
      <c r="K142" s="1"/>
      <c r="L142" s="1">
        <f t="shared" si="2"/>
        <v>135</v>
      </c>
      <c r="M142" s="1"/>
      <c r="N142" s="1"/>
      <c r="O142" s="12" t="str">
        <f>IF($J142=Sheet2!$A$2, ROW(), "")</f>
        <v/>
      </c>
      <c r="Q142" s="23" t="s">
        <v>2123</v>
      </c>
    </row>
    <row r="143" spans="1:17" ht="14" customHeight="1" x14ac:dyDescent="0.3">
      <c r="A143" s="1" t="s">
        <v>168</v>
      </c>
      <c r="B143" s="1">
        <v>27</v>
      </c>
      <c r="C143" s="1" t="s">
        <v>0</v>
      </c>
      <c r="D143" s="1">
        <v>181</v>
      </c>
      <c r="E143" s="1">
        <v>84</v>
      </c>
      <c r="F143" s="1">
        <v>58</v>
      </c>
      <c r="G143" s="1">
        <v>66</v>
      </c>
      <c r="H143" s="1" t="s">
        <v>8</v>
      </c>
      <c r="I143" s="1">
        <v>37</v>
      </c>
      <c r="J143" s="1" t="s">
        <v>169</v>
      </c>
      <c r="K143" s="1"/>
      <c r="L143" s="1">
        <f t="shared" si="2"/>
        <v>185</v>
      </c>
      <c r="M143" s="1"/>
      <c r="N143" s="1"/>
      <c r="O143" s="12" t="str">
        <f>IF($J143=Sheet2!$A$2, ROW(), "")</f>
        <v/>
      </c>
      <c r="Q143" s="23" t="s">
        <v>2124</v>
      </c>
    </row>
    <row r="144" spans="1:17" ht="14" customHeight="1" x14ac:dyDescent="0.3">
      <c r="A144" s="1" t="s">
        <v>71</v>
      </c>
      <c r="B144" s="1">
        <v>30</v>
      </c>
      <c r="C144" s="1" t="s">
        <v>0</v>
      </c>
      <c r="D144" s="1">
        <v>178</v>
      </c>
      <c r="E144" s="1">
        <v>80</v>
      </c>
      <c r="F144" s="1">
        <v>60</v>
      </c>
      <c r="G144" s="1">
        <v>65</v>
      </c>
      <c r="H144" s="1" t="s">
        <v>15</v>
      </c>
      <c r="I144" s="1">
        <v>22</v>
      </c>
      <c r="J144" s="1" t="s">
        <v>169</v>
      </c>
      <c r="K144" s="1"/>
      <c r="L144" s="1">
        <f t="shared" si="2"/>
        <v>110</v>
      </c>
      <c r="M144" s="1"/>
      <c r="N144" s="1"/>
      <c r="O144" s="12" t="str">
        <f>IF($J144=Sheet2!$A$2, ROW(), "")</f>
        <v/>
      </c>
      <c r="Q144" s="23" t="s">
        <v>2125</v>
      </c>
    </row>
    <row r="145" spans="1:17" ht="14" customHeight="1" x14ac:dyDescent="0.3">
      <c r="A145" s="1" t="s">
        <v>72</v>
      </c>
      <c r="B145" s="1">
        <v>28</v>
      </c>
      <c r="C145" s="1" t="s">
        <v>0</v>
      </c>
      <c r="D145" s="1">
        <v>176</v>
      </c>
      <c r="E145" s="1">
        <v>78</v>
      </c>
      <c r="F145" s="1">
        <v>59</v>
      </c>
      <c r="G145" s="1">
        <v>66</v>
      </c>
      <c r="H145" s="1" t="s">
        <v>17</v>
      </c>
      <c r="I145" s="1">
        <v>37</v>
      </c>
      <c r="J145" s="1" t="s">
        <v>169</v>
      </c>
      <c r="K145" s="1"/>
      <c r="L145" s="1">
        <f t="shared" si="2"/>
        <v>185</v>
      </c>
      <c r="M145" s="1"/>
      <c r="N145" s="1"/>
      <c r="O145" s="12" t="str">
        <f>IF($J145=Sheet2!$A$2, ROW(), "")</f>
        <v/>
      </c>
      <c r="Q145" s="23" t="s">
        <v>2126</v>
      </c>
    </row>
    <row r="146" spans="1:17" ht="14" customHeight="1" x14ac:dyDescent="0.3">
      <c r="A146" s="1" t="s">
        <v>170</v>
      </c>
      <c r="B146" s="1">
        <v>29</v>
      </c>
      <c r="C146" s="1" t="s">
        <v>0</v>
      </c>
      <c r="D146" s="1">
        <v>175</v>
      </c>
      <c r="E146" s="1">
        <v>77</v>
      </c>
      <c r="F146" s="1">
        <v>60</v>
      </c>
      <c r="G146" s="1">
        <v>65</v>
      </c>
      <c r="H146" s="1" t="s">
        <v>19</v>
      </c>
      <c r="I146" s="1">
        <v>42</v>
      </c>
      <c r="J146" s="1" t="s">
        <v>169</v>
      </c>
      <c r="K146" s="1"/>
      <c r="L146" s="1">
        <f t="shared" si="2"/>
        <v>210</v>
      </c>
      <c r="M146" s="1"/>
      <c r="N146" s="1"/>
      <c r="O146" s="12" t="str">
        <f>IF($J146=Sheet2!$A$2, ROW(), "")</f>
        <v/>
      </c>
      <c r="Q146" s="23" t="s">
        <v>2127</v>
      </c>
    </row>
    <row r="147" spans="1:17" ht="14" customHeight="1" x14ac:dyDescent="0.3">
      <c r="A147" s="1" t="s">
        <v>171</v>
      </c>
      <c r="B147" s="1">
        <v>26</v>
      </c>
      <c r="C147" s="1" t="s">
        <v>0</v>
      </c>
      <c r="D147" s="1">
        <v>174</v>
      </c>
      <c r="E147" s="1">
        <v>75</v>
      </c>
      <c r="F147" s="1">
        <v>57</v>
      </c>
      <c r="G147" s="1">
        <v>66</v>
      </c>
      <c r="H147" s="1" t="s">
        <v>51</v>
      </c>
      <c r="I147" s="1">
        <v>27</v>
      </c>
      <c r="J147" s="1" t="s">
        <v>169</v>
      </c>
      <c r="K147" s="1"/>
      <c r="L147" s="1">
        <f t="shared" si="2"/>
        <v>135</v>
      </c>
      <c r="M147" s="1"/>
      <c r="N147" s="1"/>
      <c r="O147" s="12" t="str">
        <f>IF($J147=Sheet2!$A$2, ROW(), "")</f>
        <v/>
      </c>
      <c r="Q147" s="23" t="s">
        <v>2128</v>
      </c>
    </row>
    <row r="148" spans="1:17" ht="14" customHeight="1" x14ac:dyDescent="0.3">
      <c r="A148" s="1" t="s">
        <v>172</v>
      </c>
      <c r="B148" s="1">
        <v>32</v>
      </c>
      <c r="C148" s="1" t="s">
        <v>0</v>
      </c>
      <c r="D148" s="1">
        <v>180</v>
      </c>
      <c r="E148" s="1">
        <v>78</v>
      </c>
      <c r="F148" s="1">
        <v>59</v>
      </c>
      <c r="G148" s="1">
        <v>62</v>
      </c>
      <c r="H148" s="1" t="s">
        <v>1</v>
      </c>
      <c r="I148" s="1">
        <v>29</v>
      </c>
      <c r="J148" s="1" t="s">
        <v>1735</v>
      </c>
      <c r="K148" s="1"/>
      <c r="L148" s="1">
        <f t="shared" si="2"/>
        <v>145</v>
      </c>
      <c r="M148" s="1"/>
      <c r="N148" s="1"/>
      <c r="O148" s="12" t="str">
        <f>IF($J148=Sheet2!$A$2, ROW(), "")</f>
        <v/>
      </c>
      <c r="Q148" s="23" t="s">
        <v>2129</v>
      </c>
    </row>
    <row r="149" spans="1:17" ht="14" customHeight="1" x14ac:dyDescent="0.3">
      <c r="A149" s="1" t="s">
        <v>174</v>
      </c>
      <c r="B149" s="1">
        <v>30</v>
      </c>
      <c r="C149" s="1" t="s">
        <v>0</v>
      </c>
      <c r="D149" s="1">
        <v>178</v>
      </c>
      <c r="E149" s="1">
        <v>76</v>
      </c>
      <c r="F149" s="1">
        <v>58</v>
      </c>
      <c r="G149" s="1">
        <v>64</v>
      </c>
      <c r="H149" s="1" t="s">
        <v>1</v>
      </c>
      <c r="I149" s="1">
        <v>24</v>
      </c>
      <c r="J149" s="1" t="s">
        <v>1735</v>
      </c>
      <c r="K149" s="1"/>
      <c r="L149" s="1">
        <f t="shared" si="2"/>
        <v>120</v>
      </c>
      <c r="M149" s="1"/>
      <c r="N149" s="1"/>
      <c r="O149" s="12" t="str">
        <f>IF($J149=Sheet2!$A$2, ROW(), "")</f>
        <v/>
      </c>
      <c r="Q149" s="23" t="s">
        <v>2130</v>
      </c>
    </row>
    <row r="150" spans="1:17" ht="14" customHeight="1" x14ac:dyDescent="0.3">
      <c r="A150" s="1" t="s">
        <v>175</v>
      </c>
      <c r="B150" s="1">
        <v>31</v>
      </c>
      <c r="C150" s="1" t="s">
        <v>0</v>
      </c>
      <c r="D150" s="1">
        <v>183</v>
      </c>
      <c r="E150" s="1">
        <v>83</v>
      </c>
      <c r="F150" s="1">
        <v>59</v>
      </c>
      <c r="G150" s="1">
        <v>63</v>
      </c>
      <c r="H150" s="1" t="s">
        <v>5</v>
      </c>
      <c r="I150" s="1">
        <v>34</v>
      </c>
      <c r="J150" s="1" t="s">
        <v>1735</v>
      </c>
      <c r="K150" s="1"/>
      <c r="L150" s="1">
        <f t="shared" si="2"/>
        <v>170</v>
      </c>
      <c r="M150" s="1"/>
      <c r="N150" s="1"/>
      <c r="O150" s="12" t="str">
        <f>IF($J150=Sheet2!$A$2, ROW(), "")</f>
        <v/>
      </c>
      <c r="Q150" s="23" t="s">
        <v>2131</v>
      </c>
    </row>
    <row r="151" spans="1:17" ht="14" customHeight="1" x14ac:dyDescent="0.3">
      <c r="A151" s="1" t="s">
        <v>176</v>
      </c>
      <c r="B151" s="1">
        <v>33</v>
      </c>
      <c r="C151" s="1" t="s">
        <v>0</v>
      </c>
      <c r="D151" s="1">
        <v>181</v>
      </c>
      <c r="E151" s="1">
        <v>80</v>
      </c>
      <c r="F151" s="1">
        <v>60</v>
      </c>
      <c r="G151" s="1">
        <v>62</v>
      </c>
      <c r="H151" s="1" t="s">
        <v>5</v>
      </c>
      <c r="I151" s="1">
        <v>39</v>
      </c>
      <c r="J151" s="1" t="s">
        <v>1735</v>
      </c>
      <c r="K151" s="1"/>
      <c r="L151" s="1">
        <f t="shared" si="2"/>
        <v>195</v>
      </c>
      <c r="M151" s="1"/>
      <c r="N151" s="1"/>
      <c r="O151" s="12" t="str">
        <f>IF($J151=Sheet2!$A$2, ROW(), "")</f>
        <v/>
      </c>
      <c r="Q151" s="23" t="s">
        <v>2132</v>
      </c>
    </row>
    <row r="152" spans="1:17" ht="14" customHeight="1" x14ac:dyDescent="0.3">
      <c r="A152" s="1" t="s">
        <v>177</v>
      </c>
      <c r="B152" s="1">
        <v>29</v>
      </c>
      <c r="C152" s="1" t="s">
        <v>0</v>
      </c>
      <c r="D152" s="1">
        <v>179</v>
      </c>
      <c r="E152" s="1">
        <v>79</v>
      </c>
      <c r="F152" s="1">
        <v>57</v>
      </c>
      <c r="G152" s="1">
        <v>64</v>
      </c>
      <c r="H152" s="1" t="s">
        <v>8</v>
      </c>
      <c r="I152" s="1">
        <v>19</v>
      </c>
      <c r="J152" s="1" t="s">
        <v>1735</v>
      </c>
      <c r="K152" s="1"/>
      <c r="L152" s="1">
        <f t="shared" si="2"/>
        <v>95</v>
      </c>
      <c r="M152" s="1"/>
      <c r="N152" s="1"/>
      <c r="O152" s="12" t="str">
        <f>IF($J152=Sheet2!$A$2, ROW(), "")</f>
        <v/>
      </c>
      <c r="Q152" s="23" t="s">
        <v>2133</v>
      </c>
    </row>
    <row r="153" spans="1:17" ht="14" customHeight="1" x14ac:dyDescent="0.3">
      <c r="A153" s="1" t="s">
        <v>178</v>
      </c>
      <c r="B153" s="1">
        <v>28</v>
      </c>
      <c r="C153" s="1" t="s">
        <v>0</v>
      </c>
      <c r="D153" s="1">
        <v>176</v>
      </c>
      <c r="E153" s="1">
        <v>75</v>
      </c>
      <c r="F153" s="1">
        <v>57</v>
      </c>
      <c r="G153" s="1">
        <v>65</v>
      </c>
      <c r="H153" s="1" t="s">
        <v>10</v>
      </c>
      <c r="I153" s="1">
        <v>19</v>
      </c>
      <c r="J153" s="1" t="s">
        <v>1735</v>
      </c>
      <c r="K153" s="1"/>
      <c r="L153" s="1">
        <f t="shared" si="2"/>
        <v>95</v>
      </c>
      <c r="M153" s="1"/>
      <c r="N153" s="1"/>
      <c r="O153" s="12" t="str">
        <f>IF($J153=Sheet2!$A$2, ROW(), "")</f>
        <v/>
      </c>
      <c r="Q153" s="23" t="s">
        <v>2134</v>
      </c>
    </row>
    <row r="154" spans="1:17" ht="14" customHeight="1" x14ac:dyDescent="0.3">
      <c r="A154" s="1" t="s">
        <v>179</v>
      </c>
      <c r="B154" s="1">
        <v>32</v>
      </c>
      <c r="C154" s="1" t="s">
        <v>0</v>
      </c>
      <c r="D154" s="1">
        <v>182</v>
      </c>
      <c r="E154" s="1">
        <v>82</v>
      </c>
      <c r="F154" s="1">
        <v>59</v>
      </c>
      <c r="G154" s="1">
        <v>62</v>
      </c>
      <c r="H154" s="1" t="s">
        <v>5</v>
      </c>
      <c r="I154" s="1">
        <v>34</v>
      </c>
      <c r="J154" s="1" t="s">
        <v>1735</v>
      </c>
      <c r="K154" s="1"/>
      <c r="L154" s="1">
        <f t="shared" si="2"/>
        <v>170</v>
      </c>
      <c r="M154" s="1"/>
      <c r="N154" s="1"/>
      <c r="O154" s="12" t="str">
        <f>IF($J154=Sheet2!$A$2, ROW(), "")</f>
        <v/>
      </c>
      <c r="Q154" s="23" t="s">
        <v>2135</v>
      </c>
    </row>
    <row r="155" spans="1:17" ht="14" customHeight="1" x14ac:dyDescent="0.3">
      <c r="A155" s="1" t="s">
        <v>180</v>
      </c>
      <c r="B155" s="1">
        <v>27</v>
      </c>
      <c r="C155" s="1" t="s">
        <v>0</v>
      </c>
      <c r="D155" s="1">
        <v>177</v>
      </c>
      <c r="E155" s="1">
        <v>77</v>
      </c>
      <c r="F155" s="1">
        <v>56</v>
      </c>
      <c r="G155" s="1">
        <v>65</v>
      </c>
      <c r="H155" s="1" t="s">
        <v>8</v>
      </c>
      <c r="I155" s="1">
        <v>14</v>
      </c>
      <c r="J155" s="1" t="s">
        <v>1735</v>
      </c>
      <c r="K155" s="1"/>
      <c r="L155" s="1">
        <f t="shared" si="2"/>
        <v>70</v>
      </c>
      <c r="M155" s="1"/>
      <c r="N155" s="1"/>
      <c r="O155" s="12" t="str">
        <f>IF($J155=Sheet2!$A$2, ROW(), "")</f>
        <v/>
      </c>
      <c r="Q155" s="23" t="s">
        <v>2136</v>
      </c>
    </row>
    <row r="156" spans="1:17" ht="14" customHeight="1" x14ac:dyDescent="0.3">
      <c r="A156" s="1" t="s">
        <v>181</v>
      </c>
      <c r="B156" s="1">
        <v>31</v>
      </c>
      <c r="C156" s="1" t="s">
        <v>0</v>
      </c>
      <c r="D156" s="1">
        <v>175</v>
      </c>
      <c r="E156" s="1">
        <v>74</v>
      </c>
      <c r="F156" s="1">
        <v>59</v>
      </c>
      <c r="G156" s="1">
        <v>63</v>
      </c>
      <c r="H156" s="1" t="s">
        <v>15</v>
      </c>
      <c r="I156" s="1">
        <v>29</v>
      </c>
      <c r="J156" s="1" t="s">
        <v>1735</v>
      </c>
      <c r="K156" s="1"/>
      <c r="L156" s="1">
        <f t="shared" si="2"/>
        <v>145</v>
      </c>
      <c r="M156" s="1"/>
      <c r="N156" s="1"/>
      <c r="O156" s="12" t="str">
        <f>IF($J156=Sheet2!$A$2, ROW(), "")</f>
        <v/>
      </c>
      <c r="Q156" s="23" t="s">
        <v>2137</v>
      </c>
    </row>
    <row r="157" spans="1:17" ht="14" customHeight="1" x14ac:dyDescent="0.3">
      <c r="A157" s="1" t="s">
        <v>182</v>
      </c>
      <c r="B157" s="1">
        <v>30</v>
      </c>
      <c r="C157" s="1" t="s">
        <v>0</v>
      </c>
      <c r="D157" s="1">
        <v>174</v>
      </c>
      <c r="E157" s="1">
        <v>73</v>
      </c>
      <c r="F157" s="1">
        <v>58</v>
      </c>
      <c r="G157" s="1">
        <v>64</v>
      </c>
      <c r="H157" s="1" t="s">
        <v>17</v>
      </c>
      <c r="I157" s="1">
        <v>24</v>
      </c>
      <c r="J157" s="1" t="s">
        <v>1735</v>
      </c>
      <c r="K157" s="1"/>
      <c r="L157" s="1">
        <f t="shared" si="2"/>
        <v>120</v>
      </c>
      <c r="M157" s="1"/>
      <c r="N157" s="1"/>
      <c r="O157" s="12" t="str">
        <f>IF($J157=Sheet2!$A$2, ROW(), "")</f>
        <v/>
      </c>
      <c r="Q157" s="23" t="s">
        <v>2138</v>
      </c>
    </row>
    <row r="158" spans="1:17" ht="14" customHeight="1" x14ac:dyDescent="0.3">
      <c r="A158" s="1" t="s">
        <v>183</v>
      </c>
      <c r="B158" s="1">
        <v>29</v>
      </c>
      <c r="C158" s="1" t="s">
        <v>0</v>
      </c>
      <c r="D158" s="1">
        <v>173</v>
      </c>
      <c r="E158" s="1">
        <v>72</v>
      </c>
      <c r="F158" s="1">
        <v>58</v>
      </c>
      <c r="G158" s="1">
        <v>64</v>
      </c>
      <c r="H158" s="1" t="s">
        <v>19</v>
      </c>
      <c r="I158" s="1">
        <v>24</v>
      </c>
      <c r="J158" s="1" t="s">
        <v>1735</v>
      </c>
      <c r="K158" s="1"/>
      <c r="L158" s="1">
        <f t="shared" si="2"/>
        <v>120</v>
      </c>
      <c r="M158" s="1"/>
      <c r="N158" s="1"/>
      <c r="O158" s="12" t="str">
        <f>IF($J158=Sheet2!$A$2, ROW(), "")</f>
        <v/>
      </c>
      <c r="Q158" s="23" t="s">
        <v>2139</v>
      </c>
    </row>
    <row r="159" spans="1:17" ht="14" customHeight="1" x14ac:dyDescent="0.3">
      <c r="A159" s="1" t="s">
        <v>184</v>
      </c>
      <c r="B159" s="1">
        <v>28</v>
      </c>
      <c r="C159" s="1" t="s">
        <v>0</v>
      </c>
      <c r="D159" s="1">
        <v>172</v>
      </c>
      <c r="E159" s="1">
        <v>71</v>
      </c>
      <c r="F159" s="1">
        <v>57</v>
      </c>
      <c r="G159" s="1">
        <v>65</v>
      </c>
      <c r="H159" s="1" t="s">
        <v>51</v>
      </c>
      <c r="I159" s="1">
        <v>19</v>
      </c>
      <c r="J159" s="1" t="s">
        <v>1735</v>
      </c>
      <c r="K159" s="1"/>
      <c r="L159" s="1">
        <f t="shared" si="2"/>
        <v>95</v>
      </c>
      <c r="M159" s="1"/>
      <c r="N159" s="1"/>
      <c r="O159" s="12" t="str">
        <f>IF($J159=Sheet2!$A$2, ROW(), "")</f>
        <v/>
      </c>
      <c r="Q159" s="23" t="s">
        <v>2140</v>
      </c>
    </row>
    <row r="160" spans="1:17" ht="14" customHeight="1" x14ac:dyDescent="0.3">
      <c r="A160" s="1" t="s">
        <v>185</v>
      </c>
      <c r="B160" s="1">
        <v>32</v>
      </c>
      <c r="C160" s="1" t="s">
        <v>0</v>
      </c>
      <c r="D160" s="1">
        <v>174</v>
      </c>
      <c r="E160" s="1">
        <v>73</v>
      </c>
      <c r="F160" s="1">
        <v>59</v>
      </c>
      <c r="G160" s="1">
        <v>62</v>
      </c>
      <c r="H160" s="1" t="s">
        <v>15</v>
      </c>
      <c r="I160" s="1">
        <v>29</v>
      </c>
      <c r="J160" s="1" t="s">
        <v>1735</v>
      </c>
      <c r="K160" s="1"/>
      <c r="L160" s="1">
        <f t="shared" si="2"/>
        <v>145</v>
      </c>
      <c r="M160" s="1"/>
      <c r="N160" s="1"/>
      <c r="O160" s="12" t="str">
        <f>IF($J160=Sheet2!$A$2, ROW(), "")</f>
        <v/>
      </c>
      <c r="Q160" s="23" t="s">
        <v>2141</v>
      </c>
    </row>
    <row r="161" spans="1:17" ht="14" customHeight="1" x14ac:dyDescent="0.3">
      <c r="A161" s="1" t="s">
        <v>186</v>
      </c>
      <c r="B161" s="1">
        <v>30</v>
      </c>
      <c r="C161" s="1" t="s">
        <v>0</v>
      </c>
      <c r="D161" s="1">
        <v>173</v>
      </c>
      <c r="E161" s="1">
        <v>72</v>
      </c>
      <c r="F161" s="1">
        <v>58</v>
      </c>
      <c r="G161" s="1">
        <v>64</v>
      </c>
      <c r="H161" s="1" t="s">
        <v>19</v>
      </c>
      <c r="I161" s="1">
        <v>24</v>
      </c>
      <c r="J161" s="1" t="s">
        <v>1735</v>
      </c>
      <c r="K161" s="1"/>
      <c r="L161" s="1">
        <f t="shared" si="2"/>
        <v>120</v>
      </c>
      <c r="M161" s="1"/>
      <c r="N161" s="1"/>
      <c r="O161" s="12" t="str">
        <f>IF($J161=Sheet2!$A$2, ROW(), "")</f>
        <v/>
      </c>
      <c r="Q161" s="23" t="s">
        <v>2142</v>
      </c>
    </row>
    <row r="162" spans="1:17" ht="14" customHeight="1" x14ac:dyDescent="0.3">
      <c r="A162" s="1" t="s">
        <v>187</v>
      </c>
      <c r="B162" s="1">
        <v>31</v>
      </c>
      <c r="C162" s="1" t="s">
        <v>0</v>
      </c>
      <c r="D162" s="1">
        <v>176</v>
      </c>
      <c r="E162" s="1">
        <v>75</v>
      </c>
      <c r="F162" s="1">
        <v>59</v>
      </c>
      <c r="G162" s="1">
        <v>63</v>
      </c>
      <c r="H162" s="1" t="s">
        <v>34</v>
      </c>
      <c r="I162" s="1">
        <v>29</v>
      </c>
      <c r="J162" s="1" t="s">
        <v>1735</v>
      </c>
      <c r="K162" s="1"/>
      <c r="L162" s="1">
        <f t="shared" si="2"/>
        <v>145</v>
      </c>
      <c r="M162" s="1"/>
      <c r="N162" s="1"/>
      <c r="O162" s="12" t="str">
        <f>IF($J162=Sheet2!$A$2, ROW(), "")</f>
        <v/>
      </c>
      <c r="Q162" s="23" t="s">
        <v>2143</v>
      </c>
    </row>
    <row r="163" spans="1:17" ht="14" customHeight="1" x14ac:dyDescent="0.3">
      <c r="A163" s="1" t="s">
        <v>188</v>
      </c>
      <c r="B163" s="1">
        <v>29</v>
      </c>
      <c r="C163" s="1" t="s">
        <v>0</v>
      </c>
      <c r="D163" s="1">
        <v>177</v>
      </c>
      <c r="E163" s="1">
        <v>76</v>
      </c>
      <c r="F163" s="1">
        <v>58</v>
      </c>
      <c r="G163" s="1">
        <v>64</v>
      </c>
      <c r="H163" s="1" t="s">
        <v>21</v>
      </c>
      <c r="I163" s="1">
        <v>24</v>
      </c>
      <c r="J163" s="1" t="s">
        <v>1735</v>
      </c>
      <c r="K163" s="1"/>
      <c r="L163" s="1">
        <f t="shared" si="2"/>
        <v>120</v>
      </c>
      <c r="M163" s="1"/>
      <c r="N163" s="1"/>
      <c r="O163" s="12" t="str">
        <f>IF($J163=Sheet2!$A$2, ROW(), "")</f>
        <v/>
      </c>
      <c r="Q163" s="23" t="s">
        <v>2144</v>
      </c>
    </row>
    <row r="164" spans="1:17" ht="14" customHeight="1" x14ac:dyDescent="0.3">
      <c r="A164" s="1" t="s">
        <v>189</v>
      </c>
      <c r="B164" s="1">
        <v>30</v>
      </c>
      <c r="C164" s="1" t="s">
        <v>0</v>
      </c>
      <c r="D164" s="1">
        <v>179</v>
      </c>
      <c r="E164" s="1">
        <v>78</v>
      </c>
      <c r="F164" s="1">
        <v>59</v>
      </c>
      <c r="G164" s="1">
        <v>63</v>
      </c>
      <c r="H164" s="1" t="s">
        <v>23</v>
      </c>
      <c r="I164" s="1">
        <v>29</v>
      </c>
      <c r="J164" s="1" t="s">
        <v>1735</v>
      </c>
      <c r="K164" s="1"/>
      <c r="L164" s="1">
        <f t="shared" si="2"/>
        <v>145</v>
      </c>
      <c r="M164" s="1"/>
      <c r="N164" s="1"/>
      <c r="O164" s="12" t="str">
        <f>IF($J164=Sheet2!$A$2, ROW(), "")</f>
        <v/>
      </c>
      <c r="Q164" s="23" t="s">
        <v>2145</v>
      </c>
    </row>
    <row r="165" spans="1:17" ht="14" customHeight="1" x14ac:dyDescent="0.3">
      <c r="A165" s="1" t="s">
        <v>190</v>
      </c>
      <c r="B165" s="1">
        <v>28</v>
      </c>
      <c r="C165" s="1" t="s">
        <v>0</v>
      </c>
      <c r="D165" s="1">
        <v>178</v>
      </c>
      <c r="E165" s="1">
        <v>77</v>
      </c>
      <c r="F165" s="1">
        <v>57</v>
      </c>
      <c r="G165" s="1">
        <v>65</v>
      </c>
      <c r="H165" s="1" t="s">
        <v>23</v>
      </c>
      <c r="I165" s="1">
        <v>19</v>
      </c>
      <c r="J165" s="1" t="s">
        <v>1735</v>
      </c>
      <c r="K165" s="1"/>
      <c r="L165" s="1">
        <f t="shared" si="2"/>
        <v>95</v>
      </c>
      <c r="M165" s="1"/>
      <c r="N165" s="1"/>
      <c r="O165" s="12" t="str">
        <f>IF($J165=Sheet2!$A$2, ROW(), "")</f>
        <v/>
      </c>
      <c r="Q165" s="23" t="s">
        <v>2146</v>
      </c>
    </row>
    <row r="166" spans="1:17" ht="14" customHeight="1" x14ac:dyDescent="0.3">
      <c r="A166" s="1" t="s">
        <v>191</v>
      </c>
      <c r="B166" s="1">
        <v>31</v>
      </c>
      <c r="C166" s="1" t="s">
        <v>0</v>
      </c>
      <c r="D166" s="1">
        <v>176</v>
      </c>
      <c r="E166" s="1">
        <v>75</v>
      </c>
      <c r="F166" s="1">
        <v>59</v>
      </c>
      <c r="G166" s="1">
        <v>63</v>
      </c>
      <c r="H166" s="1" t="s">
        <v>40</v>
      </c>
      <c r="I166" s="1">
        <v>29</v>
      </c>
      <c r="J166" s="1" t="s">
        <v>1735</v>
      </c>
      <c r="K166" s="1"/>
      <c r="L166" s="1">
        <f t="shared" si="2"/>
        <v>145</v>
      </c>
      <c r="M166" s="1"/>
      <c r="N166" s="1"/>
      <c r="O166" s="12" t="str">
        <f>IF($J166=Sheet2!$A$2, ROW(), "")</f>
        <v/>
      </c>
      <c r="Q166" s="23" t="s">
        <v>2147</v>
      </c>
    </row>
    <row r="167" spans="1:17" ht="14" customHeight="1" x14ac:dyDescent="0.3">
      <c r="A167" s="1" t="s">
        <v>192</v>
      </c>
      <c r="B167" s="1">
        <v>29</v>
      </c>
      <c r="C167" s="1" t="s">
        <v>0</v>
      </c>
      <c r="D167" s="1">
        <v>175</v>
      </c>
      <c r="E167" s="1">
        <v>74</v>
      </c>
      <c r="F167" s="1">
        <v>58</v>
      </c>
      <c r="G167" s="1">
        <v>64</v>
      </c>
      <c r="H167" s="1" t="s">
        <v>34</v>
      </c>
      <c r="I167" s="1">
        <v>24</v>
      </c>
      <c r="J167" s="1" t="s">
        <v>1735</v>
      </c>
      <c r="K167" s="1"/>
      <c r="L167" s="1">
        <f t="shared" si="2"/>
        <v>120</v>
      </c>
      <c r="M167" s="1"/>
      <c r="N167" s="1"/>
      <c r="O167" s="12" t="str">
        <f>IF($J167=Sheet2!$A$2, ROW(), "")</f>
        <v/>
      </c>
      <c r="Q167" s="23" t="s">
        <v>2148</v>
      </c>
    </row>
    <row r="168" spans="1:17" ht="14" customHeight="1" x14ac:dyDescent="0.3">
      <c r="A168" s="1" t="s">
        <v>193</v>
      </c>
      <c r="B168" s="1">
        <v>30</v>
      </c>
      <c r="C168" s="1" t="s">
        <v>0</v>
      </c>
      <c r="D168" s="1">
        <v>174</v>
      </c>
      <c r="E168" s="1">
        <v>73</v>
      </c>
      <c r="F168" s="1">
        <v>58</v>
      </c>
      <c r="G168" s="1">
        <v>64</v>
      </c>
      <c r="H168" s="1" t="s">
        <v>21</v>
      </c>
      <c r="I168" s="1">
        <v>24</v>
      </c>
      <c r="J168" s="1" t="s">
        <v>1735</v>
      </c>
      <c r="K168" s="1"/>
      <c r="L168" s="1">
        <f t="shared" si="2"/>
        <v>120</v>
      </c>
      <c r="M168" s="1"/>
      <c r="N168" s="1"/>
      <c r="O168" s="12" t="str">
        <f>IF($J168=Sheet2!$A$2, ROW(), "")</f>
        <v/>
      </c>
      <c r="Q168" s="23" t="s">
        <v>2149</v>
      </c>
    </row>
    <row r="169" spans="1:17" ht="14" customHeight="1" x14ac:dyDescent="0.3">
      <c r="A169" s="1" t="s">
        <v>194</v>
      </c>
      <c r="B169" s="1">
        <v>32</v>
      </c>
      <c r="C169" s="1" t="s">
        <v>0</v>
      </c>
      <c r="D169" s="1">
        <v>173</v>
      </c>
      <c r="E169" s="1">
        <v>72</v>
      </c>
      <c r="F169" s="1">
        <v>59</v>
      </c>
      <c r="G169" s="1">
        <v>62</v>
      </c>
      <c r="H169" s="1" t="s">
        <v>19</v>
      </c>
      <c r="I169" s="1">
        <v>29</v>
      </c>
      <c r="J169" s="1" t="s">
        <v>1735</v>
      </c>
      <c r="K169" s="1"/>
      <c r="L169" s="1">
        <f t="shared" si="2"/>
        <v>145</v>
      </c>
      <c r="M169" s="1"/>
      <c r="N169" s="1"/>
      <c r="O169" s="12" t="str">
        <f>IF($J169=Sheet2!$A$2, ROW(), "")</f>
        <v/>
      </c>
      <c r="Q169" s="23" t="s">
        <v>2150</v>
      </c>
    </row>
    <row r="170" spans="1:17" ht="14" customHeight="1" x14ac:dyDescent="0.3">
      <c r="A170" s="1" t="s">
        <v>195</v>
      </c>
      <c r="B170" s="1">
        <v>29</v>
      </c>
      <c r="C170" s="1" t="s">
        <v>0</v>
      </c>
      <c r="D170" s="1">
        <v>172</v>
      </c>
      <c r="E170" s="1">
        <v>71</v>
      </c>
      <c r="F170" s="1">
        <v>57</v>
      </c>
      <c r="G170" s="1">
        <v>64</v>
      </c>
      <c r="H170" s="1" t="s">
        <v>15</v>
      </c>
      <c r="I170" s="1">
        <v>19</v>
      </c>
      <c r="J170" s="1" t="s">
        <v>1735</v>
      </c>
      <c r="K170" s="1"/>
      <c r="L170" s="1">
        <f t="shared" si="2"/>
        <v>95</v>
      </c>
      <c r="M170" s="1"/>
      <c r="N170" s="1"/>
      <c r="O170" s="12" t="str">
        <f>IF($J170=Sheet2!$A$2, ROW(), "")</f>
        <v/>
      </c>
      <c r="Q170" s="23" t="s">
        <v>2151</v>
      </c>
    </row>
    <row r="171" spans="1:17" ht="14" customHeight="1" x14ac:dyDescent="0.3">
      <c r="A171" s="1" t="s">
        <v>196</v>
      </c>
      <c r="B171" s="1">
        <v>28</v>
      </c>
      <c r="C171" s="1" t="s">
        <v>0</v>
      </c>
      <c r="D171" s="1">
        <v>175</v>
      </c>
      <c r="E171" s="1">
        <v>74</v>
      </c>
      <c r="F171" s="1">
        <v>57</v>
      </c>
      <c r="G171" s="1">
        <v>65</v>
      </c>
      <c r="H171" s="1" t="s">
        <v>10</v>
      </c>
      <c r="I171" s="1">
        <v>19</v>
      </c>
      <c r="J171" s="1" t="s">
        <v>1735</v>
      </c>
      <c r="K171" s="1"/>
      <c r="L171" s="1">
        <f t="shared" si="2"/>
        <v>95</v>
      </c>
      <c r="M171" s="1"/>
      <c r="N171" s="1"/>
      <c r="O171" s="12" t="str">
        <f>IF($J171=Sheet2!$A$2, ROW(), "")</f>
        <v/>
      </c>
      <c r="Q171" s="23" t="s">
        <v>2152</v>
      </c>
    </row>
    <row r="172" spans="1:17" ht="14" customHeight="1" x14ac:dyDescent="0.3">
      <c r="A172" s="1" t="s">
        <v>197</v>
      </c>
      <c r="B172" s="1">
        <v>31</v>
      </c>
      <c r="C172" s="1" t="s">
        <v>0</v>
      </c>
      <c r="D172" s="1">
        <v>177</v>
      </c>
      <c r="E172" s="1">
        <v>75</v>
      </c>
      <c r="F172" s="1">
        <v>59</v>
      </c>
      <c r="G172" s="1">
        <v>63</v>
      </c>
      <c r="H172" s="1" t="s">
        <v>1</v>
      </c>
      <c r="I172" s="1">
        <v>29</v>
      </c>
      <c r="J172" s="1" t="s">
        <v>1735</v>
      </c>
      <c r="K172" s="1"/>
      <c r="L172" s="1">
        <f t="shared" si="2"/>
        <v>145</v>
      </c>
      <c r="M172" s="1"/>
      <c r="N172" s="1"/>
      <c r="O172" s="12" t="str">
        <f>IF($J172=Sheet2!$A$2, ROW(), "")</f>
        <v/>
      </c>
      <c r="Q172" s="23" t="s">
        <v>2153</v>
      </c>
    </row>
    <row r="173" spans="1:17" ht="14" customHeight="1" x14ac:dyDescent="0.3">
      <c r="A173" s="1" t="s">
        <v>198</v>
      </c>
      <c r="B173" s="1">
        <v>32</v>
      </c>
      <c r="C173" s="1" t="s">
        <v>0</v>
      </c>
      <c r="D173" s="1">
        <v>187</v>
      </c>
      <c r="E173" s="1">
        <v>84</v>
      </c>
      <c r="F173" s="1">
        <v>62</v>
      </c>
      <c r="G173" s="1">
        <v>65</v>
      </c>
      <c r="H173" s="1" t="s">
        <v>1</v>
      </c>
      <c r="I173" s="1">
        <v>68</v>
      </c>
      <c r="J173" s="1" t="s">
        <v>83</v>
      </c>
      <c r="K173" s="1"/>
      <c r="L173" s="1">
        <f t="shared" si="2"/>
        <v>340</v>
      </c>
      <c r="M173" s="1"/>
      <c r="N173" s="1"/>
      <c r="O173" s="12" t="str">
        <f>IF($J173=Sheet2!$A$2, ROW(), "")</f>
        <v/>
      </c>
      <c r="Q173" s="23" t="s">
        <v>2154</v>
      </c>
    </row>
    <row r="174" spans="1:17" ht="14" customHeight="1" x14ac:dyDescent="0.3">
      <c r="A174" s="1" t="s">
        <v>199</v>
      </c>
      <c r="B174" s="1">
        <v>30</v>
      </c>
      <c r="C174" s="1" t="s">
        <v>0</v>
      </c>
      <c r="D174" s="1">
        <v>184</v>
      </c>
      <c r="E174" s="1">
        <v>82</v>
      </c>
      <c r="F174" s="1">
        <v>61</v>
      </c>
      <c r="G174" s="1">
        <v>66</v>
      </c>
      <c r="H174" s="1" t="s">
        <v>1</v>
      </c>
      <c r="I174" s="1">
        <v>58</v>
      </c>
      <c r="J174" s="1" t="s">
        <v>83</v>
      </c>
      <c r="K174" s="1"/>
      <c r="L174" s="1">
        <f t="shared" si="2"/>
        <v>290</v>
      </c>
      <c r="M174" s="1"/>
      <c r="N174" s="1"/>
      <c r="O174" s="12" t="str">
        <f>IF($J174=Sheet2!$A$2, ROW(), "")</f>
        <v/>
      </c>
      <c r="Q174" s="23" t="s">
        <v>2155</v>
      </c>
    </row>
    <row r="175" spans="1:17" ht="14" customHeight="1" x14ac:dyDescent="0.3">
      <c r="A175" s="1" t="s">
        <v>200</v>
      </c>
      <c r="B175" s="1">
        <v>28</v>
      </c>
      <c r="C175" s="1" t="s">
        <v>0</v>
      </c>
      <c r="D175" s="1">
        <v>183</v>
      </c>
      <c r="E175" s="1">
        <v>83</v>
      </c>
      <c r="F175" s="1">
        <v>59</v>
      </c>
      <c r="G175" s="1">
        <v>68</v>
      </c>
      <c r="H175" s="1" t="s">
        <v>10</v>
      </c>
      <c r="I175" s="1">
        <v>48</v>
      </c>
      <c r="J175" s="1" t="s">
        <v>83</v>
      </c>
      <c r="K175" s="1"/>
      <c r="L175" s="1">
        <f t="shared" si="2"/>
        <v>240</v>
      </c>
      <c r="M175" s="1"/>
      <c r="N175" s="1"/>
      <c r="O175" s="12" t="str">
        <f>IF($J175=Sheet2!$A$2, ROW(), "")</f>
        <v/>
      </c>
      <c r="Q175" s="23" t="s">
        <v>2156</v>
      </c>
    </row>
    <row r="176" spans="1:17" ht="14" customHeight="1" x14ac:dyDescent="0.3">
      <c r="A176" s="1" t="s">
        <v>201</v>
      </c>
      <c r="B176" s="1">
        <v>31</v>
      </c>
      <c r="C176" s="1" t="s">
        <v>0</v>
      </c>
      <c r="D176" s="1">
        <v>188</v>
      </c>
      <c r="E176" s="1">
        <v>87</v>
      </c>
      <c r="F176" s="1">
        <v>62</v>
      </c>
      <c r="G176" s="1">
        <v>65</v>
      </c>
      <c r="H176" s="1" t="s">
        <v>5</v>
      </c>
      <c r="I176" s="1">
        <v>68</v>
      </c>
      <c r="J176" s="1" t="s">
        <v>83</v>
      </c>
      <c r="K176" s="1"/>
      <c r="L176" s="1">
        <f t="shared" si="2"/>
        <v>340</v>
      </c>
      <c r="M176" s="1"/>
      <c r="N176" s="1"/>
      <c r="O176" s="12" t="str">
        <f>IF($J176=Sheet2!$A$2, ROW(), "")</f>
        <v/>
      </c>
      <c r="Q176" s="23" t="s">
        <v>2157</v>
      </c>
    </row>
    <row r="177" spans="1:17" ht="14" customHeight="1" x14ac:dyDescent="0.3">
      <c r="A177" s="1" t="s">
        <v>202</v>
      </c>
      <c r="B177" s="1">
        <v>29</v>
      </c>
      <c r="C177" s="1" t="s">
        <v>0</v>
      </c>
      <c r="D177" s="1">
        <v>180</v>
      </c>
      <c r="E177" s="1">
        <v>78</v>
      </c>
      <c r="F177" s="1">
        <v>60</v>
      </c>
      <c r="G177" s="1">
        <v>67</v>
      </c>
      <c r="H177" s="1" t="s">
        <v>203</v>
      </c>
      <c r="I177" s="1">
        <v>53</v>
      </c>
      <c r="J177" s="1" t="s">
        <v>169</v>
      </c>
      <c r="K177" s="1"/>
      <c r="L177" s="1">
        <f t="shared" si="2"/>
        <v>265</v>
      </c>
      <c r="M177" s="1"/>
      <c r="N177" s="1"/>
      <c r="O177" s="12" t="str">
        <f>IF($J177=Sheet2!$A$2, ROW(), "")</f>
        <v/>
      </c>
      <c r="Q177" s="23" t="s">
        <v>2158</v>
      </c>
    </row>
    <row r="178" spans="1:17" ht="14" customHeight="1" x14ac:dyDescent="0.3">
      <c r="A178" s="1" t="s">
        <v>204</v>
      </c>
      <c r="B178" s="1">
        <v>31</v>
      </c>
      <c r="C178" s="1" t="s">
        <v>0</v>
      </c>
      <c r="D178" s="1">
        <v>182</v>
      </c>
      <c r="E178" s="1">
        <v>80</v>
      </c>
      <c r="F178" s="1">
        <v>62</v>
      </c>
      <c r="G178" s="1">
        <v>65</v>
      </c>
      <c r="H178" s="1" t="s">
        <v>21</v>
      </c>
      <c r="I178" s="1">
        <v>63</v>
      </c>
      <c r="J178" s="1" t="s">
        <v>169</v>
      </c>
      <c r="K178" s="1"/>
      <c r="L178" s="1">
        <f t="shared" si="2"/>
        <v>315</v>
      </c>
      <c r="M178" s="1"/>
      <c r="N178" s="1"/>
      <c r="O178" s="12" t="str">
        <f>IF($J178=Sheet2!$A$2, ROW(), "")</f>
        <v/>
      </c>
      <c r="Q178" s="23" t="s">
        <v>2159</v>
      </c>
    </row>
    <row r="179" spans="1:17" ht="14" customHeight="1" x14ac:dyDescent="0.3">
      <c r="A179" s="1" t="s">
        <v>205</v>
      </c>
      <c r="B179" s="1">
        <v>29</v>
      </c>
      <c r="C179" s="1" t="s">
        <v>0</v>
      </c>
      <c r="D179" s="1">
        <v>181</v>
      </c>
      <c r="E179" s="1">
        <v>79</v>
      </c>
      <c r="F179" s="1">
        <v>60</v>
      </c>
      <c r="G179" s="1">
        <v>67</v>
      </c>
      <c r="H179" s="1" t="s">
        <v>34</v>
      </c>
      <c r="I179" s="1">
        <v>23</v>
      </c>
      <c r="J179" s="1" t="s">
        <v>11</v>
      </c>
      <c r="K179" s="1"/>
      <c r="L179" s="1">
        <f t="shared" si="2"/>
        <v>115</v>
      </c>
      <c r="M179" s="1"/>
      <c r="N179" s="1"/>
      <c r="O179" s="12" t="str">
        <f>IF($J179=Sheet2!$A$2, ROW(), "")</f>
        <v/>
      </c>
      <c r="Q179" s="23" t="s">
        <v>2160</v>
      </c>
    </row>
    <row r="180" spans="1:17" ht="14" customHeight="1" x14ac:dyDescent="0.3">
      <c r="A180" s="1" t="s">
        <v>206</v>
      </c>
      <c r="B180" s="1">
        <v>30</v>
      </c>
      <c r="C180" s="1" t="s">
        <v>0</v>
      </c>
      <c r="D180" s="1">
        <v>178</v>
      </c>
      <c r="E180" s="1">
        <v>76</v>
      </c>
      <c r="F180" s="1">
        <v>61</v>
      </c>
      <c r="G180" s="1">
        <v>66</v>
      </c>
      <c r="H180" s="1" t="s">
        <v>19</v>
      </c>
      <c r="I180" s="1">
        <v>58</v>
      </c>
      <c r="J180" s="1" t="s">
        <v>207</v>
      </c>
      <c r="K180" s="1">
        <v>2</v>
      </c>
      <c r="L180" s="1">
        <f t="shared" si="2"/>
        <v>290</v>
      </c>
      <c r="M180" s="1"/>
      <c r="N180" s="1"/>
      <c r="O180" s="12" t="str">
        <f>IF($J180=Sheet2!$A$2, ROW(), "")</f>
        <v/>
      </c>
      <c r="Q180" s="23" t="s">
        <v>2161</v>
      </c>
    </row>
    <row r="181" spans="1:17" ht="14" customHeight="1" x14ac:dyDescent="0.3">
      <c r="A181" s="1" t="s">
        <v>208</v>
      </c>
      <c r="B181" s="1">
        <v>22</v>
      </c>
      <c r="C181" s="1" t="s">
        <v>0</v>
      </c>
      <c r="D181" s="1">
        <v>186</v>
      </c>
      <c r="E181" s="1">
        <v>80</v>
      </c>
      <c r="F181" s="1">
        <v>53</v>
      </c>
      <c r="G181" s="1">
        <v>69</v>
      </c>
      <c r="H181" s="1" t="s">
        <v>1</v>
      </c>
      <c r="I181" s="1">
        <v>24</v>
      </c>
      <c r="J181" s="1" t="s">
        <v>1762</v>
      </c>
      <c r="K181" s="1"/>
      <c r="L181" s="1">
        <f t="shared" si="2"/>
        <v>120</v>
      </c>
      <c r="M181" s="1"/>
      <c r="N181" s="1"/>
      <c r="O181" s="12" t="str">
        <f>IF($J181=Sheet2!$A$2, ROW(), "")</f>
        <v/>
      </c>
      <c r="Q181" s="23" t="s">
        <v>2162</v>
      </c>
    </row>
    <row r="182" spans="1:17" ht="14" customHeight="1" x14ac:dyDescent="0.3">
      <c r="A182" s="1" t="s">
        <v>209</v>
      </c>
      <c r="B182" s="1">
        <v>22</v>
      </c>
      <c r="C182" s="1" t="s">
        <v>0</v>
      </c>
      <c r="D182" s="1">
        <v>184</v>
      </c>
      <c r="E182" s="1">
        <v>81</v>
      </c>
      <c r="F182" s="1">
        <v>52</v>
      </c>
      <c r="G182" s="1">
        <v>69</v>
      </c>
      <c r="H182" s="1" t="s">
        <v>10</v>
      </c>
      <c r="I182" s="1">
        <v>23</v>
      </c>
      <c r="J182" s="1" t="s">
        <v>1762</v>
      </c>
      <c r="K182" s="1"/>
      <c r="L182" s="1">
        <f t="shared" si="2"/>
        <v>115</v>
      </c>
      <c r="M182" s="1"/>
      <c r="N182" s="1"/>
      <c r="O182" s="12" t="str">
        <f>IF($J182=Sheet2!$A$2, ROW(), "")</f>
        <v/>
      </c>
      <c r="Q182" s="23" t="s">
        <v>2163</v>
      </c>
    </row>
    <row r="183" spans="1:17" ht="14" customHeight="1" x14ac:dyDescent="0.3">
      <c r="A183" s="1" t="s">
        <v>210</v>
      </c>
      <c r="B183" s="1">
        <v>23</v>
      </c>
      <c r="C183" s="1" t="s">
        <v>0</v>
      </c>
      <c r="D183" s="1">
        <v>185</v>
      </c>
      <c r="E183" s="1">
        <v>83</v>
      </c>
      <c r="F183" s="1">
        <v>53</v>
      </c>
      <c r="G183" s="1">
        <v>68</v>
      </c>
      <c r="H183" s="1" t="s">
        <v>8</v>
      </c>
      <c r="I183" s="1">
        <v>26</v>
      </c>
      <c r="J183" s="1" t="s">
        <v>1762</v>
      </c>
      <c r="K183" s="1"/>
      <c r="L183" s="1">
        <f t="shared" si="2"/>
        <v>130</v>
      </c>
      <c r="M183" s="1"/>
      <c r="N183" s="1"/>
      <c r="O183" s="12" t="str">
        <f>IF($J183=Sheet2!$A$2, ROW(), "")</f>
        <v/>
      </c>
      <c r="Q183" s="23" t="s">
        <v>2164</v>
      </c>
    </row>
    <row r="184" spans="1:17" ht="14" customHeight="1" x14ac:dyDescent="0.3">
      <c r="A184" s="1" t="s">
        <v>211</v>
      </c>
      <c r="B184" s="1">
        <v>23</v>
      </c>
      <c r="C184" s="1" t="s">
        <v>0</v>
      </c>
      <c r="D184" s="1">
        <v>178</v>
      </c>
      <c r="E184" s="1">
        <v>76</v>
      </c>
      <c r="F184" s="1">
        <v>53</v>
      </c>
      <c r="G184" s="1">
        <v>68</v>
      </c>
      <c r="H184" s="1" t="s">
        <v>19</v>
      </c>
      <c r="I184" s="1">
        <v>26</v>
      </c>
      <c r="J184" s="1" t="s">
        <v>1762</v>
      </c>
      <c r="K184" s="1"/>
      <c r="L184" s="1">
        <f t="shared" si="2"/>
        <v>130</v>
      </c>
      <c r="M184" s="1"/>
      <c r="N184" s="1"/>
      <c r="O184" s="12" t="str">
        <f>IF($J184=Sheet2!$A$2, ROW(), "")</f>
        <v/>
      </c>
      <c r="Q184" s="23" t="s">
        <v>2165</v>
      </c>
    </row>
    <row r="185" spans="1:17" ht="14" customHeight="1" x14ac:dyDescent="0.3">
      <c r="A185" s="1" t="s">
        <v>212</v>
      </c>
      <c r="B185" s="1">
        <v>22</v>
      </c>
      <c r="C185" s="1" t="s">
        <v>0</v>
      </c>
      <c r="D185" s="1">
        <v>177</v>
      </c>
      <c r="E185" s="1">
        <v>75</v>
      </c>
      <c r="F185" s="1">
        <v>52</v>
      </c>
      <c r="G185" s="1">
        <v>69</v>
      </c>
      <c r="H185" s="1" t="s">
        <v>51</v>
      </c>
      <c r="I185" s="1">
        <v>24</v>
      </c>
      <c r="J185" s="1" t="s">
        <v>1762</v>
      </c>
      <c r="K185" s="1"/>
      <c r="L185" s="1">
        <f t="shared" si="2"/>
        <v>120</v>
      </c>
      <c r="M185" s="1"/>
      <c r="N185" s="1"/>
      <c r="O185" s="12" t="str">
        <f>IF($J185=Sheet2!$A$2, ROW(), "")</f>
        <v/>
      </c>
      <c r="Q185" s="23" t="s">
        <v>2166</v>
      </c>
    </row>
    <row r="186" spans="1:17" ht="14" customHeight="1" x14ac:dyDescent="0.3">
      <c r="A186" s="1" t="s">
        <v>213</v>
      </c>
      <c r="B186" s="1">
        <v>24</v>
      </c>
      <c r="C186" s="1" t="s">
        <v>0</v>
      </c>
      <c r="D186" s="1">
        <v>179</v>
      </c>
      <c r="E186" s="1">
        <v>77</v>
      </c>
      <c r="F186" s="1">
        <v>54</v>
      </c>
      <c r="G186" s="1">
        <v>67</v>
      </c>
      <c r="H186" s="1" t="s">
        <v>15</v>
      </c>
      <c r="I186" s="1">
        <v>27</v>
      </c>
      <c r="J186" s="1" t="s">
        <v>1762</v>
      </c>
      <c r="K186" s="1"/>
      <c r="L186" s="1">
        <f t="shared" si="2"/>
        <v>135</v>
      </c>
      <c r="M186" s="1"/>
      <c r="N186" s="1"/>
      <c r="O186" s="12" t="str">
        <f>IF($J186=Sheet2!$A$2, ROW(), "")</f>
        <v/>
      </c>
      <c r="Q186" s="23" t="s">
        <v>2167</v>
      </c>
    </row>
    <row r="187" spans="1:17" ht="14" customHeight="1" x14ac:dyDescent="0.3">
      <c r="A187" s="1" t="s">
        <v>214</v>
      </c>
      <c r="B187" s="1">
        <v>23</v>
      </c>
      <c r="C187" s="1" t="s">
        <v>0</v>
      </c>
      <c r="D187" s="1">
        <v>180</v>
      </c>
      <c r="E187" s="1">
        <v>79</v>
      </c>
      <c r="F187" s="1">
        <v>53</v>
      </c>
      <c r="G187" s="1">
        <v>68</v>
      </c>
      <c r="H187" s="1" t="s">
        <v>34</v>
      </c>
      <c r="I187" s="1">
        <v>26</v>
      </c>
      <c r="J187" s="1" t="s">
        <v>1762</v>
      </c>
      <c r="K187" s="1"/>
      <c r="L187" s="1">
        <f t="shared" si="2"/>
        <v>130</v>
      </c>
      <c r="M187" s="1"/>
      <c r="N187" s="1"/>
      <c r="O187" s="12" t="str">
        <f>IF($J187=Sheet2!$A$2, ROW(), "")</f>
        <v/>
      </c>
      <c r="Q187" s="23" t="s">
        <v>2168</v>
      </c>
    </row>
    <row r="188" spans="1:17" ht="14" customHeight="1" x14ac:dyDescent="0.3">
      <c r="A188" s="1" t="s">
        <v>215</v>
      </c>
      <c r="B188" s="1">
        <v>23</v>
      </c>
      <c r="C188" s="1" t="s">
        <v>0</v>
      </c>
      <c r="D188" s="1">
        <v>182</v>
      </c>
      <c r="E188" s="1">
        <v>81</v>
      </c>
      <c r="F188" s="1">
        <v>53</v>
      </c>
      <c r="G188" s="1">
        <v>68</v>
      </c>
      <c r="H188" s="1" t="s">
        <v>23</v>
      </c>
      <c r="I188" s="1">
        <v>26</v>
      </c>
      <c r="J188" s="1" t="s">
        <v>1762</v>
      </c>
      <c r="K188" s="1"/>
      <c r="L188" s="1">
        <f t="shared" si="2"/>
        <v>130</v>
      </c>
      <c r="M188" s="1"/>
      <c r="N188" s="1"/>
      <c r="O188" s="12" t="str">
        <f>IF($J188=Sheet2!$A$2, ROW(), "")</f>
        <v/>
      </c>
      <c r="Q188" s="23" t="s">
        <v>2169</v>
      </c>
    </row>
    <row r="189" spans="1:17" ht="14" customHeight="1" x14ac:dyDescent="0.3">
      <c r="A189" s="1" t="s">
        <v>216</v>
      </c>
      <c r="B189" s="1">
        <v>22</v>
      </c>
      <c r="C189" s="1" t="s">
        <v>0</v>
      </c>
      <c r="D189" s="1">
        <v>179</v>
      </c>
      <c r="E189" s="1">
        <v>78</v>
      </c>
      <c r="F189" s="1">
        <v>52</v>
      </c>
      <c r="G189" s="1">
        <v>69</v>
      </c>
      <c r="H189" s="1" t="s">
        <v>34</v>
      </c>
      <c r="I189" s="1">
        <v>24</v>
      </c>
      <c r="J189" s="1" t="s">
        <v>169</v>
      </c>
      <c r="K189" s="1"/>
      <c r="L189" s="1">
        <f t="shared" si="2"/>
        <v>120</v>
      </c>
      <c r="M189" s="1"/>
      <c r="N189" s="1"/>
      <c r="O189" s="12" t="str">
        <f>IF($J189=Sheet2!$A$2, ROW(), "")</f>
        <v/>
      </c>
      <c r="Q189" s="23" t="s">
        <v>2170</v>
      </c>
    </row>
    <row r="190" spans="1:17" ht="14" customHeight="1" x14ac:dyDescent="0.3">
      <c r="A190" s="1" t="s">
        <v>217</v>
      </c>
      <c r="B190" s="1">
        <v>23</v>
      </c>
      <c r="C190" s="1" t="s">
        <v>0</v>
      </c>
      <c r="D190" s="1">
        <v>178</v>
      </c>
      <c r="E190" s="1">
        <v>77</v>
      </c>
      <c r="F190" s="1">
        <v>53</v>
      </c>
      <c r="G190" s="1">
        <v>68</v>
      </c>
      <c r="H190" s="1" t="s">
        <v>21</v>
      </c>
      <c r="I190" s="1">
        <v>26</v>
      </c>
      <c r="J190" s="1" t="s">
        <v>1762</v>
      </c>
      <c r="K190" s="1"/>
      <c r="L190" s="1">
        <f t="shared" si="2"/>
        <v>130</v>
      </c>
      <c r="M190" s="1"/>
      <c r="N190" s="1"/>
      <c r="O190" s="12" t="str">
        <f>IF($J190=Sheet2!$A$2, ROW(), "")</f>
        <v/>
      </c>
      <c r="Q190" s="23" t="s">
        <v>2171</v>
      </c>
    </row>
    <row r="191" spans="1:17" ht="14" customHeight="1" x14ac:dyDescent="0.3">
      <c r="A191" s="1" t="s">
        <v>218</v>
      </c>
      <c r="B191" s="1">
        <v>24</v>
      </c>
      <c r="C191" s="1" t="s">
        <v>0</v>
      </c>
      <c r="D191" s="1">
        <v>174</v>
      </c>
      <c r="E191" s="1">
        <v>73</v>
      </c>
      <c r="F191" s="1">
        <v>54</v>
      </c>
      <c r="G191" s="1">
        <v>67</v>
      </c>
      <c r="H191" s="1" t="s">
        <v>15</v>
      </c>
      <c r="I191" s="1">
        <v>27</v>
      </c>
      <c r="J191" s="1" t="s">
        <v>1762</v>
      </c>
      <c r="K191" s="1"/>
      <c r="L191" s="1">
        <f t="shared" si="2"/>
        <v>135</v>
      </c>
      <c r="M191" s="1"/>
      <c r="N191" s="1"/>
      <c r="O191" s="12" t="str">
        <f>IF($J191=Sheet2!$A$2, ROW(), "")</f>
        <v/>
      </c>
      <c r="Q191" s="23" t="s">
        <v>2172</v>
      </c>
    </row>
    <row r="192" spans="1:17" ht="14" customHeight="1" x14ac:dyDescent="0.3">
      <c r="A192" s="1" t="s">
        <v>219</v>
      </c>
      <c r="B192" s="1">
        <v>22</v>
      </c>
      <c r="C192" s="1" t="s">
        <v>0</v>
      </c>
      <c r="D192" s="1">
        <v>175</v>
      </c>
      <c r="E192" s="1">
        <v>74</v>
      </c>
      <c r="F192" s="1">
        <v>52</v>
      </c>
      <c r="G192" s="1">
        <v>69</v>
      </c>
      <c r="H192" s="1" t="s">
        <v>10</v>
      </c>
      <c r="I192" s="1">
        <v>24</v>
      </c>
      <c r="J192" s="1" t="s">
        <v>11</v>
      </c>
      <c r="K192" s="1"/>
      <c r="L192" s="1">
        <f t="shared" si="2"/>
        <v>120</v>
      </c>
      <c r="M192" s="1"/>
      <c r="N192" s="1"/>
      <c r="O192" s="12" t="str">
        <f>IF($J192=Sheet2!$A$2, ROW(), "")</f>
        <v/>
      </c>
      <c r="Q192" s="23" t="s">
        <v>2173</v>
      </c>
    </row>
    <row r="193" spans="1:17" ht="14" customHeight="1" x14ac:dyDescent="0.3">
      <c r="A193" s="1" t="s">
        <v>220</v>
      </c>
      <c r="B193" s="1">
        <v>26</v>
      </c>
      <c r="C193" s="1" t="s">
        <v>0</v>
      </c>
      <c r="D193" s="1">
        <v>177</v>
      </c>
      <c r="E193" s="1">
        <v>76</v>
      </c>
      <c r="F193" s="1">
        <v>56</v>
      </c>
      <c r="G193" s="1">
        <v>65</v>
      </c>
      <c r="H193" s="1" t="s">
        <v>1</v>
      </c>
      <c r="I193" s="1">
        <v>29</v>
      </c>
      <c r="J193" s="1" t="s">
        <v>1762</v>
      </c>
      <c r="K193" s="1"/>
      <c r="L193" s="1">
        <f t="shared" si="2"/>
        <v>145</v>
      </c>
      <c r="M193" s="1"/>
      <c r="N193" s="1"/>
      <c r="O193" s="12" t="str">
        <f>IF($J193=Sheet2!$A$2, ROW(), "")</f>
        <v/>
      </c>
      <c r="Q193" s="23" t="s">
        <v>2174</v>
      </c>
    </row>
    <row r="194" spans="1:17" ht="14" customHeight="1" x14ac:dyDescent="0.3">
      <c r="A194" s="1" t="s">
        <v>221</v>
      </c>
      <c r="B194" s="1">
        <v>31</v>
      </c>
      <c r="C194" s="1" t="s">
        <v>222</v>
      </c>
      <c r="D194" s="1">
        <v>176</v>
      </c>
      <c r="E194" s="1">
        <v>75</v>
      </c>
      <c r="F194" s="1">
        <v>103</v>
      </c>
      <c r="G194" s="1">
        <v>110</v>
      </c>
      <c r="H194" s="1" t="s">
        <v>223</v>
      </c>
      <c r="I194" s="1">
        <v>45</v>
      </c>
      <c r="J194" s="1" t="s">
        <v>11</v>
      </c>
      <c r="K194" s="1"/>
      <c r="L194" s="1">
        <f t="shared" ref="L194:L257" si="3">I194*5</f>
        <v>225</v>
      </c>
      <c r="M194" s="1"/>
      <c r="N194" s="1"/>
      <c r="O194" s="12" t="str">
        <f>IF($J194=Sheet2!$A$2, ROW(), "")</f>
        <v/>
      </c>
      <c r="Q194" s="23" t="s">
        <v>2175</v>
      </c>
    </row>
    <row r="195" spans="1:17" ht="14" customHeight="1" x14ac:dyDescent="0.3">
      <c r="A195" s="1" t="s">
        <v>224</v>
      </c>
      <c r="B195" s="1">
        <v>31</v>
      </c>
      <c r="C195" s="1" t="s">
        <v>222</v>
      </c>
      <c r="D195" s="1">
        <v>180</v>
      </c>
      <c r="E195" s="1">
        <v>76</v>
      </c>
      <c r="F195" s="1">
        <v>106</v>
      </c>
      <c r="G195" s="1">
        <v>120</v>
      </c>
      <c r="H195" s="1" t="s">
        <v>15</v>
      </c>
      <c r="I195" s="1">
        <v>45</v>
      </c>
      <c r="J195" s="1" t="s">
        <v>1735</v>
      </c>
      <c r="K195" s="1">
        <v>4</v>
      </c>
      <c r="L195" s="1">
        <f t="shared" si="3"/>
        <v>225</v>
      </c>
      <c r="M195" s="1"/>
      <c r="N195" s="1"/>
      <c r="O195" s="12" t="str">
        <f>IF($J195=Sheet2!$A$2, ROW(), "")</f>
        <v/>
      </c>
      <c r="Q195" s="23" t="s">
        <v>2176</v>
      </c>
    </row>
    <row r="196" spans="1:17" ht="14" customHeight="1" x14ac:dyDescent="0.3">
      <c r="A196" s="1" t="s">
        <v>226</v>
      </c>
      <c r="B196" s="1">
        <v>31</v>
      </c>
      <c r="C196" s="1" t="s">
        <v>227</v>
      </c>
      <c r="D196" s="1">
        <v>181</v>
      </c>
      <c r="E196" s="1">
        <v>76</v>
      </c>
      <c r="F196" s="1">
        <v>86</v>
      </c>
      <c r="G196" s="1">
        <v>94</v>
      </c>
      <c r="H196" s="1" t="s">
        <v>228</v>
      </c>
      <c r="I196" s="1">
        <v>25</v>
      </c>
      <c r="J196" s="1" t="s">
        <v>11</v>
      </c>
      <c r="K196" s="1"/>
      <c r="L196" s="1">
        <f t="shared" si="3"/>
        <v>125</v>
      </c>
      <c r="M196" s="1"/>
      <c r="N196" s="1"/>
      <c r="O196" s="12" t="str">
        <f>IF($J196=Sheet2!$A$2, ROW(), "")</f>
        <v/>
      </c>
      <c r="Q196" s="23" t="s">
        <v>2177</v>
      </c>
    </row>
    <row r="197" spans="1:17" ht="14" customHeight="1" x14ac:dyDescent="0.3">
      <c r="A197" s="1" t="s">
        <v>229</v>
      </c>
      <c r="B197" s="1">
        <v>34</v>
      </c>
      <c r="C197" s="1" t="s">
        <v>230</v>
      </c>
      <c r="D197" s="1">
        <v>186</v>
      </c>
      <c r="E197" s="1">
        <v>85</v>
      </c>
      <c r="F197" s="1">
        <v>95</v>
      </c>
      <c r="G197" s="1">
        <v>100</v>
      </c>
      <c r="H197" s="1" t="s">
        <v>23</v>
      </c>
      <c r="I197" s="1">
        <v>35</v>
      </c>
      <c r="J197" s="1" t="s">
        <v>11</v>
      </c>
      <c r="K197" s="1"/>
      <c r="L197" s="1">
        <f t="shared" si="3"/>
        <v>175</v>
      </c>
      <c r="M197" s="1"/>
      <c r="N197" s="1"/>
      <c r="O197" s="12" t="str">
        <f>IF($J197=Sheet2!$A$2, ROW(), "")</f>
        <v/>
      </c>
      <c r="Q197" s="23" t="s">
        <v>2178</v>
      </c>
    </row>
    <row r="198" spans="1:17" ht="14" customHeight="1" x14ac:dyDescent="0.3">
      <c r="A198" s="1" t="s">
        <v>231</v>
      </c>
      <c r="B198" s="1">
        <v>30</v>
      </c>
      <c r="C198" s="1" t="s">
        <v>232</v>
      </c>
      <c r="D198" s="1">
        <v>182</v>
      </c>
      <c r="E198" s="1">
        <v>76</v>
      </c>
      <c r="F198" s="1">
        <v>72</v>
      </c>
      <c r="G198" s="1">
        <v>74</v>
      </c>
      <c r="H198" s="1" t="s">
        <v>5</v>
      </c>
      <c r="I198" s="1">
        <v>18</v>
      </c>
      <c r="J198" s="1" t="s">
        <v>1735</v>
      </c>
      <c r="K198" s="1">
        <v>4</v>
      </c>
      <c r="L198" s="1">
        <f t="shared" si="3"/>
        <v>90</v>
      </c>
      <c r="M198" s="1" t="s">
        <v>38</v>
      </c>
      <c r="N198" s="1"/>
      <c r="O198" s="12" t="str">
        <f>IF($J198=Sheet2!$A$2, ROW(), "")</f>
        <v/>
      </c>
      <c r="Q198" s="23" t="s">
        <v>2179</v>
      </c>
    </row>
    <row r="199" spans="1:17" ht="14" customHeight="1" x14ac:dyDescent="0.3">
      <c r="A199" s="1" t="s">
        <v>234</v>
      </c>
      <c r="B199" s="1">
        <v>31</v>
      </c>
      <c r="C199" s="1" t="s">
        <v>235</v>
      </c>
      <c r="D199" s="1">
        <v>188</v>
      </c>
      <c r="E199" s="1">
        <v>81</v>
      </c>
      <c r="F199" s="1">
        <v>102</v>
      </c>
      <c r="G199" s="1">
        <v>106</v>
      </c>
      <c r="H199" s="1" t="s">
        <v>15</v>
      </c>
      <c r="I199" s="1">
        <v>60</v>
      </c>
      <c r="J199" s="1" t="s">
        <v>11</v>
      </c>
      <c r="K199" s="1">
        <v>4</v>
      </c>
      <c r="L199" s="1">
        <f t="shared" si="3"/>
        <v>300</v>
      </c>
      <c r="M199" s="1" t="s">
        <v>38</v>
      </c>
      <c r="N199" s="1"/>
      <c r="O199" s="12" t="str">
        <f>IF($J199=Sheet2!$A$2, ROW(), "")</f>
        <v/>
      </c>
      <c r="Q199" s="23" t="s">
        <v>2180</v>
      </c>
    </row>
    <row r="200" spans="1:17" ht="14" customHeight="1" x14ac:dyDescent="0.3">
      <c r="A200" s="1" t="s">
        <v>236</v>
      </c>
      <c r="B200" s="1">
        <v>29</v>
      </c>
      <c r="C200" s="1" t="s">
        <v>237</v>
      </c>
      <c r="D200" s="1">
        <v>199</v>
      </c>
      <c r="E200" s="1">
        <v>78</v>
      </c>
      <c r="F200" s="1">
        <v>98</v>
      </c>
      <c r="G200" s="1">
        <v>102</v>
      </c>
      <c r="H200" s="1" t="s">
        <v>1</v>
      </c>
      <c r="I200" s="1">
        <v>30</v>
      </c>
      <c r="J200" s="1" t="s">
        <v>238</v>
      </c>
      <c r="K200" s="1"/>
      <c r="L200" s="1">
        <f t="shared" si="3"/>
        <v>150</v>
      </c>
      <c r="M200" s="1"/>
      <c r="N200" s="1"/>
      <c r="O200" s="12" t="str">
        <f>IF($J200=Sheet2!$A$2, ROW(), "")</f>
        <v/>
      </c>
      <c r="Q200" s="23" t="s">
        <v>2181</v>
      </c>
    </row>
    <row r="201" spans="1:17" ht="14" customHeight="1" x14ac:dyDescent="0.3">
      <c r="A201" s="1" t="s">
        <v>239</v>
      </c>
      <c r="B201" s="1">
        <v>28</v>
      </c>
      <c r="C201" s="1" t="s">
        <v>222</v>
      </c>
      <c r="D201" s="1">
        <v>188</v>
      </c>
      <c r="E201" s="1">
        <v>78</v>
      </c>
      <c r="F201" s="1">
        <v>101</v>
      </c>
      <c r="G201" s="1">
        <v>118</v>
      </c>
      <c r="H201" s="1" t="s">
        <v>1</v>
      </c>
      <c r="I201" s="1">
        <v>24</v>
      </c>
      <c r="J201" s="1" t="s">
        <v>11</v>
      </c>
      <c r="K201" s="1">
        <v>4</v>
      </c>
      <c r="L201" s="1">
        <f t="shared" si="3"/>
        <v>120</v>
      </c>
      <c r="M201" s="1" t="s">
        <v>38</v>
      </c>
      <c r="N201" s="1"/>
      <c r="O201" s="12" t="str">
        <f>IF($J201=Sheet2!$A$2, ROW(), "")</f>
        <v/>
      </c>
      <c r="Q201" s="23" t="s">
        <v>2182</v>
      </c>
    </row>
    <row r="202" spans="1:17" ht="14" customHeight="1" x14ac:dyDescent="0.3">
      <c r="A202" s="1" t="s">
        <v>240</v>
      </c>
      <c r="B202" s="1">
        <v>24</v>
      </c>
      <c r="C202" s="1" t="s">
        <v>241</v>
      </c>
      <c r="D202" s="1">
        <v>186</v>
      </c>
      <c r="E202" s="1">
        <v>72</v>
      </c>
      <c r="F202" s="1">
        <v>115</v>
      </c>
      <c r="G202" s="1">
        <v>115</v>
      </c>
      <c r="H202" s="1" t="s">
        <v>5</v>
      </c>
      <c r="I202" s="1">
        <v>30</v>
      </c>
      <c r="J202" s="1" t="s">
        <v>130</v>
      </c>
      <c r="K202" s="1"/>
      <c r="L202" s="1">
        <f t="shared" si="3"/>
        <v>150</v>
      </c>
      <c r="M202" s="1"/>
      <c r="N202" s="1"/>
      <c r="O202" s="12" t="str">
        <f>IF($J202=Sheet2!$A$2, ROW(), "")</f>
        <v/>
      </c>
      <c r="Q202" s="23" t="s">
        <v>2183</v>
      </c>
    </row>
    <row r="203" spans="1:17" ht="14" customHeight="1" x14ac:dyDescent="0.3">
      <c r="A203" s="1" t="s">
        <v>242</v>
      </c>
      <c r="B203" s="1">
        <v>29</v>
      </c>
      <c r="C203" s="1" t="s">
        <v>243</v>
      </c>
      <c r="D203" s="1">
        <v>186</v>
      </c>
      <c r="E203" s="1">
        <v>98</v>
      </c>
      <c r="F203" s="1">
        <v>94</v>
      </c>
      <c r="G203" s="1">
        <v>96</v>
      </c>
      <c r="H203" s="1" t="s">
        <v>5</v>
      </c>
      <c r="I203" s="1">
        <v>80</v>
      </c>
      <c r="J203" s="1" t="s">
        <v>233</v>
      </c>
      <c r="K203" s="1">
        <v>3.5</v>
      </c>
      <c r="L203" s="1">
        <f t="shared" si="3"/>
        <v>400</v>
      </c>
      <c r="M203" s="1" t="s">
        <v>38</v>
      </c>
      <c r="N203" s="1" t="s">
        <v>244</v>
      </c>
      <c r="O203" s="12" t="str">
        <f>IF($J203=Sheet2!$A$2, ROW(), "")</f>
        <v/>
      </c>
      <c r="Q203" s="23" t="s">
        <v>2184</v>
      </c>
    </row>
    <row r="204" spans="1:17" ht="14" customHeight="1" x14ac:dyDescent="0.3">
      <c r="A204" s="1" t="s">
        <v>245</v>
      </c>
      <c r="B204" s="1">
        <v>24</v>
      </c>
      <c r="C204" s="1" t="s">
        <v>246</v>
      </c>
      <c r="D204" s="1">
        <v>184</v>
      </c>
      <c r="E204" s="1">
        <v>66</v>
      </c>
      <c r="F204" s="1">
        <v>118</v>
      </c>
      <c r="G204" s="1">
        <v>118</v>
      </c>
      <c r="H204" s="1" t="s">
        <v>247</v>
      </c>
      <c r="I204" s="1">
        <v>45</v>
      </c>
      <c r="J204" s="1" t="s">
        <v>248</v>
      </c>
      <c r="K204" s="1">
        <v>6</v>
      </c>
      <c r="L204" s="1">
        <f t="shared" si="3"/>
        <v>225</v>
      </c>
      <c r="M204" s="1" t="s">
        <v>98</v>
      </c>
      <c r="N204" s="1"/>
      <c r="O204" s="12">
        <f>IF($J204=Sheet2!$A$2, ROW(), "")</f>
        <v>204</v>
      </c>
      <c r="Q204" s="23" t="s">
        <v>2185</v>
      </c>
    </row>
    <row r="205" spans="1:17" ht="14" customHeight="1" x14ac:dyDescent="0.3">
      <c r="A205" s="1" t="s">
        <v>249</v>
      </c>
      <c r="B205" s="1">
        <v>28</v>
      </c>
      <c r="C205" s="1" t="s">
        <v>250</v>
      </c>
      <c r="D205" s="1">
        <v>190</v>
      </c>
      <c r="E205" s="1">
        <v>75</v>
      </c>
      <c r="F205" s="1">
        <v>122</v>
      </c>
      <c r="G205" s="1">
        <v>122</v>
      </c>
      <c r="H205" s="1" t="s">
        <v>251</v>
      </c>
      <c r="I205" s="1">
        <v>120</v>
      </c>
      <c r="J205" s="1" t="s">
        <v>111</v>
      </c>
      <c r="K205" s="1">
        <v>5</v>
      </c>
      <c r="L205" s="1">
        <f t="shared" si="3"/>
        <v>600</v>
      </c>
      <c r="M205" s="1" t="s">
        <v>38</v>
      </c>
      <c r="N205" s="1"/>
      <c r="O205" s="12" t="str">
        <f>IF($J205=Sheet2!$A$2, ROW(), "")</f>
        <v/>
      </c>
      <c r="Q205" s="23" t="s">
        <v>2186</v>
      </c>
    </row>
    <row r="206" spans="1:17" ht="14" customHeight="1" x14ac:dyDescent="0.3">
      <c r="A206" s="1" t="s">
        <v>252</v>
      </c>
      <c r="B206" s="1">
        <v>28</v>
      </c>
      <c r="C206" s="1" t="s">
        <v>253</v>
      </c>
      <c r="D206" s="1">
        <v>187</v>
      </c>
      <c r="E206" s="1">
        <v>75</v>
      </c>
      <c r="F206" s="1">
        <v>110</v>
      </c>
      <c r="G206" s="1">
        <v>110</v>
      </c>
      <c r="H206" s="1" t="s">
        <v>254</v>
      </c>
      <c r="I206" s="1">
        <v>38</v>
      </c>
      <c r="J206" s="1" t="s">
        <v>130</v>
      </c>
      <c r="K206" s="1"/>
      <c r="L206" s="1">
        <f t="shared" si="3"/>
        <v>190</v>
      </c>
      <c r="M206" s="1"/>
      <c r="N206" s="1"/>
      <c r="O206" s="12" t="str">
        <f>IF($J206=Sheet2!$A$2, ROW(), "")</f>
        <v/>
      </c>
      <c r="Q206" s="23" t="s">
        <v>2187</v>
      </c>
    </row>
    <row r="207" spans="1:17" ht="14" customHeight="1" x14ac:dyDescent="0.3">
      <c r="A207" s="1" t="s">
        <v>255</v>
      </c>
      <c r="B207" s="1">
        <v>28</v>
      </c>
      <c r="C207" s="1" t="s">
        <v>256</v>
      </c>
      <c r="D207" s="1">
        <v>200</v>
      </c>
      <c r="E207" s="1">
        <v>88</v>
      </c>
      <c r="F207" s="1">
        <v>100</v>
      </c>
      <c r="G207" s="1">
        <v>100</v>
      </c>
      <c r="H207" s="1" t="s">
        <v>23</v>
      </c>
      <c r="I207" s="1">
        <v>240</v>
      </c>
      <c r="J207" s="1" t="s">
        <v>3313</v>
      </c>
      <c r="K207" s="1">
        <v>5</v>
      </c>
      <c r="L207" s="1">
        <f t="shared" si="3"/>
        <v>1200</v>
      </c>
      <c r="M207" s="1"/>
      <c r="N207" s="1"/>
      <c r="O207" s="12" t="str">
        <f>IF($J207=Sheet2!$A$2, ROW(), "")</f>
        <v/>
      </c>
      <c r="Q207" s="23" t="s">
        <v>2188</v>
      </c>
    </row>
    <row r="208" spans="1:17" ht="14" customHeight="1" x14ac:dyDescent="0.3">
      <c r="A208" s="1" t="s">
        <v>258</v>
      </c>
      <c r="B208" s="1">
        <v>30</v>
      </c>
      <c r="C208" s="1" t="s">
        <v>259</v>
      </c>
      <c r="D208" s="1">
        <v>178</v>
      </c>
      <c r="E208" s="1">
        <v>74</v>
      </c>
      <c r="F208" s="1">
        <v>74</v>
      </c>
      <c r="G208" s="1">
        <v>80</v>
      </c>
      <c r="H208" s="1" t="s">
        <v>260</v>
      </c>
      <c r="I208" s="1">
        <v>24</v>
      </c>
      <c r="J208" s="1" t="s">
        <v>91</v>
      </c>
      <c r="K208" s="1"/>
      <c r="L208" s="1">
        <f t="shared" si="3"/>
        <v>120</v>
      </c>
      <c r="M208" s="1"/>
      <c r="N208" s="1"/>
      <c r="O208" s="12" t="str">
        <f>IF($J208=Sheet2!$A$2, ROW(), "")</f>
        <v/>
      </c>
      <c r="Q208" s="23" t="s">
        <v>2189</v>
      </c>
    </row>
    <row r="209" spans="1:17" ht="14" customHeight="1" x14ac:dyDescent="0.3">
      <c r="A209" s="1" t="s">
        <v>261</v>
      </c>
      <c r="B209" s="1">
        <v>26</v>
      </c>
      <c r="C209" s="1" t="s">
        <v>262</v>
      </c>
      <c r="D209" s="1">
        <v>188</v>
      </c>
      <c r="E209" s="1">
        <v>74</v>
      </c>
      <c r="F209" s="1">
        <v>118</v>
      </c>
      <c r="G209" s="1">
        <v>118</v>
      </c>
      <c r="H209" s="1" t="s">
        <v>263</v>
      </c>
      <c r="I209" s="1">
        <v>35</v>
      </c>
      <c r="J209" s="1" t="s">
        <v>264</v>
      </c>
      <c r="K209" s="1">
        <v>5</v>
      </c>
      <c r="L209" s="1">
        <f t="shared" si="3"/>
        <v>175</v>
      </c>
      <c r="M209" s="1" t="s">
        <v>38</v>
      </c>
      <c r="N209" s="1"/>
      <c r="O209" s="12" t="str">
        <f>IF($J209=Sheet2!$A$2, ROW(), "")</f>
        <v/>
      </c>
      <c r="Q209" s="23" t="s">
        <v>2190</v>
      </c>
    </row>
    <row r="210" spans="1:17" ht="14" customHeight="1" x14ac:dyDescent="0.3">
      <c r="A210" s="1" t="s">
        <v>265</v>
      </c>
      <c r="B210" s="1">
        <v>32</v>
      </c>
      <c r="C210" s="1" t="s">
        <v>266</v>
      </c>
      <c r="D210" s="1">
        <v>185</v>
      </c>
      <c r="E210" s="1">
        <v>74</v>
      </c>
      <c r="F210" s="1">
        <v>70</v>
      </c>
      <c r="G210" s="1">
        <v>76</v>
      </c>
      <c r="H210" s="1" t="s">
        <v>267</v>
      </c>
      <c r="I210" s="1">
        <v>24</v>
      </c>
      <c r="J210" s="1" t="s">
        <v>268</v>
      </c>
      <c r="K210" s="1">
        <v>3.5</v>
      </c>
      <c r="L210" s="1">
        <f t="shared" si="3"/>
        <v>120</v>
      </c>
      <c r="M210" s="1"/>
      <c r="N210" s="1"/>
      <c r="O210" s="12" t="str">
        <f>IF($J210=Sheet2!$A$2, ROW(), "")</f>
        <v/>
      </c>
      <c r="Q210" s="23" t="s">
        <v>2191</v>
      </c>
    </row>
    <row r="211" spans="1:17" ht="14" customHeight="1" x14ac:dyDescent="0.3">
      <c r="A211" s="1" t="s">
        <v>269</v>
      </c>
      <c r="B211" s="1">
        <v>26</v>
      </c>
      <c r="C211" s="1" t="s">
        <v>266</v>
      </c>
      <c r="D211" s="1">
        <v>174</v>
      </c>
      <c r="E211" s="1">
        <v>63</v>
      </c>
      <c r="F211" s="1">
        <v>82</v>
      </c>
      <c r="G211" s="1">
        <v>82</v>
      </c>
      <c r="H211" s="1" t="s">
        <v>270</v>
      </c>
      <c r="I211" s="1">
        <v>24</v>
      </c>
      <c r="J211" s="1" t="s">
        <v>271</v>
      </c>
      <c r="K211" s="1"/>
      <c r="L211" s="1">
        <f t="shared" si="3"/>
        <v>120</v>
      </c>
      <c r="M211" s="1"/>
      <c r="N211" s="1"/>
      <c r="O211" s="12" t="str">
        <f>IF($J211=Sheet2!$A$2, ROW(), "")</f>
        <v/>
      </c>
      <c r="Q211" s="23" t="s">
        <v>2192</v>
      </c>
    </row>
    <row r="212" spans="1:17" ht="14" customHeight="1" x14ac:dyDescent="0.3">
      <c r="A212" s="1" t="s">
        <v>272</v>
      </c>
      <c r="B212" s="1">
        <v>26</v>
      </c>
      <c r="C212" s="1" t="s">
        <v>273</v>
      </c>
      <c r="D212" s="1">
        <v>185</v>
      </c>
      <c r="E212" s="1">
        <v>78</v>
      </c>
      <c r="F212" s="1">
        <v>122</v>
      </c>
      <c r="G212" s="1">
        <v>122</v>
      </c>
      <c r="H212" s="1" t="s">
        <v>247</v>
      </c>
      <c r="I212" s="1">
        <v>90</v>
      </c>
      <c r="J212" s="1" t="s">
        <v>274</v>
      </c>
      <c r="K212" s="1">
        <v>7</v>
      </c>
      <c r="L212" s="1">
        <f t="shared" si="3"/>
        <v>450</v>
      </c>
      <c r="M212" s="1" t="s">
        <v>98</v>
      </c>
      <c r="N212" s="1"/>
      <c r="O212" s="12" t="str">
        <f>IF($J212=Sheet2!$A$2, ROW(), "")</f>
        <v/>
      </c>
      <c r="Q212" s="23" t="s">
        <v>2193</v>
      </c>
    </row>
    <row r="213" spans="1:17" ht="14" customHeight="1" x14ac:dyDescent="0.3">
      <c r="A213" s="1" t="s">
        <v>275</v>
      </c>
      <c r="B213" s="1">
        <v>32</v>
      </c>
      <c r="C213" s="1" t="s">
        <v>276</v>
      </c>
      <c r="D213" s="1">
        <v>185</v>
      </c>
      <c r="E213" s="1">
        <v>75</v>
      </c>
      <c r="F213" s="1">
        <v>84</v>
      </c>
      <c r="G213" s="1">
        <v>98</v>
      </c>
      <c r="H213" s="1" t="s">
        <v>277</v>
      </c>
      <c r="I213" s="1">
        <v>55</v>
      </c>
      <c r="J213" s="1" t="s">
        <v>278</v>
      </c>
      <c r="K213" s="1">
        <v>3</v>
      </c>
      <c r="L213" s="1">
        <f t="shared" si="3"/>
        <v>275</v>
      </c>
      <c r="M213" s="1" t="s">
        <v>38</v>
      </c>
      <c r="N213" s="1"/>
      <c r="O213" s="12" t="str">
        <f>IF($J213=Sheet2!$A$2, ROW(), "")</f>
        <v/>
      </c>
      <c r="Q213" s="23" t="s">
        <v>2194</v>
      </c>
    </row>
    <row r="214" spans="1:17" ht="14" customHeight="1" x14ac:dyDescent="0.3">
      <c r="A214" s="1" t="s">
        <v>279</v>
      </c>
      <c r="B214" s="1">
        <v>30</v>
      </c>
      <c r="C214" s="1" t="s">
        <v>280</v>
      </c>
      <c r="D214" s="1">
        <v>188</v>
      </c>
      <c r="E214" s="1">
        <v>74</v>
      </c>
      <c r="F214" s="1">
        <v>82</v>
      </c>
      <c r="G214" s="1">
        <v>88</v>
      </c>
      <c r="H214" s="1" t="s">
        <v>15</v>
      </c>
      <c r="I214" s="1">
        <v>24</v>
      </c>
      <c r="J214" s="1" t="s">
        <v>37</v>
      </c>
      <c r="K214" s="1">
        <v>3.5</v>
      </c>
      <c r="L214" s="1">
        <f t="shared" si="3"/>
        <v>120</v>
      </c>
      <c r="M214" s="1" t="s">
        <v>38</v>
      </c>
      <c r="N214" s="1" t="s">
        <v>281</v>
      </c>
      <c r="O214" s="12" t="str">
        <f>IF($J214=Sheet2!$A$2, ROW(), "")</f>
        <v/>
      </c>
      <c r="Q214" s="23" t="s">
        <v>2195</v>
      </c>
    </row>
    <row r="215" spans="1:17" ht="14" customHeight="1" x14ac:dyDescent="0.3">
      <c r="A215" s="1" t="s">
        <v>282</v>
      </c>
      <c r="B215" s="1">
        <v>32</v>
      </c>
      <c r="C215" s="1" t="s">
        <v>283</v>
      </c>
      <c r="D215" s="1">
        <v>196</v>
      </c>
      <c r="E215" s="1">
        <v>74</v>
      </c>
      <c r="F215" s="1">
        <v>96</v>
      </c>
      <c r="G215" s="1">
        <v>100</v>
      </c>
      <c r="H215" s="1" t="s">
        <v>1</v>
      </c>
      <c r="I215" s="1">
        <v>25</v>
      </c>
      <c r="J215" s="1" t="s">
        <v>11</v>
      </c>
      <c r="K215" s="1">
        <v>4</v>
      </c>
      <c r="L215" s="1">
        <f t="shared" si="3"/>
        <v>125</v>
      </c>
      <c r="M215" s="1" t="s">
        <v>38</v>
      </c>
      <c r="N215" s="1"/>
      <c r="O215" s="12" t="str">
        <f>IF($J215=Sheet2!$A$2, ROW(), "")</f>
        <v/>
      </c>
      <c r="Q215" s="23" t="s">
        <v>2196</v>
      </c>
    </row>
    <row r="216" spans="1:17" ht="14" customHeight="1" x14ac:dyDescent="0.3">
      <c r="A216" s="1" t="s">
        <v>284</v>
      </c>
      <c r="B216" s="1">
        <v>30</v>
      </c>
      <c r="C216" s="1" t="s">
        <v>285</v>
      </c>
      <c r="D216" s="1">
        <v>174</v>
      </c>
      <c r="E216" s="1">
        <v>75</v>
      </c>
      <c r="F216" s="1">
        <v>97</v>
      </c>
      <c r="G216" s="1">
        <v>102</v>
      </c>
      <c r="H216" s="1" t="s">
        <v>260</v>
      </c>
      <c r="I216" s="1">
        <v>35</v>
      </c>
      <c r="J216" s="1" t="s">
        <v>11</v>
      </c>
      <c r="K216" s="1"/>
      <c r="L216" s="1">
        <f t="shared" si="3"/>
        <v>175</v>
      </c>
      <c r="M216" s="1"/>
      <c r="N216" s="1"/>
      <c r="O216" s="12" t="str">
        <f>IF($J216=Sheet2!$A$2, ROW(), "")</f>
        <v/>
      </c>
      <c r="Q216" s="23" t="s">
        <v>2197</v>
      </c>
    </row>
    <row r="217" spans="1:17" ht="14" customHeight="1" x14ac:dyDescent="0.3">
      <c r="A217" s="1" t="s">
        <v>286</v>
      </c>
      <c r="B217" s="1">
        <v>31</v>
      </c>
      <c r="C217" s="1" t="s">
        <v>287</v>
      </c>
      <c r="D217" s="1">
        <v>181</v>
      </c>
      <c r="E217" s="1">
        <v>74</v>
      </c>
      <c r="F217" s="1">
        <v>84</v>
      </c>
      <c r="G217" s="1">
        <v>106</v>
      </c>
      <c r="H217" s="1" t="s">
        <v>288</v>
      </c>
      <c r="I217" s="1">
        <v>24</v>
      </c>
      <c r="J217" s="1" t="s">
        <v>278</v>
      </c>
      <c r="K217" s="1">
        <v>3</v>
      </c>
      <c r="L217" s="1">
        <f t="shared" si="3"/>
        <v>120</v>
      </c>
      <c r="M217" s="1" t="s">
        <v>38</v>
      </c>
      <c r="N217" s="1"/>
      <c r="O217" s="12" t="str">
        <f>IF($J217=Sheet2!$A$2, ROW(), "")</f>
        <v/>
      </c>
      <c r="Q217" s="23" t="s">
        <v>2198</v>
      </c>
    </row>
    <row r="218" spans="1:17" ht="14" customHeight="1" x14ac:dyDescent="0.3">
      <c r="A218" s="1" t="s">
        <v>289</v>
      </c>
      <c r="B218" s="1">
        <v>29</v>
      </c>
      <c r="C218" s="1" t="s">
        <v>290</v>
      </c>
      <c r="D218" s="1">
        <v>184</v>
      </c>
      <c r="E218" s="1">
        <v>75</v>
      </c>
      <c r="F218" s="1">
        <v>102</v>
      </c>
      <c r="G218" s="1">
        <v>108</v>
      </c>
      <c r="H218" s="1" t="s">
        <v>247</v>
      </c>
      <c r="I218" s="1">
        <v>30</v>
      </c>
      <c r="J218" s="1" t="s">
        <v>257</v>
      </c>
      <c r="K218" s="1">
        <v>5</v>
      </c>
      <c r="L218" s="1">
        <f t="shared" si="3"/>
        <v>150</v>
      </c>
      <c r="M218" s="1" t="s">
        <v>38</v>
      </c>
      <c r="N218" s="1"/>
      <c r="O218" s="12" t="str">
        <f>IF($J218=Sheet2!$A$2, ROW(), "")</f>
        <v/>
      </c>
      <c r="Q218" s="23" t="s">
        <v>2199</v>
      </c>
    </row>
    <row r="219" spans="1:17" ht="14" customHeight="1" x14ac:dyDescent="0.3">
      <c r="A219" s="1" t="s">
        <v>291</v>
      </c>
      <c r="B219" s="1">
        <v>34</v>
      </c>
      <c r="C219" s="1" t="s">
        <v>292</v>
      </c>
      <c r="D219" s="1">
        <v>178</v>
      </c>
      <c r="E219" s="1">
        <v>75</v>
      </c>
      <c r="F219" s="1">
        <v>100</v>
      </c>
      <c r="G219" s="1">
        <v>106</v>
      </c>
      <c r="H219" s="1" t="s">
        <v>293</v>
      </c>
      <c r="I219" s="1">
        <v>30</v>
      </c>
      <c r="J219" s="1" t="s">
        <v>11</v>
      </c>
      <c r="K219" s="1">
        <v>4</v>
      </c>
      <c r="L219" s="1">
        <f t="shared" si="3"/>
        <v>150</v>
      </c>
      <c r="M219" s="1" t="s">
        <v>98</v>
      </c>
      <c r="N219" s="1"/>
      <c r="O219" s="12" t="str">
        <f>IF($J219=Sheet2!$A$2, ROW(), "")</f>
        <v/>
      </c>
      <c r="Q219" s="23" t="s">
        <v>2200</v>
      </c>
    </row>
    <row r="220" spans="1:17" ht="14" customHeight="1" x14ac:dyDescent="0.3">
      <c r="A220" s="1" t="s">
        <v>294</v>
      </c>
      <c r="B220" s="1">
        <v>23</v>
      </c>
      <c r="C220" s="1" t="s">
        <v>295</v>
      </c>
      <c r="D220" s="1">
        <v>182</v>
      </c>
      <c r="E220" s="1">
        <v>67</v>
      </c>
      <c r="F220" s="1">
        <v>88</v>
      </c>
      <c r="G220" s="1">
        <v>90</v>
      </c>
      <c r="H220" s="1" t="s">
        <v>296</v>
      </c>
      <c r="I220" s="1">
        <v>24</v>
      </c>
      <c r="J220" s="1" t="s">
        <v>91</v>
      </c>
      <c r="K220" s="1"/>
      <c r="L220" s="1">
        <f t="shared" si="3"/>
        <v>120</v>
      </c>
      <c r="M220" s="1"/>
      <c r="N220" s="1"/>
      <c r="O220" s="12" t="str">
        <f>IF($J220=Sheet2!$A$2, ROW(), "")</f>
        <v/>
      </c>
      <c r="Q220" s="23" t="s">
        <v>2201</v>
      </c>
    </row>
    <row r="221" spans="1:17" ht="14" customHeight="1" x14ac:dyDescent="0.3">
      <c r="A221" s="1" t="s">
        <v>297</v>
      </c>
      <c r="B221" s="1">
        <v>35</v>
      </c>
      <c r="C221" s="1" t="s">
        <v>298</v>
      </c>
      <c r="D221" s="1">
        <v>185</v>
      </c>
      <c r="E221" s="1">
        <v>75</v>
      </c>
      <c r="F221" s="1">
        <v>95</v>
      </c>
      <c r="G221" s="1">
        <v>130</v>
      </c>
      <c r="H221" s="1" t="s">
        <v>299</v>
      </c>
      <c r="I221" s="1">
        <v>90</v>
      </c>
      <c r="J221" s="1" t="s">
        <v>11</v>
      </c>
      <c r="K221" s="1">
        <v>4</v>
      </c>
      <c r="L221" s="1">
        <f t="shared" si="3"/>
        <v>450</v>
      </c>
      <c r="M221" s="1" t="s">
        <v>38</v>
      </c>
      <c r="N221" s="1"/>
      <c r="O221" s="12" t="str">
        <f>IF($J221=Sheet2!$A$2, ROW(), "")</f>
        <v/>
      </c>
      <c r="Q221" s="23" t="s">
        <v>2202</v>
      </c>
    </row>
    <row r="222" spans="1:17" ht="14" customHeight="1" x14ac:dyDescent="0.3">
      <c r="A222" s="1" t="s">
        <v>300</v>
      </c>
      <c r="B222" s="1">
        <v>23</v>
      </c>
      <c r="C222" s="1" t="s">
        <v>285</v>
      </c>
      <c r="D222" s="1">
        <v>195</v>
      </c>
      <c r="E222" s="1">
        <v>74</v>
      </c>
      <c r="F222" s="1">
        <v>149</v>
      </c>
      <c r="G222" s="1">
        <v>158</v>
      </c>
      <c r="H222" s="1" t="s">
        <v>1</v>
      </c>
      <c r="I222" s="1">
        <v>700</v>
      </c>
      <c r="J222" s="1" t="s">
        <v>1762</v>
      </c>
      <c r="K222" s="1">
        <v>9</v>
      </c>
      <c r="L222" s="1">
        <f t="shared" si="3"/>
        <v>3500</v>
      </c>
      <c r="M222" s="1"/>
      <c r="N222" s="1"/>
      <c r="O222" s="12" t="str">
        <f>IF($J222=Sheet2!$A$2, ROW(), "")</f>
        <v/>
      </c>
      <c r="Q222" s="23" t="s">
        <v>2203</v>
      </c>
    </row>
    <row r="223" spans="1:17" ht="14" customHeight="1" x14ac:dyDescent="0.3">
      <c r="A223" s="1" t="s">
        <v>301</v>
      </c>
      <c r="B223" s="1">
        <v>30</v>
      </c>
      <c r="C223" s="1" t="s">
        <v>276</v>
      </c>
      <c r="D223" s="1">
        <v>188</v>
      </c>
      <c r="E223" s="1">
        <v>75</v>
      </c>
      <c r="F223" s="1">
        <v>72</v>
      </c>
      <c r="G223" s="1">
        <v>76</v>
      </c>
      <c r="H223" s="1" t="s">
        <v>247</v>
      </c>
      <c r="I223" s="1">
        <v>24</v>
      </c>
      <c r="J223" s="1" t="s">
        <v>11</v>
      </c>
      <c r="K223" s="1">
        <v>4</v>
      </c>
      <c r="L223" s="1">
        <f t="shared" si="3"/>
        <v>120</v>
      </c>
      <c r="M223" s="1" t="s">
        <v>38</v>
      </c>
      <c r="N223" s="1"/>
      <c r="O223" s="12" t="str">
        <f>IF($J223=Sheet2!$A$2, ROW(), "")</f>
        <v/>
      </c>
      <c r="Q223" s="23" t="s">
        <v>2204</v>
      </c>
    </row>
    <row r="224" spans="1:17" ht="14" customHeight="1" x14ac:dyDescent="0.3">
      <c r="A224" s="1" t="s">
        <v>302</v>
      </c>
      <c r="B224" s="1">
        <v>33</v>
      </c>
      <c r="C224" s="1" t="s">
        <v>259</v>
      </c>
      <c r="D224" s="1">
        <v>178</v>
      </c>
      <c r="E224" s="1">
        <v>75</v>
      </c>
      <c r="F224" s="1">
        <v>70</v>
      </c>
      <c r="G224" s="1">
        <v>75</v>
      </c>
      <c r="H224" s="1" t="s">
        <v>247</v>
      </c>
      <c r="I224" s="1">
        <v>35</v>
      </c>
      <c r="J224" s="1" t="s">
        <v>303</v>
      </c>
      <c r="K224" s="1">
        <v>3</v>
      </c>
      <c r="L224" s="1">
        <f t="shared" si="3"/>
        <v>175</v>
      </c>
      <c r="M224" s="1" t="s">
        <v>38</v>
      </c>
      <c r="N224" s="1"/>
      <c r="O224" s="12" t="str">
        <f>IF($J224=Sheet2!$A$2, ROW(), "")</f>
        <v/>
      </c>
      <c r="Q224" s="23" t="s">
        <v>2205</v>
      </c>
    </row>
    <row r="225" spans="1:17" ht="14" customHeight="1" x14ac:dyDescent="0.3">
      <c r="A225" s="1" t="s">
        <v>304</v>
      </c>
      <c r="B225" s="1">
        <v>37</v>
      </c>
      <c r="C225" s="1" t="s">
        <v>305</v>
      </c>
      <c r="D225" s="1">
        <v>185</v>
      </c>
      <c r="E225" s="1">
        <v>74</v>
      </c>
      <c r="F225" s="1">
        <v>82</v>
      </c>
      <c r="G225" s="1">
        <v>100</v>
      </c>
      <c r="H225" s="1" t="s">
        <v>277</v>
      </c>
      <c r="I225" s="1">
        <v>24</v>
      </c>
      <c r="J225" s="1" t="s">
        <v>225</v>
      </c>
      <c r="K225" s="1">
        <v>4</v>
      </c>
      <c r="L225" s="1">
        <f t="shared" si="3"/>
        <v>120</v>
      </c>
      <c r="M225" s="1"/>
      <c r="N225" s="1"/>
      <c r="O225" s="12" t="str">
        <f>IF($J225=Sheet2!$A$2, ROW(), "")</f>
        <v/>
      </c>
      <c r="Q225" s="23" t="s">
        <v>2206</v>
      </c>
    </row>
    <row r="226" spans="1:17" ht="14" customHeight="1" x14ac:dyDescent="0.3">
      <c r="A226" s="1" t="s">
        <v>306</v>
      </c>
      <c r="B226" s="1">
        <v>27</v>
      </c>
      <c r="C226" s="1" t="s">
        <v>230</v>
      </c>
      <c r="D226" s="1">
        <v>178</v>
      </c>
      <c r="E226" s="1">
        <v>75</v>
      </c>
      <c r="F226" s="1">
        <v>120</v>
      </c>
      <c r="G226" s="1">
        <v>120</v>
      </c>
      <c r="H226" s="1" t="s">
        <v>307</v>
      </c>
      <c r="I226" s="1">
        <v>45</v>
      </c>
      <c r="J226" s="1" t="s">
        <v>308</v>
      </c>
      <c r="K226" s="1">
        <v>5</v>
      </c>
      <c r="L226" s="1">
        <f t="shared" si="3"/>
        <v>225</v>
      </c>
      <c r="M226" s="1" t="s">
        <v>98</v>
      </c>
      <c r="N226" s="1"/>
      <c r="O226" s="12" t="str">
        <f>IF($J226=Sheet2!$A$2, ROW(), "")</f>
        <v/>
      </c>
      <c r="Q226" s="23" t="s">
        <v>2207</v>
      </c>
    </row>
    <row r="227" spans="1:17" ht="14" customHeight="1" x14ac:dyDescent="0.3">
      <c r="A227" s="1" t="s">
        <v>309</v>
      </c>
      <c r="B227" s="1">
        <v>24</v>
      </c>
      <c r="C227" s="1" t="s">
        <v>285</v>
      </c>
      <c r="D227" s="1">
        <v>170</v>
      </c>
      <c r="E227" s="1">
        <v>74</v>
      </c>
      <c r="F227" s="1">
        <v>148</v>
      </c>
      <c r="G227" s="1">
        <v>148</v>
      </c>
      <c r="H227" s="1" t="s">
        <v>310</v>
      </c>
      <c r="I227" s="1">
        <v>75</v>
      </c>
      <c r="J227" s="1" t="s">
        <v>130</v>
      </c>
      <c r="K227" s="1">
        <v>5</v>
      </c>
      <c r="L227" s="1">
        <f t="shared" si="3"/>
        <v>375</v>
      </c>
      <c r="M227" s="1"/>
      <c r="N227" s="1"/>
      <c r="O227" s="12" t="str">
        <f>IF($J227=Sheet2!$A$2, ROW(), "")</f>
        <v/>
      </c>
      <c r="Q227" s="23" t="s">
        <v>2208</v>
      </c>
    </row>
    <row r="228" spans="1:17" ht="14" customHeight="1" x14ac:dyDescent="0.3">
      <c r="A228" s="1" t="s">
        <v>311</v>
      </c>
      <c r="B228" s="1">
        <v>24</v>
      </c>
      <c r="C228" s="1" t="s">
        <v>312</v>
      </c>
      <c r="D228" s="1">
        <v>199</v>
      </c>
      <c r="E228" s="1">
        <v>75</v>
      </c>
      <c r="F228" s="1">
        <v>126</v>
      </c>
      <c r="G228" s="1">
        <v>126</v>
      </c>
      <c r="H228" s="1" t="s">
        <v>1</v>
      </c>
      <c r="I228" s="1">
        <v>150</v>
      </c>
      <c r="J228" s="1" t="s">
        <v>1736</v>
      </c>
      <c r="K228" s="1">
        <v>6</v>
      </c>
      <c r="L228" s="1">
        <f t="shared" si="3"/>
        <v>750</v>
      </c>
      <c r="M228" s="1"/>
      <c r="N228" s="1"/>
      <c r="O228" s="12" t="str">
        <f>IF($J228=Sheet2!$A$2, ROW(), "")</f>
        <v/>
      </c>
      <c r="Q228" s="23" t="s">
        <v>2209</v>
      </c>
    </row>
    <row r="229" spans="1:17" ht="14" customHeight="1" x14ac:dyDescent="0.3">
      <c r="A229" s="1" t="s">
        <v>313</v>
      </c>
      <c r="B229" s="1">
        <v>25</v>
      </c>
      <c r="C229" s="1" t="s">
        <v>256</v>
      </c>
      <c r="D229" s="1">
        <v>178</v>
      </c>
      <c r="E229" s="1">
        <v>74</v>
      </c>
      <c r="F229" s="1">
        <v>120</v>
      </c>
      <c r="G229" s="1">
        <v>120</v>
      </c>
      <c r="H229" s="1" t="s">
        <v>314</v>
      </c>
      <c r="I229" s="1">
        <v>100</v>
      </c>
      <c r="J229" s="1" t="s">
        <v>315</v>
      </c>
      <c r="K229" s="1"/>
      <c r="L229" s="1">
        <f t="shared" si="3"/>
        <v>500</v>
      </c>
      <c r="M229" s="1"/>
      <c r="N229" s="1"/>
      <c r="O229" s="12" t="str">
        <f>IF($J229=Sheet2!$A$2, ROW(), "")</f>
        <v/>
      </c>
      <c r="Q229" s="23" t="s">
        <v>2210</v>
      </c>
    </row>
    <row r="230" spans="1:17" ht="14" customHeight="1" x14ac:dyDescent="0.3">
      <c r="A230" s="1" t="s">
        <v>316</v>
      </c>
      <c r="B230" s="1">
        <v>33</v>
      </c>
      <c r="C230" s="1" t="s">
        <v>295</v>
      </c>
      <c r="D230" s="1">
        <v>188</v>
      </c>
      <c r="E230" s="1">
        <v>75</v>
      </c>
      <c r="F230" s="1">
        <v>74</v>
      </c>
      <c r="G230" s="1">
        <v>84</v>
      </c>
      <c r="H230" s="1" t="s">
        <v>317</v>
      </c>
      <c r="I230" s="1">
        <v>24</v>
      </c>
      <c r="J230" s="1" t="s">
        <v>91</v>
      </c>
      <c r="K230" s="1"/>
      <c r="L230" s="1">
        <f t="shared" si="3"/>
        <v>120</v>
      </c>
      <c r="M230" s="1"/>
      <c r="N230" s="1"/>
      <c r="O230" s="12" t="str">
        <f>IF($J230=Sheet2!$A$2, ROW(), "")</f>
        <v/>
      </c>
      <c r="Q230" s="23" t="s">
        <v>2211</v>
      </c>
    </row>
    <row r="231" spans="1:17" ht="14" customHeight="1" x14ac:dyDescent="0.3">
      <c r="A231" s="1" t="s">
        <v>318</v>
      </c>
      <c r="B231" s="1">
        <v>26</v>
      </c>
      <c r="C231" s="1" t="s">
        <v>285</v>
      </c>
      <c r="D231" s="1">
        <v>188</v>
      </c>
      <c r="E231" s="1">
        <v>76</v>
      </c>
      <c r="F231" s="1">
        <v>122</v>
      </c>
      <c r="G231" s="1">
        <v>122</v>
      </c>
      <c r="H231" s="1" t="s">
        <v>251</v>
      </c>
      <c r="I231" s="1">
        <v>180</v>
      </c>
      <c r="J231" s="1" t="s">
        <v>130</v>
      </c>
      <c r="K231" s="1">
        <v>5</v>
      </c>
      <c r="L231" s="1">
        <f t="shared" si="3"/>
        <v>900</v>
      </c>
      <c r="M231" s="1" t="s">
        <v>38</v>
      </c>
      <c r="N231" s="1"/>
      <c r="O231" s="12" t="str">
        <f>IF($J231=Sheet2!$A$2, ROW(), "")</f>
        <v/>
      </c>
      <c r="Q231" s="23" t="s">
        <v>2212</v>
      </c>
    </row>
    <row r="232" spans="1:17" ht="14" customHeight="1" x14ac:dyDescent="0.3">
      <c r="A232" s="1" t="s">
        <v>319</v>
      </c>
      <c r="B232" s="1">
        <v>25</v>
      </c>
      <c r="C232" s="1" t="s">
        <v>320</v>
      </c>
      <c r="D232" s="1">
        <v>188</v>
      </c>
      <c r="E232" s="1">
        <v>75</v>
      </c>
      <c r="F232" s="1">
        <v>106</v>
      </c>
      <c r="G232" s="1">
        <v>106</v>
      </c>
      <c r="H232" s="1" t="s">
        <v>260</v>
      </c>
      <c r="I232" s="1">
        <v>45</v>
      </c>
      <c r="J232" s="1" t="s">
        <v>108</v>
      </c>
      <c r="K232" s="1">
        <v>4</v>
      </c>
      <c r="L232" s="1">
        <f t="shared" si="3"/>
        <v>225</v>
      </c>
      <c r="M232" s="1" t="s">
        <v>38</v>
      </c>
      <c r="N232" s="1"/>
      <c r="O232" s="12" t="str">
        <f>IF($J232=Sheet2!$A$2, ROW(), "")</f>
        <v/>
      </c>
      <c r="Q232" s="23" t="s">
        <v>2213</v>
      </c>
    </row>
    <row r="233" spans="1:17" ht="14" customHeight="1" x14ac:dyDescent="0.3">
      <c r="A233" s="1" t="s">
        <v>321</v>
      </c>
      <c r="B233" s="1">
        <v>27</v>
      </c>
      <c r="C233" s="1" t="s">
        <v>256</v>
      </c>
      <c r="D233" s="1">
        <v>185</v>
      </c>
      <c r="E233" s="1">
        <v>75</v>
      </c>
      <c r="F233" s="1">
        <v>96</v>
      </c>
      <c r="G233" s="1">
        <v>110</v>
      </c>
      <c r="H233" s="1" t="s">
        <v>322</v>
      </c>
      <c r="I233" s="1">
        <v>80</v>
      </c>
      <c r="J233" s="1" t="s">
        <v>28</v>
      </c>
      <c r="K233" s="1"/>
      <c r="L233" s="1">
        <f t="shared" si="3"/>
        <v>400</v>
      </c>
      <c r="M233" s="1"/>
      <c r="N233" s="1"/>
      <c r="O233" s="12" t="str">
        <f>IF($J233=Sheet2!$A$2, ROW(), "")</f>
        <v/>
      </c>
      <c r="Q233" s="23" t="s">
        <v>2214</v>
      </c>
    </row>
    <row r="234" spans="1:17" ht="14" customHeight="1" x14ac:dyDescent="0.3">
      <c r="A234" s="1" t="s">
        <v>323</v>
      </c>
      <c r="B234" s="1">
        <v>23</v>
      </c>
      <c r="C234" s="1" t="s">
        <v>285</v>
      </c>
      <c r="D234" s="1">
        <v>178</v>
      </c>
      <c r="E234" s="1">
        <v>75</v>
      </c>
      <c r="F234" s="1">
        <v>133</v>
      </c>
      <c r="G234" s="1">
        <v>136</v>
      </c>
      <c r="H234" s="1" t="s">
        <v>324</v>
      </c>
      <c r="I234" s="1">
        <v>80</v>
      </c>
      <c r="J234" s="1" t="s">
        <v>130</v>
      </c>
      <c r="K234" s="1">
        <v>6</v>
      </c>
      <c r="L234" s="1">
        <f t="shared" si="3"/>
        <v>400</v>
      </c>
      <c r="M234" s="1" t="s">
        <v>38</v>
      </c>
      <c r="N234" s="1"/>
      <c r="O234" s="12" t="str">
        <f>IF($J234=Sheet2!$A$2, ROW(), "")</f>
        <v/>
      </c>
      <c r="Q234" s="23" t="s">
        <v>2215</v>
      </c>
    </row>
    <row r="235" spans="1:17" ht="14" customHeight="1" x14ac:dyDescent="0.3">
      <c r="A235" s="1" t="s">
        <v>325</v>
      </c>
      <c r="B235" s="1">
        <v>24</v>
      </c>
      <c r="C235" s="1" t="s">
        <v>285</v>
      </c>
      <c r="D235" s="1">
        <v>178</v>
      </c>
      <c r="E235" s="1">
        <v>75</v>
      </c>
      <c r="F235" s="1">
        <v>134</v>
      </c>
      <c r="G235" s="1">
        <v>134</v>
      </c>
      <c r="H235" s="1" t="s">
        <v>326</v>
      </c>
      <c r="I235" s="1">
        <v>280</v>
      </c>
      <c r="J235" s="1" t="s">
        <v>327</v>
      </c>
      <c r="K235" s="1">
        <v>5</v>
      </c>
      <c r="L235" s="1">
        <f t="shared" si="3"/>
        <v>1400</v>
      </c>
      <c r="M235" s="1" t="s">
        <v>38</v>
      </c>
      <c r="N235" s="1"/>
      <c r="O235" s="12" t="str">
        <f>IF($J235=Sheet2!$A$2, ROW(), "")</f>
        <v/>
      </c>
      <c r="Q235" s="23" t="s">
        <v>2216</v>
      </c>
    </row>
    <row r="236" spans="1:17" ht="14" customHeight="1" x14ac:dyDescent="0.3">
      <c r="A236" s="1" t="s">
        <v>328</v>
      </c>
      <c r="B236" s="1">
        <v>24</v>
      </c>
      <c r="C236" s="1" t="s">
        <v>285</v>
      </c>
      <c r="D236" s="1">
        <v>184</v>
      </c>
      <c r="E236" s="1">
        <v>74</v>
      </c>
      <c r="F236" s="1">
        <v>122</v>
      </c>
      <c r="G236" s="1">
        <v>122</v>
      </c>
      <c r="H236" s="1" t="s">
        <v>329</v>
      </c>
      <c r="I236" s="1">
        <v>80</v>
      </c>
      <c r="J236" s="1" t="s">
        <v>248</v>
      </c>
      <c r="K236" s="1">
        <v>5</v>
      </c>
      <c r="L236" s="1">
        <f t="shared" si="3"/>
        <v>400</v>
      </c>
      <c r="M236" s="1" t="s">
        <v>38</v>
      </c>
      <c r="N236" s="1"/>
      <c r="O236" s="12">
        <f>IF($J236=Sheet2!$A$2, ROW(), "")</f>
        <v>236</v>
      </c>
      <c r="Q236" s="23" t="s">
        <v>2217</v>
      </c>
    </row>
    <row r="237" spans="1:17" ht="14" customHeight="1" x14ac:dyDescent="0.3">
      <c r="A237" s="1" t="s">
        <v>330</v>
      </c>
      <c r="B237" s="1">
        <v>26</v>
      </c>
      <c r="C237" s="1" t="s">
        <v>285</v>
      </c>
      <c r="D237" s="1">
        <v>184</v>
      </c>
      <c r="E237" s="1">
        <v>74</v>
      </c>
      <c r="F237" s="1">
        <v>134</v>
      </c>
      <c r="G237" s="1">
        <v>134</v>
      </c>
      <c r="H237" s="1" t="s">
        <v>260</v>
      </c>
      <c r="I237" s="1">
        <v>200</v>
      </c>
      <c r="J237" s="1" t="s">
        <v>238</v>
      </c>
      <c r="K237" s="1">
        <v>4</v>
      </c>
      <c r="L237" s="1">
        <f t="shared" si="3"/>
        <v>1000</v>
      </c>
      <c r="M237" s="1" t="s">
        <v>98</v>
      </c>
      <c r="N237" s="1"/>
      <c r="O237" s="12" t="str">
        <f>IF($J237=Sheet2!$A$2, ROW(), "")</f>
        <v/>
      </c>
      <c r="Q237" s="23" t="s">
        <v>2218</v>
      </c>
    </row>
    <row r="238" spans="1:17" ht="14" customHeight="1" x14ac:dyDescent="0.3">
      <c r="A238" s="1" t="s">
        <v>331</v>
      </c>
      <c r="B238" s="1">
        <v>29</v>
      </c>
      <c r="C238" s="1" t="s">
        <v>266</v>
      </c>
      <c r="D238" s="1">
        <v>185</v>
      </c>
      <c r="E238" s="1">
        <v>74</v>
      </c>
      <c r="F238" s="1">
        <v>68</v>
      </c>
      <c r="G238" s="1">
        <v>78</v>
      </c>
      <c r="H238" s="1" t="s">
        <v>332</v>
      </c>
      <c r="I238" s="1">
        <v>24</v>
      </c>
      <c r="J238" s="1" t="s">
        <v>233</v>
      </c>
      <c r="K238" s="1"/>
      <c r="L238" s="1">
        <f t="shared" si="3"/>
        <v>120</v>
      </c>
      <c r="M238" s="1"/>
      <c r="N238" s="1"/>
      <c r="O238" s="12" t="str">
        <f>IF($J238=Sheet2!$A$2, ROW(), "")</f>
        <v/>
      </c>
      <c r="Q238" s="23" t="s">
        <v>2219</v>
      </c>
    </row>
    <row r="239" spans="1:17" ht="14" customHeight="1" x14ac:dyDescent="0.3">
      <c r="A239" s="1" t="s">
        <v>333</v>
      </c>
      <c r="B239" s="1">
        <v>28</v>
      </c>
      <c r="C239" s="1" t="s">
        <v>334</v>
      </c>
      <c r="D239" s="1">
        <v>180</v>
      </c>
      <c r="E239" s="1">
        <v>75</v>
      </c>
      <c r="F239" s="1">
        <v>116</v>
      </c>
      <c r="G239" s="1">
        <v>116</v>
      </c>
      <c r="H239" s="1" t="s">
        <v>335</v>
      </c>
      <c r="I239" s="1">
        <v>40</v>
      </c>
      <c r="J239" s="1" t="s">
        <v>248</v>
      </c>
      <c r="K239" s="1">
        <v>6</v>
      </c>
      <c r="L239" s="1">
        <f t="shared" si="3"/>
        <v>200</v>
      </c>
      <c r="M239" s="1" t="s">
        <v>98</v>
      </c>
      <c r="N239" s="1"/>
      <c r="O239" s="12">
        <f>IF($J239=Sheet2!$A$2, ROW(), "")</f>
        <v>239</v>
      </c>
      <c r="Q239" s="23" t="s">
        <v>2220</v>
      </c>
    </row>
    <row r="240" spans="1:17" ht="14" customHeight="1" x14ac:dyDescent="0.3">
      <c r="A240" s="1" t="s">
        <v>336</v>
      </c>
      <c r="B240" s="1">
        <v>25</v>
      </c>
      <c r="C240" s="1" t="s">
        <v>256</v>
      </c>
      <c r="D240" s="1">
        <v>175</v>
      </c>
      <c r="E240" s="1">
        <v>75</v>
      </c>
      <c r="F240" s="1">
        <v>122</v>
      </c>
      <c r="G240" s="1">
        <v>122</v>
      </c>
      <c r="H240" s="1" t="s">
        <v>337</v>
      </c>
      <c r="I240" s="1">
        <v>100</v>
      </c>
      <c r="J240" s="1" t="s">
        <v>315</v>
      </c>
      <c r="K240" s="1"/>
      <c r="L240" s="1">
        <f t="shared" si="3"/>
        <v>500</v>
      </c>
      <c r="M240" s="1"/>
      <c r="N240" s="1"/>
      <c r="O240" s="12" t="str">
        <f>IF($J240=Sheet2!$A$2, ROW(), "")</f>
        <v/>
      </c>
      <c r="Q240" s="23" t="s">
        <v>2221</v>
      </c>
    </row>
    <row r="241" spans="1:17" ht="14" customHeight="1" x14ac:dyDescent="0.3">
      <c r="A241" s="1" t="s">
        <v>338</v>
      </c>
      <c r="B241" s="1">
        <v>23</v>
      </c>
      <c r="C241" s="1" t="s">
        <v>339</v>
      </c>
      <c r="D241" s="1">
        <v>185</v>
      </c>
      <c r="E241" s="1">
        <v>75</v>
      </c>
      <c r="F241" s="1">
        <v>131</v>
      </c>
      <c r="G241" s="1">
        <v>140</v>
      </c>
      <c r="H241" s="1" t="s">
        <v>340</v>
      </c>
      <c r="I241" s="1">
        <v>60</v>
      </c>
      <c r="J241" s="1" t="s">
        <v>264</v>
      </c>
      <c r="K241" s="1">
        <v>3.5</v>
      </c>
      <c r="L241" s="1">
        <f t="shared" si="3"/>
        <v>300</v>
      </c>
      <c r="M241" s="1" t="s">
        <v>38</v>
      </c>
      <c r="N241" s="1"/>
      <c r="O241" s="12" t="str">
        <f>IF($J241=Sheet2!$A$2, ROW(), "")</f>
        <v/>
      </c>
      <c r="Q241" s="23" t="s">
        <v>2222</v>
      </c>
    </row>
    <row r="242" spans="1:17" ht="14" customHeight="1" x14ac:dyDescent="0.3">
      <c r="A242" s="1" t="s">
        <v>341</v>
      </c>
      <c r="B242" s="1">
        <v>28</v>
      </c>
      <c r="C242" s="1" t="s">
        <v>342</v>
      </c>
      <c r="D242" s="1">
        <v>185</v>
      </c>
      <c r="E242" s="1">
        <v>75</v>
      </c>
      <c r="F242" s="1">
        <v>82</v>
      </c>
      <c r="G242" s="1">
        <v>96</v>
      </c>
      <c r="H242" s="1" t="s">
        <v>317</v>
      </c>
      <c r="I242" s="1">
        <v>40</v>
      </c>
      <c r="J242" s="1" t="s">
        <v>278</v>
      </c>
      <c r="K242" s="1">
        <v>5</v>
      </c>
      <c r="L242" s="1">
        <f t="shared" si="3"/>
        <v>200</v>
      </c>
      <c r="M242" s="1"/>
      <c r="N242" s="1"/>
      <c r="O242" s="12" t="str">
        <f>IF($J242=Sheet2!$A$2, ROW(), "")</f>
        <v/>
      </c>
      <c r="Q242" s="23" t="s">
        <v>2223</v>
      </c>
    </row>
    <row r="243" spans="1:17" ht="14" customHeight="1" x14ac:dyDescent="0.3">
      <c r="A243" s="1" t="s">
        <v>343</v>
      </c>
      <c r="B243" s="1">
        <v>31</v>
      </c>
      <c r="C243" s="1" t="s">
        <v>344</v>
      </c>
      <c r="D243" s="1">
        <v>185</v>
      </c>
      <c r="E243" s="1">
        <v>74</v>
      </c>
      <c r="F243" s="1">
        <v>82</v>
      </c>
      <c r="G243" s="1">
        <v>86</v>
      </c>
      <c r="H243" s="1" t="s">
        <v>260</v>
      </c>
      <c r="I243" s="1">
        <v>45</v>
      </c>
      <c r="J243" s="1" t="s">
        <v>11</v>
      </c>
      <c r="K243" s="1"/>
      <c r="L243" s="1">
        <f t="shared" si="3"/>
        <v>225</v>
      </c>
      <c r="M243" s="1"/>
      <c r="N243" s="1"/>
      <c r="O243" s="12" t="str">
        <f>IF($J243=Sheet2!$A$2, ROW(), "")</f>
        <v/>
      </c>
      <c r="Q243" s="23" t="s">
        <v>2224</v>
      </c>
    </row>
    <row r="244" spans="1:17" ht="14" customHeight="1" x14ac:dyDescent="0.3">
      <c r="A244" s="1" t="s">
        <v>345</v>
      </c>
      <c r="B244" s="1">
        <v>31</v>
      </c>
      <c r="C244" s="1" t="s">
        <v>222</v>
      </c>
      <c r="D244" s="1">
        <v>183</v>
      </c>
      <c r="E244" s="1">
        <v>75</v>
      </c>
      <c r="F244" s="1">
        <v>86</v>
      </c>
      <c r="G244" s="1">
        <v>92</v>
      </c>
      <c r="H244" s="1" t="s">
        <v>260</v>
      </c>
      <c r="I244" s="1">
        <v>45</v>
      </c>
      <c r="J244" s="1" t="s">
        <v>11</v>
      </c>
      <c r="K244" s="1"/>
      <c r="L244" s="1">
        <f t="shared" si="3"/>
        <v>225</v>
      </c>
      <c r="M244" s="1"/>
      <c r="N244" s="1"/>
      <c r="O244" s="12" t="str">
        <f>IF($J244=Sheet2!$A$2, ROW(), "")</f>
        <v/>
      </c>
      <c r="Q244" s="23" t="s">
        <v>2225</v>
      </c>
    </row>
    <row r="245" spans="1:17" ht="14" customHeight="1" x14ac:dyDescent="0.3">
      <c r="A245" s="1" t="s">
        <v>346</v>
      </c>
      <c r="B245" s="1">
        <v>31</v>
      </c>
      <c r="C245" s="1" t="s">
        <v>273</v>
      </c>
      <c r="D245" s="1">
        <v>185</v>
      </c>
      <c r="E245" s="1">
        <v>75</v>
      </c>
      <c r="F245" s="1">
        <v>80</v>
      </c>
      <c r="G245" s="1">
        <v>106</v>
      </c>
      <c r="H245" s="1" t="s">
        <v>260</v>
      </c>
      <c r="I245" s="1">
        <v>24</v>
      </c>
      <c r="J245" s="1" t="s">
        <v>278</v>
      </c>
      <c r="K245" s="1"/>
      <c r="L245" s="1">
        <f t="shared" si="3"/>
        <v>120</v>
      </c>
      <c r="M245" s="1"/>
      <c r="N245" s="1"/>
      <c r="O245" s="12" t="str">
        <f>IF($J245=Sheet2!$A$2, ROW(), "")</f>
        <v/>
      </c>
      <c r="Q245" s="23" t="s">
        <v>2226</v>
      </c>
    </row>
    <row r="246" spans="1:17" ht="14" customHeight="1" x14ac:dyDescent="0.3">
      <c r="A246" s="1" t="s">
        <v>347</v>
      </c>
      <c r="B246" s="1">
        <v>22</v>
      </c>
      <c r="C246" s="1" t="s">
        <v>348</v>
      </c>
      <c r="D246" s="1">
        <v>198</v>
      </c>
      <c r="E246" s="1">
        <v>75</v>
      </c>
      <c r="F246" s="1">
        <v>118</v>
      </c>
      <c r="G246" s="1">
        <v>118</v>
      </c>
      <c r="H246" s="1" t="s">
        <v>1</v>
      </c>
      <c r="I246" s="1">
        <v>35</v>
      </c>
      <c r="J246" s="1" t="s">
        <v>130</v>
      </c>
      <c r="K246" s="1">
        <v>7</v>
      </c>
      <c r="L246" s="1">
        <f t="shared" si="3"/>
        <v>175</v>
      </c>
      <c r="M246" s="1"/>
      <c r="N246" s="1"/>
      <c r="O246" s="12" t="str">
        <f>IF($J246=Sheet2!$A$2, ROW(), "")</f>
        <v/>
      </c>
      <c r="Q246" s="23" t="s">
        <v>2227</v>
      </c>
    </row>
    <row r="247" spans="1:17" ht="14" customHeight="1" x14ac:dyDescent="0.3">
      <c r="A247" s="1" t="s">
        <v>349</v>
      </c>
      <c r="B247" s="1">
        <v>30</v>
      </c>
      <c r="C247" s="1" t="s">
        <v>350</v>
      </c>
      <c r="D247" s="1">
        <v>185</v>
      </c>
      <c r="E247" s="1">
        <v>75</v>
      </c>
      <c r="F247" s="1">
        <v>72</v>
      </c>
      <c r="G247" s="1">
        <v>82</v>
      </c>
      <c r="H247" s="1" t="s">
        <v>317</v>
      </c>
      <c r="I247" s="1">
        <v>24</v>
      </c>
      <c r="J247" s="1" t="s">
        <v>278</v>
      </c>
      <c r="K247" s="1"/>
      <c r="L247" s="1">
        <f t="shared" si="3"/>
        <v>120</v>
      </c>
      <c r="M247" s="1"/>
      <c r="N247" s="1"/>
      <c r="O247" s="12" t="str">
        <f>IF($J247=Sheet2!$A$2, ROW(), "")</f>
        <v/>
      </c>
      <c r="Q247" s="23" t="s">
        <v>2228</v>
      </c>
    </row>
    <row r="248" spans="1:17" ht="14" customHeight="1" x14ac:dyDescent="0.3">
      <c r="A248" s="1" t="s">
        <v>351</v>
      </c>
      <c r="B248" s="1">
        <v>26</v>
      </c>
      <c r="C248" s="1" t="s">
        <v>352</v>
      </c>
      <c r="D248" s="1">
        <v>188</v>
      </c>
      <c r="E248" s="1">
        <v>75</v>
      </c>
      <c r="F248" s="1">
        <v>90</v>
      </c>
      <c r="G248" s="1">
        <v>90</v>
      </c>
      <c r="H248" s="1" t="s">
        <v>353</v>
      </c>
      <c r="I248" s="1">
        <v>24</v>
      </c>
      <c r="J248" s="1" t="s">
        <v>278</v>
      </c>
      <c r="K248" s="1"/>
      <c r="L248" s="1">
        <f t="shared" si="3"/>
        <v>120</v>
      </c>
      <c r="M248" s="1"/>
      <c r="N248" s="1"/>
      <c r="O248" s="12" t="str">
        <f>IF($J248=Sheet2!$A$2, ROW(), "")</f>
        <v/>
      </c>
      <c r="Q248" s="23" t="s">
        <v>2229</v>
      </c>
    </row>
    <row r="249" spans="1:17" ht="14" customHeight="1" x14ac:dyDescent="0.3">
      <c r="A249" s="1" t="s">
        <v>354</v>
      </c>
      <c r="B249" s="1">
        <v>26</v>
      </c>
      <c r="C249" s="1" t="s">
        <v>352</v>
      </c>
      <c r="D249" s="1">
        <v>186</v>
      </c>
      <c r="E249" s="1">
        <v>75</v>
      </c>
      <c r="F249" s="1">
        <v>92</v>
      </c>
      <c r="G249" s="1">
        <v>98</v>
      </c>
      <c r="H249" s="1" t="s">
        <v>355</v>
      </c>
      <c r="I249" s="1">
        <v>24</v>
      </c>
      <c r="J249" s="1" t="s">
        <v>278</v>
      </c>
      <c r="K249" s="1"/>
      <c r="L249" s="1">
        <f t="shared" si="3"/>
        <v>120</v>
      </c>
      <c r="M249" s="1"/>
      <c r="N249" s="1"/>
      <c r="O249" s="12" t="str">
        <f>IF($J249=Sheet2!$A$2, ROW(), "")</f>
        <v/>
      </c>
      <c r="Q249" s="23" t="s">
        <v>2230</v>
      </c>
    </row>
    <row r="250" spans="1:17" ht="14" customHeight="1" x14ac:dyDescent="0.3">
      <c r="A250" s="1" t="s">
        <v>356</v>
      </c>
      <c r="B250" s="1">
        <v>26</v>
      </c>
      <c r="C250" s="1" t="s">
        <v>256</v>
      </c>
      <c r="D250" s="1">
        <v>186</v>
      </c>
      <c r="E250" s="1">
        <v>75</v>
      </c>
      <c r="F250" s="1">
        <v>126</v>
      </c>
      <c r="G250" s="1">
        <v>126</v>
      </c>
      <c r="H250" s="1" t="s">
        <v>357</v>
      </c>
      <c r="I250" s="1">
        <v>300</v>
      </c>
      <c r="J250" s="1" t="s">
        <v>238</v>
      </c>
      <c r="K250" s="1"/>
      <c r="L250" s="1">
        <f t="shared" si="3"/>
        <v>1500</v>
      </c>
      <c r="M250" s="1"/>
      <c r="N250" s="1"/>
      <c r="O250" s="12" t="str">
        <f>IF($J250=Sheet2!$A$2, ROW(), "")</f>
        <v/>
      </c>
      <c r="Q250" s="23" t="s">
        <v>2231</v>
      </c>
    </row>
    <row r="251" spans="1:17" ht="14" customHeight="1" x14ac:dyDescent="0.3">
      <c r="A251" s="1" t="s">
        <v>358</v>
      </c>
      <c r="B251" s="1">
        <v>28</v>
      </c>
      <c r="C251" s="1" t="s">
        <v>256</v>
      </c>
      <c r="D251" s="1">
        <v>178</v>
      </c>
      <c r="E251" s="1">
        <v>75</v>
      </c>
      <c r="F251" s="1">
        <v>120</v>
      </c>
      <c r="G251" s="1">
        <v>120</v>
      </c>
      <c r="H251" s="1" t="s">
        <v>357</v>
      </c>
      <c r="I251" s="1">
        <v>100</v>
      </c>
      <c r="J251" s="1" t="s">
        <v>315</v>
      </c>
      <c r="K251" s="1"/>
      <c r="L251" s="1">
        <f t="shared" si="3"/>
        <v>500</v>
      </c>
      <c r="M251" s="1"/>
      <c r="N251" s="1"/>
      <c r="O251" s="12" t="str">
        <f>IF($J251=Sheet2!$A$2, ROW(), "")</f>
        <v/>
      </c>
      <c r="Q251" s="23" t="s">
        <v>2232</v>
      </c>
    </row>
    <row r="252" spans="1:17" ht="14" customHeight="1" x14ac:dyDescent="0.3">
      <c r="A252" s="1" t="s">
        <v>359</v>
      </c>
      <c r="B252" s="1">
        <v>26</v>
      </c>
      <c r="C252" s="1" t="s">
        <v>360</v>
      </c>
      <c r="D252" s="1">
        <v>178</v>
      </c>
      <c r="E252" s="1">
        <v>75</v>
      </c>
      <c r="F252" s="1">
        <v>84</v>
      </c>
      <c r="G252" s="1">
        <v>86</v>
      </c>
      <c r="H252" s="1" t="s">
        <v>322</v>
      </c>
      <c r="I252" s="1">
        <v>45</v>
      </c>
      <c r="J252" s="1" t="s">
        <v>233</v>
      </c>
      <c r="K252" s="1">
        <v>5</v>
      </c>
      <c r="L252" s="1">
        <f t="shared" si="3"/>
        <v>225</v>
      </c>
      <c r="M252" s="1" t="s">
        <v>38</v>
      </c>
      <c r="N252" s="1"/>
      <c r="O252" s="12" t="str">
        <f>IF($J252=Sheet2!$A$2, ROW(), "")</f>
        <v/>
      </c>
      <c r="Q252" s="23" t="s">
        <v>2233</v>
      </c>
    </row>
    <row r="253" spans="1:17" ht="14" customHeight="1" x14ac:dyDescent="0.3">
      <c r="A253" s="1" t="s">
        <v>361</v>
      </c>
      <c r="B253" s="1">
        <v>23</v>
      </c>
      <c r="C253" s="1" t="s">
        <v>285</v>
      </c>
      <c r="D253" s="1">
        <v>178</v>
      </c>
      <c r="E253" s="1">
        <v>75</v>
      </c>
      <c r="F253" s="1">
        <v>124</v>
      </c>
      <c r="G253" s="1">
        <v>150</v>
      </c>
      <c r="H253" s="1" t="s">
        <v>362</v>
      </c>
      <c r="I253" s="1">
        <v>200</v>
      </c>
      <c r="J253" s="1" t="s">
        <v>1888</v>
      </c>
      <c r="K253" s="1">
        <v>6</v>
      </c>
      <c r="L253" s="1">
        <f t="shared" si="3"/>
        <v>1000</v>
      </c>
      <c r="M253" s="1"/>
      <c r="N253" s="1"/>
      <c r="O253" s="12" t="str">
        <f>IF($J253=Sheet2!$A$2, ROW(), "")</f>
        <v/>
      </c>
      <c r="Q253" s="23" t="s">
        <v>2234</v>
      </c>
    </row>
    <row r="254" spans="1:17" ht="14" customHeight="1" x14ac:dyDescent="0.3">
      <c r="A254" s="1" t="s">
        <v>363</v>
      </c>
      <c r="B254" s="1">
        <v>23</v>
      </c>
      <c r="C254" s="1" t="s">
        <v>285</v>
      </c>
      <c r="D254" s="1">
        <v>178</v>
      </c>
      <c r="E254" s="1">
        <v>75</v>
      </c>
      <c r="F254" s="1">
        <v>126</v>
      </c>
      <c r="G254" s="1">
        <v>146</v>
      </c>
      <c r="H254" s="1" t="s">
        <v>364</v>
      </c>
      <c r="I254" s="1">
        <v>160</v>
      </c>
      <c r="J254" s="1" t="s">
        <v>1736</v>
      </c>
      <c r="K254" s="1"/>
      <c r="L254" s="1">
        <f t="shared" si="3"/>
        <v>800</v>
      </c>
      <c r="M254" s="1"/>
      <c r="N254" s="1"/>
      <c r="O254" s="12" t="str">
        <f>IF($J254=Sheet2!$A$2, ROW(), "")</f>
        <v/>
      </c>
      <c r="Q254" s="23" t="s">
        <v>2235</v>
      </c>
    </row>
    <row r="255" spans="1:17" ht="14" customHeight="1" x14ac:dyDescent="0.3">
      <c r="A255" s="1" t="s">
        <v>365</v>
      </c>
      <c r="B255" s="1">
        <v>25</v>
      </c>
      <c r="C255" s="1" t="s">
        <v>222</v>
      </c>
      <c r="D255" s="1">
        <v>193</v>
      </c>
      <c r="E255" s="1">
        <v>76</v>
      </c>
      <c r="F255" s="1">
        <v>134</v>
      </c>
      <c r="G255" s="1">
        <v>134</v>
      </c>
      <c r="H255" s="1" t="s">
        <v>317</v>
      </c>
      <c r="I255" s="1">
        <v>150</v>
      </c>
      <c r="J255" s="1" t="s">
        <v>1164</v>
      </c>
      <c r="K255" s="1">
        <v>6</v>
      </c>
      <c r="L255" s="1">
        <f t="shared" si="3"/>
        <v>750</v>
      </c>
      <c r="M255" s="1" t="s">
        <v>38</v>
      </c>
      <c r="N255" s="1"/>
      <c r="O255" s="12" t="str">
        <f>IF($J255=Sheet2!$A$2, ROW(), "")</f>
        <v/>
      </c>
      <c r="Q255" s="23" t="s">
        <v>2236</v>
      </c>
    </row>
    <row r="256" spans="1:17" ht="14" customHeight="1" x14ac:dyDescent="0.3">
      <c r="A256" s="1" t="s">
        <v>366</v>
      </c>
      <c r="B256" s="1">
        <v>27</v>
      </c>
      <c r="C256" s="1" t="s">
        <v>367</v>
      </c>
      <c r="D256" s="1">
        <v>185</v>
      </c>
      <c r="E256" s="1">
        <v>84</v>
      </c>
      <c r="F256" s="1">
        <v>109</v>
      </c>
      <c r="G256" s="1">
        <v>109</v>
      </c>
      <c r="H256" s="1" t="s">
        <v>368</v>
      </c>
      <c r="I256" s="1">
        <v>24</v>
      </c>
      <c r="J256" s="1" t="s">
        <v>225</v>
      </c>
      <c r="K256" s="1">
        <v>4</v>
      </c>
      <c r="L256" s="1">
        <f t="shared" si="3"/>
        <v>120</v>
      </c>
      <c r="M256" s="1" t="s">
        <v>38</v>
      </c>
      <c r="N256" s="1"/>
      <c r="O256" s="12" t="str">
        <f>IF($J256=Sheet2!$A$2, ROW(), "")</f>
        <v/>
      </c>
      <c r="Q256" s="23" t="s">
        <v>2237</v>
      </c>
    </row>
    <row r="257" spans="1:17" ht="14" customHeight="1" x14ac:dyDescent="0.3">
      <c r="A257" s="1" t="s">
        <v>369</v>
      </c>
      <c r="B257" s="1">
        <v>23</v>
      </c>
      <c r="C257" s="1" t="s">
        <v>0</v>
      </c>
      <c r="D257" s="1">
        <v>184</v>
      </c>
      <c r="E257" s="1">
        <v>78</v>
      </c>
      <c r="F257" s="1">
        <v>54</v>
      </c>
      <c r="G257" s="1">
        <v>67</v>
      </c>
      <c r="H257" s="1" t="s">
        <v>1</v>
      </c>
      <c r="I257" s="1">
        <v>22</v>
      </c>
      <c r="J257" s="1" t="s">
        <v>1164</v>
      </c>
      <c r="K257" s="1">
        <v>2</v>
      </c>
      <c r="L257" s="1">
        <f t="shared" si="3"/>
        <v>110</v>
      </c>
      <c r="M257" s="1"/>
      <c r="N257" s="1"/>
      <c r="O257" s="12" t="str">
        <f>IF($J257=Sheet2!$A$2, ROW(), "")</f>
        <v/>
      </c>
      <c r="Q257" s="23" t="s">
        <v>2238</v>
      </c>
    </row>
    <row r="258" spans="1:17" ht="14" customHeight="1" x14ac:dyDescent="0.3">
      <c r="A258" s="1" t="s">
        <v>370</v>
      </c>
      <c r="B258" s="1">
        <v>22</v>
      </c>
      <c r="C258" s="1" t="s">
        <v>0</v>
      </c>
      <c r="D258" s="1">
        <v>182</v>
      </c>
      <c r="E258" s="1">
        <v>76</v>
      </c>
      <c r="F258" s="1">
        <v>53</v>
      </c>
      <c r="G258" s="1">
        <v>68</v>
      </c>
      <c r="H258" s="1" t="s">
        <v>1</v>
      </c>
      <c r="I258" s="1">
        <v>21</v>
      </c>
      <c r="J258" s="1" t="s">
        <v>1164</v>
      </c>
      <c r="K258" s="1">
        <v>2</v>
      </c>
      <c r="L258" s="1">
        <f t="shared" ref="L258:L321" si="4">I258*5</f>
        <v>105</v>
      </c>
      <c r="M258" s="1"/>
      <c r="N258" s="1"/>
      <c r="O258" s="12" t="str">
        <f>IF($J258=Sheet2!$A$2, ROW(), "")</f>
        <v/>
      </c>
      <c r="Q258" s="23" t="s">
        <v>2239</v>
      </c>
    </row>
    <row r="259" spans="1:17" ht="14" customHeight="1" x14ac:dyDescent="0.3">
      <c r="A259" s="1" t="s">
        <v>371</v>
      </c>
      <c r="B259" s="1">
        <v>24</v>
      </c>
      <c r="C259" s="1" t="s">
        <v>0</v>
      </c>
      <c r="D259" s="1">
        <v>188</v>
      </c>
      <c r="E259" s="1">
        <v>84</v>
      </c>
      <c r="F259" s="1">
        <v>55</v>
      </c>
      <c r="G259" s="1">
        <v>66</v>
      </c>
      <c r="H259" s="1" t="s">
        <v>5</v>
      </c>
      <c r="I259" s="1">
        <v>24</v>
      </c>
      <c r="J259" s="1" t="s">
        <v>1164</v>
      </c>
      <c r="K259" s="1">
        <v>2</v>
      </c>
      <c r="L259" s="1">
        <f t="shared" si="4"/>
        <v>120</v>
      </c>
      <c r="M259" s="1"/>
      <c r="N259" s="1"/>
      <c r="O259" s="12" t="str">
        <f>IF($J259=Sheet2!$A$2, ROW(), "")</f>
        <v/>
      </c>
      <c r="Q259" s="23" t="s">
        <v>2240</v>
      </c>
    </row>
    <row r="260" spans="1:17" ht="14" customHeight="1" x14ac:dyDescent="0.3">
      <c r="A260" s="1" t="s">
        <v>372</v>
      </c>
      <c r="B260" s="1">
        <v>22</v>
      </c>
      <c r="C260" s="1" t="s">
        <v>0</v>
      </c>
      <c r="D260" s="1">
        <v>183</v>
      </c>
      <c r="E260" s="1">
        <v>80</v>
      </c>
      <c r="F260" s="1">
        <v>52</v>
      </c>
      <c r="G260" s="1">
        <v>68</v>
      </c>
      <c r="H260" s="1" t="s">
        <v>8</v>
      </c>
      <c r="I260" s="1">
        <v>20</v>
      </c>
      <c r="J260" s="1" t="s">
        <v>1164</v>
      </c>
      <c r="K260" s="1">
        <v>3</v>
      </c>
      <c r="L260" s="1">
        <f t="shared" si="4"/>
        <v>100</v>
      </c>
      <c r="M260" s="1"/>
      <c r="N260" s="1"/>
      <c r="O260" s="12" t="str">
        <f>IF($J260=Sheet2!$A$2, ROW(), "")</f>
        <v/>
      </c>
      <c r="Q260" s="23" t="s">
        <v>2241</v>
      </c>
    </row>
    <row r="261" spans="1:17" ht="14" customHeight="1" x14ac:dyDescent="0.3">
      <c r="A261" s="1" t="s">
        <v>373</v>
      </c>
      <c r="B261" s="1">
        <v>24</v>
      </c>
      <c r="C261" s="1" t="s">
        <v>0</v>
      </c>
      <c r="D261" s="1">
        <v>181</v>
      </c>
      <c r="E261" s="1">
        <v>79</v>
      </c>
      <c r="F261" s="1">
        <v>54</v>
      </c>
      <c r="G261" s="1">
        <v>66</v>
      </c>
      <c r="H261" s="1" t="s">
        <v>10</v>
      </c>
      <c r="I261" s="1">
        <v>23</v>
      </c>
      <c r="J261" s="1" t="s">
        <v>1164</v>
      </c>
      <c r="K261" s="1">
        <v>2</v>
      </c>
      <c r="L261" s="1">
        <f t="shared" si="4"/>
        <v>115</v>
      </c>
      <c r="M261" s="1"/>
      <c r="N261" s="1"/>
      <c r="O261" s="12" t="str">
        <f>IF($J261=Sheet2!$A$2, ROW(), "")</f>
        <v/>
      </c>
      <c r="Q261" s="23" t="s">
        <v>2242</v>
      </c>
    </row>
    <row r="262" spans="1:17" ht="14" customHeight="1" x14ac:dyDescent="0.3">
      <c r="A262" s="1" t="s">
        <v>374</v>
      </c>
      <c r="B262" s="1">
        <v>23</v>
      </c>
      <c r="C262" s="1" t="s">
        <v>0</v>
      </c>
      <c r="D262" s="1">
        <v>187</v>
      </c>
      <c r="E262" s="1">
        <v>83</v>
      </c>
      <c r="F262" s="1">
        <v>53</v>
      </c>
      <c r="G262" s="1">
        <v>67</v>
      </c>
      <c r="H262" s="1" t="s">
        <v>5</v>
      </c>
      <c r="I262" s="1">
        <v>22</v>
      </c>
      <c r="J262" s="1" t="s">
        <v>1164</v>
      </c>
      <c r="K262" s="1">
        <v>2</v>
      </c>
      <c r="L262" s="1">
        <f t="shared" si="4"/>
        <v>110</v>
      </c>
      <c r="M262" s="1"/>
      <c r="N262" s="1"/>
      <c r="O262" s="12" t="str">
        <f>IF($J262=Sheet2!$A$2, ROW(), "")</f>
        <v/>
      </c>
      <c r="Q262" s="23" t="s">
        <v>2243</v>
      </c>
    </row>
    <row r="263" spans="1:17" ht="14" customHeight="1" x14ac:dyDescent="0.3">
      <c r="A263" s="1" t="s">
        <v>375</v>
      </c>
      <c r="B263" s="1">
        <v>22</v>
      </c>
      <c r="C263" s="1" t="s">
        <v>0</v>
      </c>
      <c r="D263" s="1">
        <v>184</v>
      </c>
      <c r="E263" s="1">
        <v>81</v>
      </c>
      <c r="F263" s="1">
        <v>52</v>
      </c>
      <c r="G263" s="1">
        <v>68</v>
      </c>
      <c r="H263" s="1" t="s">
        <v>8</v>
      </c>
      <c r="I263" s="1">
        <v>20</v>
      </c>
      <c r="J263" s="1" t="s">
        <v>1164</v>
      </c>
      <c r="K263" s="1">
        <v>2</v>
      </c>
      <c r="L263" s="1">
        <f t="shared" si="4"/>
        <v>100</v>
      </c>
      <c r="M263" s="1"/>
      <c r="N263" s="1"/>
      <c r="O263" s="12" t="str">
        <f>IF($J263=Sheet2!$A$2, ROW(), "")</f>
        <v/>
      </c>
      <c r="Q263" s="23" t="s">
        <v>2244</v>
      </c>
    </row>
    <row r="264" spans="1:17" ht="14" customHeight="1" x14ac:dyDescent="0.3">
      <c r="A264" s="1" t="s">
        <v>376</v>
      </c>
      <c r="B264" s="1">
        <v>24</v>
      </c>
      <c r="C264" s="1" t="s">
        <v>0</v>
      </c>
      <c r="D264" s="1">
        <v>179</v>
      </c>
      <c r="E264" s="1">
        <v>77</v>
      </c>
      <c r="F264" s="1">
        <v>54</v>
      </c>
      <c r="G264" s="1">
        <v>66</v>
      </c>
      <c r="H264" s="1" t="s">
        <v>15</v>
      </c>
      <c r="I264" s="1">
        <v>23</v>
      </c>
      <c r="J264" s="1" t="s">
        <v>1164</v>
      </c>
      <c r="K264" s="1">
        <v>3</v>
      </c>
      <c r="L264" s="1">
        <f t="shared" si="4"/>
        <v>115</v>
      </c>
      <c r="M264" s="1"/>
      <c r="N264" s="1"/>
      <c r="O264" s="12" t="str">
        <f>IF($J264=Sheet2!$A$2, ROW(), "")</f>
        <v/>
      </c>
      <c r="Q264" s="23" t="s">
        <v>2245</v>
      </c>
    </row>
    <row r="265" spans="1:17" ht="14" customHeight="1" x14ac:dyDescent="0.3">
      <c r="A265" s="1" t="s">
        <v>377</v>
      </c>
      <c r="B265" s="1">
        <v>22</v>
      </c>
      <c r="C265" s="1" t="s">
        <v>0</v>
      </c>
      <c r="D265" s="1">
        <v>176</v>
      </c>
      <c r="E265" s="1">
        <v>74</v>
      </c>
      <c r="F265" s="1">
        <v>52</v>
      </c>
      <c r="G265" s="1">
        <v>68</v>
      </c>
      <c r="H265" s="1" t="s">
        <v>19</v>
      </c>
      <c r="I265" s="1">
        <v>20</v>
      </c>
      <c r="J265" s="1" t="s">
        <v>1164</v>
      </c>
      <c r="K265" s="1">
        <v>2</v>
      </c>
      <c r="L265" s="1">
        <f t="shared" si="4"/>
        <v>100</v>
      </c>
      <c r="M265" s="1"/>
      <c r="N265" s="1"/>
      <c r="O265" s="12" t="str">
        <f>IF($J265=Sheet2!$A$2, ROW(), "")</f>
        <v/>
      </c>
      <c r="Q265" s="23" t="s">
        <v>2246</v>
      </c>
    </row>
    <row r="266" spans="1:17" ht="14" customHeight="1" x14ac:dyDescent="0.3">
      <c r="A266" s="1" t="s">
        <v>378</v>
      </c>
      <c r="B266" s="1">
        <v>24</v>
      </c>
      <c r="C266" s="1" t="s">
        <v>0</v>
      </c>
      <c r="D266" s="1">
        <v>177</v>
      </c>
      <c r="E266" s="1">
        <v>76</v>
      </c>
      <c r="F266" s="1">
        <v>54</v>
      </c>
      <c r="G266" s="1">
        <v>66</v>
      </c>
      <c r="H266" s="1" t="s">
        <v>51</v>
      </c>
      <c r="I266" s="1">
        <v>23</v>
      </c>
      <c r="J266" s="1" t="s">
        <v>11</v>
      </c>
      <c r="K266" s="1">
        <v>2</v>
      </c>
      <c r="L266" s="1">
        <f t="shared" si="4"/>
        <v>115</v>
      </c>
      <c r="M266" s="1"/>
      <c r="N266" s="1"/>
      <c r="O266" s="12" t="str">
        <f>IF($J266=Sheet2!$A$2, ROW(), "")</f>
        <v/>
      </c>
      <c r="Q266" s="23" t="s">
        <v>2247</v>
      </c>
    </row>
    <row r="267" spans="1:17" ht="14" customHeight="1" x14ac:dyDescent="0.3">
      <c r="A267" s="1" t="s">
        <v>379</v>
      </c>
      <c r="B267" s="1">
        <v>23</v>
      </c>
      <c r="C267" s="1" t="s">
        <v>0</v>
      </c>
      <c r="D267" s="1">
        <v>175</v>
      </c>
      <c r="E267" s="1">
        <v>73</v>
      </c>
      <c r="F267" s="1">
        <v>53</v>
      </c>
      <c r="G267" s="1">
        <v>67</v>
      </c>
      <c r="H267" s="1" t="s">
        <v>15</v>
      </c>
      <c r="I267" s="1">
        <v>22</v>
      </c>
      <c r="J267" s="1" t="s">
        <v>1164</v>
      </c>
      <c r="K267" s="1">
        <v>2</v>
      </c>
      <c r="L267" s="1">
        <f t="shared" si="4"/>
        <v>110</v>
      </c>
      <c r="M267" s="1"/>
      <c r="N267" s="1"/>
      <c r="O267" s="12" t="str">
        <f>IF($J267=Sheet2!$A$2, ROW(), "")</f>
        <v/>
      </c>
      <c r="Q267" s="23" t="s">
        <v>2248</v>
      </c>
    </row>
    <row r="268" spans="1:17" ht="14" customHeight="1" x14ac:dyDescent="0.3">
      <c r="A268" s="1" t="s">
        <v>380</v>
      </c>
      <c r="B268" s="1">
        <v>23</v>
      </c>
      <c r="C268" s="1" t="s">
        <v>0</v>
      </c>
      <c r="D268" s="1">
        <v>180</v>
      </c>
      <c r="E268" s="1">
        <v>79</v>
      </c>
      <c r="F268" s="1">
        <v>53</v>
      </c>
      <c r="G268" s="1">
        <v>67</v>
      </c>
      <c r="H268" s="1" t="s">
        <v>21</v>
      </c>
      <c r="I268" s="1">
        <v>22</v>
      </c>
      <c r="J268" s="1" t="s">
        <v>11</v>
      </c>
      <c r="K268" s="1">
        <v>2</v>
      </c>
      <c r="L268" s="1">
        <f t="shared" si="4"/>
        <v>110</v>
      </c>
      <c r="M268" s="1"/>
      <c r="N268" s="1"/>
      <c r="O268" s="12" t="str">
        <f>IF($J268=Sheet2!$A$2, ROW(), "")</f>
        <v/>
      </c>
      <c r="Q268" s="23" t="s">
        <v>2249</v>
      </c>
    </row>
    <row r="269" spans="1:17" ht="14" customHeight="1" x14ac:dyDescent="0.3">
      <c r="A269" s="1" t="s">
        <v>381</v>
      </c>
      <c r="B269" s="1">
        <v>22</v>
      </c>
      <c r="C269" s="1" t="s">
        <v>0</v>
      </c>
      <c r="D269" s="1">
        <v>179</v>
      </c>
      <c r="E269" s="1">
        <v>78</v>
      </c>
      <c r="F269" s="1">
        <v>52</v>
      </c>
      <c r="G269" s="1">
        <v>68</v>
      </c>
      <c r="H269" s="1" t="s">
        <v>40</v>
      </c>
      <c r="I269" s="1">
        <v>20</v>
      </c>
      <c r="J269" s="1" t="s">
        <v>11</v>
      </c>
      <c r="K269" s="1">
        <v>3</v>
      </c>
      <c r="L269" s="1">
        <f t="shared" si="4"/>
        <v>100</v>
      </c>
      <c r="M269" s="1"/>
      <c r="N269" s="1"/>
      <c r="O269" s="12" t="str">
        <f>IF($J269=Sheet2!$A$2, ROW(), "")</f>
        <v/>
      </c>
      <c r="Q269" s="23" t="s">
        <v>2250</v>
      </c>
    </row>
    <row r="270" spans="1:17" ht="14" customHeight="1" x14ac:dyDescent="0.3">
      <c r="A270" s="1" t="s">
        <v>382</v>
      </c>
      <c r="B270" s="1">
        <v>23</v>
      </c>
      <c r="C270" s="1" t="s">
        <v>0</v>
      </c>
      <c r="D270" s="1">
        <v>176</v>
      </c>
      <c r="E270" s="1">
        <v>75</v>
      </c>
      <c r="F270" s="1">
        <v>53</v>
      </c>
      <c r="G270" s="1">
        <v>67</v>
      </c>
      <c r="H270" s="1" t="s">
        <v>21</v>
      </c>
      <c r="I270" s="1">
        <v>22</v>
      </c>
      <c r="J270" s="1" t="s">
        <v>11</v>
      </c>
      <c r="K270" s="1">
        <v>2</v>
      </c>
      <c r="L270" s="1">
        <f t="shared" si="4"/>
        <v>110</v>
      </c>
      <c r="M270" s="1"/>
      <c r="N270" s="1"/>
      <c r="O270" s="12" t="str">
        <f>IF($J270=Sheet2!$A$2, ROW(), "")</f>
        <v/>
      </c>
      <c r="Q270" s="23" t="s">
        <v>2251</v>
      </c>
    </row>
    <row r="271" spans="1:17" ht="14" customHeight="1" x14ac:dyDescent="0.3">
      <c r="A271" s="1" t="s">
        <v>383</v>
      </c>
      <c r="B271" s="1">
        <v>23</v>
      </c>
      <c r="C271" s="1" t="s">
        <v>0</v>
      </c>
      <c r="D271" s="1">
        <v>181</v>
      </c>
      <c r="E271" s="1">
        <v>80</v>
      </c>
      <c r="F271" s="1">
        <v>53</v>
      </c>
      <c r="G271" s="1">
        <v>67</v>
      </c>
      <c r="H271" s="1" t="s">
        <v>23</v>
      </c>
      <c r="I271" s="1">
        <v>22</v>
      </c>
      <c r="J271" s="1" t="s">
        <v>11</v>
      </c>
      <c r="K271" s="1">
        <v>2</v>
      </c>
      <c r="L271" s="1">
        <f t="shared" si="4"/>
        <v>110</v>
      </c>
      <c r="M271" s="1"/>
      <c r="N271" s="1"/>
      <c r="O271" s="12" t="str">
        <f>IF($J271=Sheet2!$A$2, ROW(), "")</f>
        <v/>
      </c>
      <c r="Q271" s="23" t="s">
        <v>2252</v>
      </c>
    </row>
    <row r="272" spans="1:17" ht="14" customHeight="1" x14ac:dyDescent="0.3">
      <c r="A272" s="1" t="s">
        <v>384</v>
      </c>
      <c r="B272" s="1">
        <v>24</v>
      </c>
      <c r="C272" s="1" t="s">
        <v>0</v>
      </c>
      <c r="D272" s="1">
        <v>177</v>
      </c>
      <c r="E272" s="1">
        <v>76</v>
      </c>
      <c r="F272" s="1">
        <v>54</v>
      </c>
      <c r="G272" s="1">
        <v>66</v>
      </c>
      <c r="H272" s="1" t="s">
        <v>34</v>
      </c>
      <c r="I272" s="1">
        <v>23</v>
      </c>
      <c r="J272" s="1" t="s">
        <v>11</v>
      </c>
      <c r="K272" s="1">
        <v>2</v>
      </c>
      <c r="L272" s="1">
        <f t="shared" si="4"/>
        <v>115</v>
      </c>
      <c r="M272" s="1"/>
      <c r="N272" s="1"/>
      <c r="O272" s="12" t="str">
        <f>IF($J272=Sheet2!$A$2, ROW(), "")</f>
        <v/>
      </c>
      <c r="Q272" s="23" t="s">
        <v>2253</v>
      </c>
    </row>
    <row r="273" spans="1:17" ht="14" customHeight="1" x14ac:dyDescent="0.3">
      <c r="A273" s="1" t="s">
        <v>385</v>
      </c>
      <c r="B273" s="1">
        <v>24</v>
      </c>
      <c r="C273" s="1" t="s">
        <v>0</v>
      </c>
      <c r="D273" s="1">
        <v>175</v>
      </c>
      <c r="E273" s="1">
        <v>74</v>
      </c>
      <c r="F273" s="1">
        <v>54</v>
      </c>
      <c r="G273" s="1">
        <v>66</v>
      </c>
      <c r="H273" s="1" t="s">
        <v>15</v>
      </c>
      <c r="I273" s="1">
        <v>23</v>
      </c>
      <c r="J273" s="1" t="s">
        <v>11</v>
      </c>
      <c r="K273" s="1">
        <v>2</v>
      </c>
      <c r="L273" s="1">
        <f t="shared" si="4"/>
        <v>115</v>
      </c>
      <c r="M273" s="1"/>
      <c r="N273" s="1"/>
      <c r="O273" s="12" t="str">
        <f>IF($J273=Sheet2!$A$2, ROW(), "")</f>
        <v/>
      </c>
      <c r="Q273" s="23" t="s">
        <v>2254</v>
      </c>
    </row>
    <row r="274" spans="1:17" ht="14" customHeight="1" x14ac:dyDescent="0.3">
      <c r="A274" s="1" t="s">
        <v>386</v>
      </c>
      <c r="B274" s="1">
        <v>23</v>
      </c>
      <c r="C274" s="1" t="s">
        <v>0</v>
      </c>
      <c r="D274" s="1">
        <v>176</v>
      </c>
      <c r="E274" s="1">
        <v>75</v>
      </c>
      <c r="F274" s="1">
        <v>53</v>
      </c>
      <c r="G274" s="1">
        <v>67</v>
      </c>
      <c r="H274" s="1" t="s">
        <v>10</v>
      </c>
      <c r="I274" s="1">
        <v>22</v>
      </c>
      <c r="J274" s="1" t="s">
        <v>11</v>
      </c>
      <c r="K274" s="1">
        <v>3</v>
      </c>
      <c r="L274" s="1">
        <f t="shared" si="4"/>
        <v>110</v>
      </c>
      <c r="M274" s="1"/>
      <c r="N274" s="1"/>
      <c r="O274" s="12" t="str">
        <f>IF($J274=Sheet2!$A$2, ROW(), "")</f>
        <v/>
      </c>
      <c r="Q274" s="23" t="s">
        <v>2255</v>
      </c>
    </row>
    <row r="275" spans="1:17" ht="14" customHeight="1" x14ac:dyDescent="0.3">
      <c r="A275" s="1" t="s">
        <v>387</v>
      </c>
      <c r="B275" s="1">
        <v>23</v>
      </c>
      <c r="C275" s="1" t="s">
        <v>0</v>
      </c>
      <c r="D275" s="1">
        <v>186</v>
      </c>
      <c r="E275" s="1">
        <v>80</v>
      </c>
      <c r="F275" s="1">
        <v>51</v>
      </c>
      <c r="G275" s="1">
        <v>66</v>
      </c>
      <c r="H275" s="1" t="s">
        <v>1</v>
      </c>
      <c r="I275" s="1">
        <v>19</v>
      </c>
      <c r="J275" s="1" t="s">
        <v>1762</v>
      </c>
      <c r="K275" s="1">
        <v>2</v>
      </c>
      <c r="L275" s="1">
        <f t="shared" si="4"/>
        <v>95</v>
      </c>
      <c r="M275" s="1"/>
      <c r="N275" s="1"/>
      <c r="O275" s="12" t="str">
        <f>IF($J275=Sheet2!$A$2, ROW(), "")</f>
        <v/>
      </c>
      <c r="Q275" s="23" t="s">
        <v>2256</v>
      </c>
    </row>
    <row r="276" spans="1:17" ht="14" customHeight="1" x14ac:dyDescent="0.3">
      <c r="A276" s="1" t="s">
        <v>389</v>
      </c>
      <c r="B276" s="1">
        <v>22</v>
      </c>
      <c r="C276" s="1" t="s">
        <v>0</v>
      </c>
      <c r="D276" s="1">
        <v>184</v>
      </c>
      <c r="E276" s="1">
        <v>78</v>
      </c>
      <c r="F276" s="1">
        <v>50</v>
      </c>
      <c r="G276" s="1">
        <v>67</v>
      </c>
      <c r="H276" s="1" t="s">
        <v>1</v>
      </c>
      <c r="I276" s="1">
        <v>18</v>
      </c>
      <c r="J276" s="1" t="s">
        <v>1762</v>
      </c>
      <c r="K276" s="1">
        <v>2</v>
      </c>
      <c r="L276" s="1">
        <f t="shared" si="4"/>
        <v>90</v>
      </c>
      <c r="M276" s="1"/>
      <c r="N276" s="1"/>
      <c r="O276" s="12" t="str">
        <f>IF($J276=Sheet2!$A$2, ROW(), "")</f>
        <v/>
      </c>
      <c r="Q276" s="23" t="s">
        <v>2257</v>
      </c>
    </row>
    <row r="277" spans="1:17" ht="14" customHeight="1" x14ac:dyDescent="0.3">
      <c r="A277" s="1" t="s">
        <v>390</v>
      </c>
      <c r="B277" s="1">
        <v>24</v>
      </c>
      <c r="C277" s="1" t="s">
        <v>0</v>
      </c>
      <c r="D277" s="1">
        <v>189</v>
      </c>
      <c r="E277" s="1">
        <v>85</v>
      </c>
      <c r="F277" s="1">
        <v>52</v>
      </c>
      <c r="G277" s="1">
        <v>65</v>
      </c>
      <c r="H277" s="1" t="s">
        <v>5</v>
      </c>
      <c r="I277" s="1">
        <v>21</v>
      </c>
      <c r="J277" s="1" t="s">
        <v>1762</v>
      </c>
      <c r="K277" s="1">
        <v>2</v>
      </c>
      <c r="L277" s="1">
        <f t="shared" si="4"/>
        <v>105</v>
      </c>
      <c r="M277" s="1"/>
      <c r="N277" s="1"/>
      <c r="O277" s="12" t="str">
        <f>IF($J277=Sheet2!$A$2, ROW(), "")</f>
        <v/>
      </c>
      <c r="Q277" s="23" t="s">
        <v>2258</v>
      </c>
    </row>
    <row r="278" spans="1:17" ht="14" customHeight="1" x14ac:dyDescent="0.3">
      <c r="A278" s="1" t="s">
        <v>391</v>
      </c>
      <c r="B278" s="1">
        <v>22</v>
      </c>
      <c r="C278" s="1" t="s">
        <v>0</v>
      </c>
      <c r="D278" s="1">
        <v>182</v>
      </c>
      <c r="E278" s="1">
        <v>79</v>
      </c>
      <c r="F278" s="1">
        <v>49</v>
      </c>
      <c r="G278" s="1">
        <v>67</v>
      </c>
      <c r="H278" s="1" t="s">
        <v>8</v>
      </c>
      <c r="I278" s="1">
        <v>17</v>
      </c>
      <c r="J278" s="1" t="s">
        <v>1762</v>
      </c>
      <c r="K278" s="1">
        <v>3</v>
      </c>
      <c r="L278" s="1">
        <f t="shared" si="4"/>
        <v>85</v>
      </c>
      <c r="M278" s="1"/>
      <c r="N278" s="1"/>
      <c r="O278" s="12" t="str">
        <f>IF($J278=Sheet2!$A$2, ROW(), "")</f>
        <v/>
      </c>
      <c r="Q278" s="23" t="s">
        <v>2259</v>
      </c>
    </row>
    <row r="279" spans="1:17" ht="14" customHeight="1" x14ac:dyDescent="0.3">
      <c r="A279" s="1" t="s">
        <v>392</v>
      </c>
      <c r="B279" s="1">
        <v>23</v>
      </c>
      <c r="C279" s="1" t="s">
        <v>0</v>
      </c>
      <c r="D279" s="1">
        <v>180</v>
      </c>
      <c r="E279" s="1">
        <v>77</v>
      </c>
      <c r="F279" s="1">
        <v>50</v>
      </c>
      <c r="G279" s="1">
        <v>66</v>
      </c>
      <c r="H279" s="1" t="s">
        <v>10</v>
      </c>
      <c r="I279" s="1">
        <v>18</v>
      </c>
      <c r="J279" s="1" t="s">
        <v>1762</v>
      </c>
      <c r="K279" s="1">
        <v>2</v>
      </c>
      <c r="L279" s="1">
        <f t="shared" si="4"/>
        <v>90</v>
      </c>
      <c r="M279" s="1"/>
      <c r="N279" s="1"/>
      <c r="O279" s="12" t="str">
        <f>IF($J279=Sheet2!$A$2, ROW(), "")</f>
        <v/>
      </c>
      <c r="Q279" s="23" t="s">
        <v>2260</v>
      </c>
    </row>
    <row r="280" spans="1:17" ht="14" customHeight="1" x14ac:dyDescent="0.3">
      <c r="A280" s="1" t="s">
        <v>393</v>
      </c>
      <c r="B280" s="1">
        <v>24</v>
      </c>
      <c r="C280" s="1" t="s">
        <v>0</v>
      </c>
      <c r="D280" s="1">
        <v>188</v>
      </c>
      <c r="E280" s="1">
        <v>84</v>
      </c>
      <c r="F280" s="1">
        <v>52</v>
      </c>
      <c r="G280" s="1">
        <v>65</v>
      </c>
      <c r="H280" s="1" t="s">
        <v>5</v>
      </c>
      <c r="I280" s="1">
        <v>21</v>
      </c>
      <c r="J280" s="1" t="s">
        <v>1762</v>
      </c>
      <c r="K280" s="1">
        <v>2</v>
      </c>
      <c r="L280" s="1">
        <f t="shared" si="4"/>
        <v>105</v>
      </c>
      <c r="M280" s="1"/>
      <c r="N280" s="1"/>
      <c r="O280" s="12" t="str">
        <f>IF($J280=Sheet2!$A$2, ROW(), "")</f>
        <v/>
      </c>
      <c r="Q280" s="23" t="s">
        <v>2261</v>
      </c>
    </row>
    <row r="281" spans="1:17" ht="14" customHeight="1" x14ac:dyDescent="0.3">
      <c r="A281" s="1" t="s">
        <v>394</v>
      </c>
      <c r="B281" s="1">
        <v>22</v>
      </c>
      <c r="C281" s="1" t="s">
        <v>0</v>
      </c>
      <c r="D281" s="1">
        <v>183</v>
      </c>
      <c r="E281" s="1">
        <v>80</v>
      </c>
      <c r="F281" s="1">
        <v>49</v>
      </c>
      <c r="G281" s="1">
        <v>67</v>
      </c>
      <c r="H281" s="1" t="s">
        <v>8</v>
      </c>
      <c r="I281" s="1">
        <v>17</v>
      </c>
      <c r="J281" s="1" t="s">
        <v>1762</v>
      </c>
      <c r="K281" s="1">
        <v>2</v>
      </c>
      <c r="L281" s="1">
        <f t="shared" si="4"/>
        <v>85</v>
      </c>
      <c r="M281" s="1"/>
      <c r="N281" s="1"/>
      <c r="O281" s="12" t="str">
        <f>IF($J281=Sheet2!$A$2, ROW(), "")</f>
        <v/>
      </c>
      <c r="Q281" s="23" t="s">
        <v>2262</v>
      </c>
    </row>
    <row r="282" spans="1:17" ht="14" customHeight="1" x14ac:dyDescent="0.3">
      <c r="A282" s="1" t="s">
        <v>395</v>
      </c>
      <c r="B282" s="1">
        <v>23</v>
      </c>
      <c r="C282" s="1" t="s">
        <v>0</v>
      </c>
      <c r="D282" s="1">
        <v>178</v>
      </c>
      <c r="E282" s="1">
        <v>75</v>
      </c>
      <c r="F282" s="1">
        <v>51</v>
      </c>
      <c r="G282" s="1">
        <v>66</v>
      </c>
      <c r="H282" s="1" t="s">
        <v>15</v>
      </c>
      <c r="I282" s="1">
        <v>19</v>
      </c>
      <c r="J282" s="1" t="s">
        <v>1762</v>
      </c>
      <c r="K282" s="1">
        <v>3</v>
      </c>
      <c r="L282" s="1">
        <f t="shared" si="4"/>
        <v>95</v>
      </c>
      <c r="M282" s="1"/>
      <c r="N282" s="1"/>
      <c r="O282" s="12" t="str">
        <f>IF($J282=Sheet2!$A$2, ROW(), "")</f>
        <v/>
      </c>
      <c r="Q282" s="23" t="s">
        <v>2263</v>
      </c>
    </row>
    <row r="283" spans="1:17" ht="14" customHeight="1" x14ac:dyDescent="0.3">
      <c r="A283" s="1" t="s">
        <v>396</v>
      </c>
      <c r="B283" s="1">
        <v>22</v>
      </c>
      <c r="C283" s="1" t="s">
        <v>0</v>
      </c>
      <c r="D283" s="1">
        <v>175</v>
      </c>
      <c r="E283" s="1">
        <v>72</v>
      </c>
      <c r="F283" s="1">
        <v>49</v>
      </c>
      <c r="G283" s="1">
        <v>67</v>
      </c>
      <c r="H283" s="1" t="s">
        <v>19</v>
      </c>
      <c r="I283" s="1">
        <v>17</v>
      </c>
      <c r="J283" s="1" t="s">
        <v>1762</v>
      </c>
      <c r="K283" s="1">
        <v>2</v>
      </c>
      <c r="L283" s="1">
        <f t="shared" si="4"/>
        <v>85</v>
      </c>
      <c r="M283" s="1"/>
      <c r="N283" s="1"/>
      <c r="O283" s="12" t="str">
        <f>IF($J283=Sheet2!$A$2, ROW(), "")</f>
        <v/>
      </c>
      <c r="Q283" s="23" t="s">
        <v>2264</v>
      </c>
    </row>
    <row r="284" spans="1:17" ht="14" customHeight="1" x14ac:dyDescent="0.3">
      <c r="A284" s="1" t="s">
        <v>397</v>
      </c>
      <c r="B284" s="1">
        <v>23</v>
      </c>
      <c r="C284" s="1" t="s">
        <v>0</v>
      </c>
      <c r="D284" s="1">
        <v>174</v>
      </c>
      <c r="E284" s="1">
        <v>71</v>
      </c>
      <c r="F284" s="1">
        <v>50</v>
      </c>
      <c r="G284" s="1">
        <v>66</v>
      </c>
      <c r="H284" s="1" t="s">
        <v>51</v>
      </c>
      <c r="I284" s="1">
        <v>18</v>
      </c>
      <c r="J284" s="1" t="s">
        <v>1762</v>
      </c>
      <c r="K284" s="1">
        <v>2</v>
      </c>
      <c r="L284" s="1">
        <f t="shared" si="4"/>
        <v>90</v>
      </c>
      <c r="M284" s="1"/>
      <c r="N284" s="1"/>
      <c r="O284" s="12" t="str">
        <f>IF($J284=Sheet2!$A$2, ROW(), "")</f>
        <v/>
      </c>
      <c r="Q284" s="23" t="s">
        <v>2265</v>
      </c>
    </row>
    <row r="285" spans="1:17" ht="14" customHeight="1" x14ac:dyDescent="0.3">
      <c r="A285" s="1" t="s">
        <v>398</v>
      </c>
      <c r="B285" s="1">
        <v>24</v>
      </c>
      <c r="C285" s="1" t="s">
        <v>0</v>
      </c>
      <c r="D285" s="1">
        <v>177</v>
      </c>
      <c r="E285" s="1">
        <v>74</v>
      </c>
      <c r="F285" s="1">
        <v>51</v>
      </c>
      <c r="G285" s="1">
        <v>65</v>
      </c>
      <c r="H285" s="1" t="s">
        <v>15</v>
      </c>
      <c r="I285" s="1">
        <v>20</v>
      </c>
      <c r="J285" s="1" t="s">
        <v>1762</v>
      </c>
      <c r="K285" s="1">
        <v>2</v>
      </c>
      <c r="L285" s="1">
        <f t="shared" si="4"/>
        <v>100</v>
      </c>
      <c r="M285" s="1"/>
      <c r="N285" s="1"/>
      <c r="O285" s="12" t="str">
        <f>IF($J285=Sheet2!$A$2, ROW(), "")</f>
        <v/>
      </c>
      <c r="Q285" s="23" t="s">
        <v>2266</v>
      </c>
    </row>
    <row r="286" spans="1:17" ht="14" customHeight="1" x14ac:dyDescent="0.3">
      <c r="A286" s="1" t="s">
        <v>399</v>
      </c>
      <c r="B286" s="1">
        <v>22</v>
      </c>
      <c r="C286" s="1" t="s">
        <v>0</v>
      </c>
      <c r="D286" s="1">
        <v>173</v>
      </c>
      <c r="E286" s="1">
        <v>70</v>
      </c>
      <c r="F286" s="1">
        <v>49</v>
      </c>
      <c r="G286" s="1">
        <v>67</v>
      </c>
      <c r="H286" s="1" t="s">
        <v>19</v>
      </c>
      <c r="I286" s="1">
        <v>17</v>
      </c>
      <c r="J286" s="1" t="s">
        <v>1762</v>
      </c>
      <c r="K286" s="1">
        <v>2</v>
      </c>
      <c r="L286" s="1">
        <f t="shared" si="4"/>
        <v>85</v>
      </c>
      <c r="M286" s="1"/>
      <c r="N286" s="1"/>
      <c r="O286" s="12" t="str">
        <f>IF($J286=Sheet2!$A$2, ROW(), "")</f>
        <v/>
      </c>
      <c r="Q286" s="23" t="s">
        <v>2267</v>
      </c>
    </row>
    <row r="287" spans="1:17" ht="14" customHeight="1" x14ac:dyDescent="0.3">
      <c r="A287" s="1" t="s">
        <v>400</v>
      </c>
      <c r="B287" s="1">
        <v>24</v>
      </c>
      <c r="C287" s="1" t="s">
        <v>0</v>
      </c>
      <c r="D287" s="1">
        <v>179</v>
      </c>
      <c r="E287" s="1">
        <v>76</v>
      </c>
      <c r="F287" s="1">
        <v>51</v>
      </c>
      <c r="G287" s="1">
        <v>65</v>
      </c>
      <c r="H287" s="1" t="s">
        <v>21</v>
      </c>
      <c r="I287" s="1">
        <v>19</v>
      </c>
      <c r="J287" s="1" t="s">
        <v>1762</v>
      </c>
      <c r="K287" s="1">
        <v>2</v>
      </c>
      <c r="L287" s="1">
        <f t="shared" si="4"/>
        <v>95</v>
      </c>
      <c r="M287" s="1"/>
      <c r="N287" s="1"/>
      <c r="O287" s="12" t="str">
        <f>IF($J287=Sheet2!$A$2, ROW(), "")</f>
        <v/>
      </c>
      <c r="Q287" s="23" t="s">
        <v>2268</v>
      </c>
    </row>
    <row r="288" spans="1:17" ht="14" customHeight="1" x14ac:dyDescent="0.3">
      <c r="A288" s="1" t="s">
        <v>401</v>
      </c>
      <c r="B288" s="1">
        <v>22</v>
      </c>
      <c r="C288" s="1" t="s">
        <v>0</v>
      </c>
      <c r="D288" s="1">
        <v>180</v>
      </c>
      <c r="E288" s="1">
        <v>77</v>
      </c>
      <c r="F288" s="1">
        <v>49</v>
      </c>
      <c r="G288" s="1">
        <v>67</v>
      </c>
      <c r="H288" s="1" t="s">
        <v>23</v>
      </c>
      <c r="I288" s="1">
        <v>17</v>
      </c>
      <c r="J288" s="1" t="s">
        <v>1762</v>
      </c>
      <c r="K288" s="1">
        <v>2</v>
      </c>
      <c r="L288" s="1">
        <f t="shared" si="4"/>
        <v>85</v>
      </c>
      <c r="M288" s="1"/>
      <c r="N288" s="1"/>
      <c r="O288" s="12" t="str">
        <f>IF($J288=Sheet2!$A$2, ROW(), "")</f>
        <v/>
      </c>
      <c r="Q288" s="23" t="s">
        <v>2269</v>
      </c>
    </row>
    <row r="289" spans="1:17" ht="14" customHeight="1" x14ac:dyDescent="0.3">
      <c r="A289" s="1" t="s">
        <v>402</v>
      </c>
      <c r="B289" s="1">
        <v>23</v>
      </c>
      <c r="C289" s="1" t="s">
        <v>0</v>
      </c>
      <c r="D289" s="1">
        <v>178</v>
      </c>
      <c r="E289" s="1">
        <v>75</v>
      </c>
      <c r="F289" s="1">
        <v>50</v>
      </c>
      <c r="G289" s="1">
        <v>66</v>
      </c>
      <c r="H289" s="1" t="s">
        <v>40</v>
      </c>
      <c r="I289" s="1">
        <v>18</v>
      </c>
      <c r="J289" s="1" t="s">
        <v>1762</v>
      </c>
      <c r="K289" s="1">
        <v>3</v>
      </c>
      <c r="L289" s="1">
        <f t="shared" si="4"/>
        <v>90</v>
      </c>
      <c r="M289" s="1"/>
      <c r="N289" s="1"/>
      <c r="O289" s="12" t="str">
        <f>IF($J289=Sheet2!$A$2, ROW(), "")</f>
        <v/>
      </c>
      <c r="Q289" s="23" t="s">
        <v>2270</v>
      </c>
    </row>
    <row r="290" spans="1:17" ht="14" customHeight="1" x14ac:dyDescent="0.3">
      <c r="A290" s="1" t="s">
        <v>403</v>
      </c>
      <c r="B290" s="1">
        <v>24</v>
      </c>
      <c r="C290" s="1" t="s">
        <v>0</v>
      </c>
      <c r="D290" s="1">
        <v>176</v>
      </c>
      <c r="E290" s="1">
        <v>74</v>
      </c>
      <c r="F290" s="1">
        <v>51</v>
      </c>
      <c r="G290" s="1">
        <v>65</v>
      </c>
      <c r="H290" s="1" t="s">
        <v>34</v>
      </c>
      <c r="I290" s="1">
        <v>19</v>
      </c>
      <c r="J290" s="1" t="s">
        <v>1762</v>
      </c>
      <c r="K290" s="1">
        <v>2</v>
      </c>
      <c r="L290" s="1">
        <f t="shared" si="4"/>
        <v>95</v>
      </c>
      <c r="M290" s="1"/>
      <c r="N290" s="1"/>
      <c r="O290" s="12" t="str">
        <f>IF($J290=Sheet2!$A$2, ROW(), "")</f>
        <v/>
      </c>
      <c r="Q290" s="23" t="s">
        <v>2271</v>
      </c>
    </row>
    <row r="291" spans="1:17" ht="14" customHeight="1" x14ac:dyDescent="0.3">
      <c r="A291" s="1" t="s">
        <v>404</v>
      </c>
      <c r="B291" s="1">
        <v>22</v>
      </c>
      <c r="C291" s="1" t="s">
        <v>0</v>
      </c>
      <c r="D291" s="1">
        <v>175</v>
      </c>
      <c r="E291" s="1">
        <v>73</v>
      </c>
      <c r="F291" s="1">
        <v>49</v>
      </c>
      <c r="G291" s="1">
        <v>67</v>
      </c>
      <c r="H291" s="1" t="s">
        <v>21</v>
      </c>
      <c r="I291" s="1">
        <v>17</v>
      </c>
      <c r="J291" s="1" t="s">
        <v>1762</v>
      </c>
      <c r="K291" s="1">
        <v>2</v>
      </c>
      <c r="L291" s="1">
        <f t="shared" si="4"/>
        <v>85</v>
      </c>
      <c r="M291" s="1"/>
      <c r="N291" s="1"/>
      <c r="O291" s="12" t="str">
        <f>IF($J291=Sheet2!$A$2, ROW(), "")</f>
        <v/>
      </c>
      <c r="Q291" s="23" t="s">
        <v>2272</v>
      </c>
    </row>
    <row r="292" spans="1:17" ht="14" customHeight="1" x14ac:dyDescent="0.3">
      <c r="A292" s="1" t="s">
        <v>405</v>
      </c>
      <c r="B292" s="1">
        <v>23</v>
      </c>
      <c r="C292" s="1" t="s">
        <v>0</v>
      </c>
      <c r="D292" s="1">
        <v>173</v>
      </c>
      <c r="E292" s="1">
        <v>71</v>
      </c>
      <c r="F292" s="1">
        <v>50</v>
      </c>
      <c r="G292" s="1">
        <v>66</v>
      </c>
      <c r="H292" s="1" t="s">
        <v>10</v>
      </c>
      <c r="I292" s="1">
        <v>18</v>
      </c>
      <c r="J292" s="1" t="s">
        <v>1762</v>
      </c>
      <c r="K292" s="1">
        <v>3</v>
      </c>
      <c r="L292" s="1">
        <f t="shared" si="4"/>
        <v>90</v>
      </c>
      <c r="M292" s="1"/>
      <c r="N292" s="1"/>
      <c r="O292" s="12" t="str">
        <f>IF($J292=Sheet2!$A$2, ROW(), "")</f>
        <v/>
      </c>
      <c r="Q292" s="23" t="s">
        <v>2273</v>
      </c>
    </row>
    <row r="293" spans="1:17" ht="14" customHeight="1" x14ac:dyDescent="0.3">
      <c r="A293" s="1" t="s">
        <v>406</v>
      </c>
      <c r="B293" s="1">
        <v>22</v>
      </c>
      <c r="C293" s="1" t="s">
        <v>0</v>
      </c>
      <c r="D293" s="1">
        <v>172</v>
      </c>
      <c r="E293" s="1">
        <v>70</v>
      </c>
      <c r="F293" s="1">
        <v>49</v>
      </c>
      <c r="G293" s="1">
        <v>67</v>
      </c>
      <c r="H293" s="1" t="s">
        <v>15</v>
      </c>
      <c r="I293" s="1">
        <v>17</v>
      </c>
      <c r="J293" s="1" t="s">
        <v>1762</v>
      </c>
      <c r="K293" s="1">
        <v>2</v>
      </c>
      <c r="L293" s="1">
        <f t="shared" si="4"/>
        <v>85</v>
      </c>
      <c r="M293" s="1"/>
      <c r="N293" s="1"/>
      <c r="O293" s="12" t="str">
        <f>IF($J293=Sheet2!$A$2, ROW(), "")</f>
        <v/>
      </c>
      <c r="Q293" s="23" t="s">
        <v>2274</v>
      </c>
    </row>
    <row r="294" spans="1:17" ht="14" customHeight="1" x14ac:dyDescent="0.3">
      <c r="A294" s="1" t="s">
        <v>407</v>
      </c>
      <c r="B294" s="1">
        <v>23</v>
      </c>
      <c r="C294" s="1" t="s">
        <v>0</v>
      </c>
      <c r="D294" s="1">
        <v>185</v>
      </c>
      <c r="E294" s="1">
        <v>78</v>
      </c>
      <c r="F294" s="1">
        <v>51</v>
      </c>
      <c r="G294" s="1">
        <v>66</v>
      </c>
      <c r="H294" s="1" t="s">
        <v>1</v>
      </c>
      <c r="I294" s="1">
        <v>18</v>
      </c>
      <c r="J294" s="1" t="s">
        <v>11</v>
      </c>
      <c r="K294" s="1">
        <v>2</v>
      </c>
      <c r="L294" s="1">
        <f t="shared" si="4"/>
        <v>90</v>
      </c>
      <c r="M294" s="1"/>
      <c r="N294" s="1"/>
      <c r="O294" s="12" t="str">
        <f>IF($J294=Sheet2!$A$2, ROW(), "")</f>
        <v/>
      </c>
      <c r="Q294" s="23" t="s">
        <v>2275</v>
      </c>
    </row>
    <row r="295" spans="1:17" ht="14" customHeight="1" x14ac:dyDescent="0.3">
      <c r="A295" s="1" t="s">
        <v>408</v>
      </c>
      <c r="B295" s="1">
        <v>22</v>
      </c>
      <c r="C295" s="1" t="s">
        <v>0</v>
      </c>
      <c r="D295" s="1">
        <v>183</v>
      </c>
      <c r="E295" s="1">
        <v>76</v>
      </c>
      <c r="F295" s="1">
        <v>50</v>
      </c>
      <c r="G295" s="1">
        <v>67</v>
      </c>
      <c r="H295" s="1" t="s">
        <v>1</v>
      </c>
      <c r="I295" s="1">
        <v>17</v>
      </c>
      <c r="J295" s="1" t="s">
        <v>11</v>
      </c>
      <c r="K295" s="1">
        <v>2</v>
      </c>
      <c r="L295" s="1">
        <f t="shared" si="4"/>
        <v>85</v>
      </c>
      <c r="M295" s="1"/>
      <c r="N295" s="1"/>
      <c r="O295" s="12" t="str">
        <f>IF($J295=Sheet2!$A$2, ROW(), "")</f>
        <v/>
      </c>
      <c r="Q295" s="23" t="s">
        <v>2276</v>
      </c>
    </row>
    <row r="296" spans="1:17" ht="14" customHeight="1" x14ac:dyDescent="0.3">
      <c r="A296" s="1" t="s">
        <v>409</v>
      </c>
      <c r="B296" s="1">
        <v>24</v>
      </c>
      <c r="C296" s="1" t="s">
        <v>0</v>
      </c>
      <c r="D296" s="1">
        <v>188</v>
      </c>
      <c r="E296" s="1">
        <v>84</v>
      </c>
      <c r="F296" s="1">
        <v>52</v>
      </c>
      <c r="G296" s="1">
        <v>65</v>
      </c>
      <c r="H296" s="1" t="s">
        <v>5</v>
      </c>
      <c r="I296" s="1">
        <v>19</v>
      </c>
      <c r="J296" s="1" t="s">
        <v>11</v>
      </c>
      <c r="K296" s="1">
        <v>2</v>
      </c>
      <c r="L296" s="1">
        <f t="shared" si="4"/>
        <v>95</v>
      </c>
      <c r="M296" s="1"/>
      <c r="N296" s="1"/>
      <c r="O296" s="12" t="str">
        <f>IF($J296=Sheet2!$A$2, ROW(), "")</f>
        <v/>
      </c>
      <c r="Q296" s="23" t="s">
        <v>2277</v>
      </c>
    </row>
    <row r="297" spans="1:17" ht="14" customHeight="1" x14ac:dyDescent="0.3">
      <c r="A297" s="1" t="s">
        <v>410</v>
      </c>
      <c r="B297" s="1">
        <v>22</v>
      </c>
      <c r="C297" s="1" t="s">
        <v>0</v>
      </c>
      <c r="D297" s="1">
        <v>182</v>
      </c>
      <c r="E297" s="1">
        <v>79</v>
      </c>
      <c r="F297" s="1">
        <v>49</v>
      </c>
      <c r="G297" s="1">
        <v>67</v>
      </c>
      <c r="H297" s="1" t="s">
        <v>8</v>
      </c>
      <c r="I297" s="1">
        <v>16</v>
      </c>
      <c r="J297" s="1" t="s">
        <v>100</v>
      </c>
      <c r="K297" s="1">
        <v>3</v>
      </c>
      <c r="L297" s="1">
        <f t="shared" si="4"/>
        <v>80</v>
      </c>
      <c r="M297" s="1"/>
      <c r="N297" s="1"/>
      <c r="O297" s="12" t="str">
        <f>IF($J297=Sheet2!$A$2, ROW(), "")</f>
        <v/>
      </c>
      <c r="Q297" s="23" t="s">
        <v>2278</v>
      </c>
    </row>
    <row r="298" spans="1:17" ht="14" customHeight="1" x14ac:dyDescent="0.3">
      <c r="A298" s="1" t="s">
        <v>411</v>
      </c>
      <c r="B298" s="1">
        <v>23</v>
      </c>
      <c r="C298" s="1" t="s">
        <v>0</v>
      </c>
      <c r="D298" s="1">
        <v>180</v>
      </c>
      <c r="E298" s="1">
        <v>77</v>
      </c>
      <c r="F298" s="1">
        <v>50</v>
      </c>
      <c r="G298" s="1">
        <v>66</v>
      </c>
      <c r="H298" s="1" t="s">
        <v>10</v>
      </c>
      <c r="I298" s="1">
        <v>17</v>
      </c>
      <c r="J298" s="1" t="s">
        <v>11</v>
      </c>
      <c r="K298" s="1">
        <v>2</v>
      </c>
      <c r="L298" s="1">
        <f t="shared" si="4"/>
        <v>85</v>
      </c>
      <c r="M298" s="1"/>
      <c r="N298" s="1"/>
      <c r="O298" s="12" t="str">
        <f>IF($J298=Sheet2!$A$2, ROW(), "")</f>
        <v/>
      </c>
      <c r="Q298" s="23" t="s">
        <v>2279</v>
      </c>
    </row>
    <row r="299" spans="1:17" ht="14" customHeight="1" x14ac:dyDescent="0.3">
      <c r="A299" s="1" t="s">
        <v>412</v>
      </c>
      <c r="B299" s="1">
        <v>24</v>
      </c>
      <c r="C299" s="1" t="s">
        <v>0</v>
      </c>
      <c r="D299" s="1">
        <v>187</v>
      </c>
      <c r="E299" s="1">
        <v>83</v>
      </c>
      <c r="F299" s="1">
        <v>52</v>
      </c>
      <c r="G299" s="1">
        <v>65</v>
      </c>
      <c r="H299" s="1" t="s">
        <v>5</v>
      </c>
      <c r="I299" s="1">
        <v>19</v>
      </c>
      <c r="J299" s="1" t="s">
        <v>11</v>
      </c>
      <c r="K299" s="1">
        <v>2</v>
      </c>
      <c r="L299" s="1">
        <f t="shared" si="4"/>
        <v>95</v>
      </c>
      <c r="M299" s="1"/>
      <c r="N299" s="1"/>
      <c r="O299" s="12" t="str">
        <f>IF($J299=Sheet2!$A$2, ROW(), "")</f>
        <v/>
      </c>
      <c r="Q299" s="23" t="s">
        <v>2280</v>
      </c>
    </row>
    <row r="300" spans="1:17" ht="14" customHeight="1" x14ac:dyDescent="0.3">
      <c r="A300" s="1" t="s">
        <v>413</v>
      </c>
      <c r="B300" s="1">
        <v>22</v>
      </c>
      <c r="C300" s="1" t="s">
        <v>0</v>
      </c>
      <c r="D300" s="1">
        <v>183</v>
      </c>
      <c r="E300" s="1">
        <v>80</v>
      </c>
      <c r="F300" s="1">
        <v>49</v>
      </c>
      <c r="G300" s="1">
        <v>67</v>
      </c>
      <c r="H300" s="1" t="s">
        <v>8</v>
      </c>
      <c r="I300" s="1">
        <v>16</v>
      </c>
      <c r="J300" s="1" t="s">
        <v>11</v>
      </c>
      <c r="K300" s="1">
        <v>2</v>
      </c>
      <c r="L300" s="1">
        <f t="shared" si="4"/>
        <v>80</v>
      </c>
      <c r="M300" s="1"/>
      <c r="N300" s="1"/>
      <c r="O300" s="12" t="str">
        <f>IF($J300=Sheet2!$A$2, ROW(), "")</f>
        <v/>
      </c>
      <c r="Q300" s="23" t="s">
        <v>2281</v>
      </c>
    </row>
    <row r="301" spans="1:17" ht="14" customHeight="1" x14ac:dyDescent="0.3">
      <c r="A301" s="1" t="s">
        <v>414</v>
      </c>
      <c r="B301" s="1">
        <v>23</v>
      </c>
      <c r="C301" s="1" t="s">
        <v>0</v>
      </c>
      <c r="D301" s="1">
        <v>178</v>
      </c>
      <c r="E301" s="1">
        <v>75</v>
      </c>
      <c r="F301" s="1">
        <v>51</v>
      </c>
      <c r="G301" s="1">
        <v>66</v>
      </c>
      <c r="H301" s="1" t="s">
        <v>15</v>
      </c>
      <c r="I301" s="1">
        <v>18</v>
      </c>
      <c r="J301" s="1" t="s">
        <v>11</v>
      </c>
      <c r="K301" s="1">
        <v>3</v>
      </c>
      <c r="L301" s="1">
        <f t="shared" si="4"/>
        <v>90</v>
      </c>
      <c r="M301" s="1"/>
      <c r="N301" s="1"/>
      <c r="O301" s="12" t="str">
        <f>IF($J301=Sheet2!$A$2, ROW(), "")</f>
        <v/>
      </c>
      <c r="Q301" s="23" t="s">
        <v>2282</v>
      </c>
    </row>
    <row r="302" spans="1:17" ht="14" customHeight="1" x14ac:dyDescent="0.3">
      <c r="A302" s="1" t="s">
        <v>415</v>
      </c>
      <c r="B302" s="1">
        <v>22</v>
      </c>
      <c r="C302" s="1" t="s">
        <v>0</v>
      </c>
      <c r="D302" s="1">
        <v>175</v>
      </c>
      <c r="E302" s="1">
        <v>72</v>
      </c>
      <c r="F302" s="1">
        <v>49</v>
      </c>
      <c r="G302" s="1">
        <v>67</v>
      </c>
      <c r="H302" s="1" t="s">
        <v>19</v>
      </c>
      <c r="I302" s="1">
        <v>16</v>
      </c>
      <c r="J302" s="1" t="s">
        <v>11</v>
      </c>
      <c r="K302" s="1">
        <v>2</v>
      </c>
      <c r="L302" s="1">
        <f t="shared" si="4"/>
        <v>80</v>
      </c>
      <c r="M302" s="1"/>
      <c r="N302" s="1"/>
      <c r="O302" s="12" t="str">
        <f>IF($J302=Sheet2!$A$2, ROW(), "")</f>
        <v/>
      </c>
      <c r="Q302" s="23" t="s">
        <v>2283</v>
      </c>
    </row>
    <row r="303" spans="1:17" ht="14" customHeight="1" x14ac:dyDescent="0.3">
      <c r="A303" s="1" t="s">
        <v>416</v>
      </c>
      <c r="B303" s="1">
        <v>23</v>
      </c>
      <c r="C303" s="1" t="s">
        <v>0</v>
      </c>
      <c r="D303" s="1">
        <v>174</v>
      </c>
      <c r="E303" s="1">
        <v>71</v>
      </c>
      <c r="F303" s="1">
        <v>50</v>
      </c>
      <c r="G303" s="1">
        <v>66</v>
      </c>
      <c r="H303" s="1" t="s">
        <v>51</v>
      </c>
      <c r="I303" s="1">
        <v>17</v>
      </c>
      <c r="J303" s="1" t="s">
        <v>11</v>
      </c>
      <c r="K303" s="1">
        <v>2</v>
      </c>
      <c r="L303" s="1">
        <f t="shared" si="4"/>
        <v>85</v>
      </c>
      <c r="M303" s="1"/>
      <c r="N303" s="1"/>
      <c r="O303" s="12" t="str">
        <f>IF($J303=Sheet2!$A$2, ROW(), "")</f>
        <v/>
      </c>
      <c r="Q303" s="23" t="s">
        <v>2284</v>
      </c>
    </row>
    <row r="304" spans="1:17" ht="14" customHeight="1" x14ac:dyDescent="0.3">
      <c r="A304" s="1" t="s">
        <v>417</v>
      </c>
      <c r="B304" s="1">
        <v>22</v>
      </c>
      <c r="C304" s="1" t="s">
        <v>0</v>
      </c>
      <c r="D304" s="1">
        <v>175</v>
      </c>
      <c r="E304" s="1">
        <v>72</v>
      </c>
      <c r="F304" s="1">
        <v>49</v>
      </c>
      <c r="G304" s="1">
        <v>67</v>
      </c>
      <c r="H304" s="1" t="s">
        <v>15</v>
      </c>
      <c r="I304" s="1">
        <v>16</v>
      </c>
      <c r="J304" s="1" t="s">
        <v>11</v>
      </c>
      <c r="K304" s="1">
        <v>2</v>
      </c>
      <c r="L304" s="1">
        <f t="shared" si="4"/>
        <v>80</v>
      </c>
      <c r="M304" s="1"/>
      <c r="N304" s="1"/>
      <c r="O304" s="12" t="str">
        <f>IF($J304=Sheet2!$A$2, ROW(), "")</f>
        <v/>
      </c>
      <c r="Q304" s="23" t="s">
        <v>2285</v>
      </c>
    </row>
    <row r="305" spans="1:17" ht="14" customHeight="1" x14ac:dyDescent="0.3">
      <c r="A305" s="1" t="s">
        <v>418</v>
      </c>
      <c r="B305" s="1">
        <v>23</v>
      </c>
      <c r="C305" s="1" t="s">
        <v>0</v>
      </c>
      <c r="D305" s="1">
        <v>173</v>
      </c>
      <c r="E305" s="1">
        <v>70</v>
      </c>
      <c r="F305" s="1">
        <v>50</v>
      </c>
      <c r="G305" s="1">
        <v>66</v>
      </c>
      <c r="H305" s="1" t="s">
        <v>19</v>
      </c>
      <c r="I305" s="1">
        <v>17</v>
      </c>
      <c r="J305" s="1" t="s">
        <v>11</v>
      </c>
      <c r="K305" s="1">
        <v>2</v>
      </c>
      <c r="L305" s="1">
        <f t="shared" si="4"/>
        <v>85</v>
      </c>
      <c r="M305" s="1"/>
      <c r="N305" s="1"/>
      <c r="O305" s="12" t="str">
        <f>IF($J305=Sheet2!$A$2, ROW(), "")</f>
        <v/>
      </c>
      <c r="Q305" s="23" t="s">
        <v>2286</v>
      </c>
    </row>
    <row r="306" spans="1:17" ht="14" customHeight="1" x14ac:dyDescent="0.3">
      <c r="A306" s="1" t="s">
        <v>419</v>
      </c>
      <c r="B306" s="1">
        <v>23</v>
      </c>
      <c r="C306" s="1" t="s">
        <v>0</v>
      </c>
      <c r="D306" s="1">
        <v>178</v>
      </c>
      <c r="E306" s="1">
        <v>76</v>
      </c>
      <c r="F306" s="1">
        <v>50</v>
      </c>
      <c r="G306" s="1">
        <v>66</v>
      </c>
      <c r="H306" s="1" t="s">
        <v>21</v>
      </c>
      <c r="I306" s="1">
        <v>17</v>
      </c>
      <c r="J306" s="1" t="s">
        <v>100</v>
      </c>
      <c r="K306" s="1">
        <v>2</v>
      </c>
      <c r="L306" s="1">
        <f t="shared" si="4"/>
        <v>85</v>
      </c>
      <c r="M306" s="1"/>
      <c r="N306" s="1"/>
      <c r="O306" s="12" t="str">
        <f>IF($J306=Sheet2!$A$2, ROW(), "")</f>
        <v/>
      </c>
      <c r="Q306" s="23" t="s">
        <v>2287</v>
      </c>
    </row>
    <row r="307" spans="1:17" ht="14" customHeight="1" x14ac:dyDescent="0.3">
      <c r="A307" s="1" t="s">
        <v>420</v>
      </c>
      <c r="B307" s="1">
        <v>23</v>
      </c>
      <c r="C307" s="1" t="s">
        <v>0</v>
      </c>
      <c r="D307" s="1">
        <v>179</v>
      </c>
      <c r="E307" s="1">
        <v>77</v>
      </c>
      <c r="F307" s="1">
        <v>50</v>
      </c>
      <c r="G307" s="1">
        <v>66</v>
      </c>
      <c r="H307" s="1" t="s">
        <v>23</v>
      </c>
      <c r="I307" s="1">
        <v>17</v>
      </c>
      <c r="J307" s="1" t="s">
        <v>11</v>
      </c>
      <c r="K307" s="1">
        <v>2</v>
      </c>
      <c r="L307" s="1">
        <f t="shared" si="4"/>
        <v>85</v>
      </c>
      <c r="M307" s="1"/>
      <c r="N307" s="1"/>
      <c r="O307" s="12" t="str">
        <f>IF($J307=Sheet2!$A$2, ROW(), "")</f>
        <v/>
      </c>
      <c r="Q307" s="23" t="s">
        <v>2288</v>
      </c>
    </row>
    <row r="308" spans="1:17" ht="14" customHeight="1" x14ac:dyDescent="0.3">
      <c r="A308" s="1" t="s">
        <v>421</v>
      </c>
      <c r="B308" s="1">
        <v>24</v>
      </c>
      <c r="C308" s="1" t="s">
        <v>0</v>
      </c>
      <c r="D308" s="1">
        <v>177</v>
      </c>
      <c r="E308" s="1">
        <v>75</v>
      </c>
      <c r="F308" s="1">
        <v>51</v>
      </c>
      <c r="G308" s="1">
        <v>65</v>
      </c>
      <c r="H308" s="1" t="s">
        <v>40</v>
      </c>
      <c r="I308" s="1">
        <v>18</v>
      </c>
      <c r="J308" s="1" t="s">
        <v>11</v>
      </c>
      <c r="K308" s="1">
        <v>3</v>
      </c>
      <c r="L308" s="1">
        <f t="shared" si="4"/>
        <v>90</v>
      </c>
      <c r="M308" s="1"/>
      <c r="N308" s="1"/>
      <c r="O308" s="12" t="str">
        <f>IF($J308=Sheet2!$A$2, ROW(), "")</f>
        <v/>
      </c>
      <c r="Q308" s="23" t="s">
        <v>2289</v>
      </c>
    </row>
    <row r="309" spans="1:17" ht="14" customHeight="1" x14ac:dyDescent="0.3">
      <c r="A309" s="1" t="s">
        <v>422</v>
      </c>
      <c r="B309" s="1">
        <v>22</v>
      </c>
      <c r="C309" s="1" t="s">
        <v>0</v>
      </c>
      <c r="D309" s="1">
        <v>175</v>
      </c>
      <c r="E309" s="1">
        <v>74</v>
      </c>
      <c r="F309" s="1">
        <v>49</v>
      </c>
      <c r="G309" s="1">
        <v>67</v>
      </c>
      <c r="H309" s="1" t="s">
        <v>34</v>
      </c>
      <c r="I309" s="1">
        <v>16</v>
      </c>
      <c r="J309" s="1" t="s">
        <v>11</v>
      </c>
      <c r="K309" s="1">
        <v>2</v>
      </c>
      <c r="L309" s="1">
        <f t="shared" si="4"/>
        <v>80</v>
      </c>
      <c r="M309" s="1"/>
      <c r="N309" s="1"/>
      <c r="O309" s="12" t="str">
        <f>IF($J309=Sheet2!$A$2, ROW(), "")</f>
        <v/>
      </c>
      <c r="Q309" s="23" t="s">
        <v>2290</v>
      </c>
    </row>
    <row r="310" spans="1:17" ht="14" customHeight="1" x14ac:dyDescent="0.3">
      <c r="A310" s="1" t="s">
        <v>423</v>
      </c>
      <c r="B310" s="1">
        <v>23</v>
      </c>
      <c r="C310" s="1" t="s">
        <v>0</v>
      </c>
      <c r="D310" s="1">
        <v>176</v>
      </c>
      <c r="E310" s="1">
        <v>73</v>
      </c>
      <c r="F310" s="1">
        <v>66</v>
      </c>
      <c r="G310" s="1">
        <v>66</v>
      </c>
      <c r="H310" s="1" t="s">
        <v>21</v>
      </c>
      <c r="I310" s="1">
        <v>17</v>
      </c>
      <c r="J310" s="1" t="s">
        <v>268</v>
      </c>
      <c r="K310" s="1">
        <v>2</v>
      </c>
      <c r="L310" s="1">
        <f t="shared" si="4"/>
        <v>85</v>
      </c>
      <c r="M310" s="1"/>
      <c r="N310" s="1"/>
      <c r="O310" s="12" t="str">
        <f>IF($J310=Sheet2!$A$2, ROW(), "")</f>
        <v/>
      </c>
      <c r="Q310" s="23" t="s">
        <v>2291</v>
      </c>
    </row>
    <row r="311" spans="1:17" ht="14" customHeight="1" x14ac:dyDescent="0.3">
      <c r="A311" s="1" t="s">
        <v>424</v>
      </c>
      <c r="B311" s="1">
        <v>22</v>
      </c>
      <c r="C311" s="1" t="s">
        <v>0</v>
      </c>
      <c r="D311" s="1">
        <v>173</v>
      </c>
      <c r="E311" s="1">
        <v>70</v>
      </c>
      <c r="F311" s="1">
        <v>49</v>
      </c>
      <c r="G311" s="1">
        <v>67</v>
      </c>
      <c r="H311" s="1" t="s">
        <v>15</v>
      </c>
      <c r="I311" s="1">
        <v>16</v>
      </c>
      <c r="J311" s="1" t="s">
        <v>11</v>
      </c>
      <c r="K311" s="1">
        <v>2</v>
      </c>
      <c r="L311" s="1">
        <f t="shared" si="4"/>
        <v>80</v>
      </c>
      <c r="M311" s="1"/>
      <c r="N311" s="1"/>
      <c r="O311" s="12" t="str">
        <f>IF($J311=Sheet2!$A$2, ROW(), "")</f>
        <v/>
      </c>
      <c r="Q311" s="23" t="s">
        <v>2292</v>
      </c>
    </row>
    <row r="312" spans="1:17" ht="14" customHeight="1" x14ac:dyDescent="0.3">
      <c r="A312" s="1" t="s">
        <v>425</v>
      </c>
      <c r="B312" s="1">
        <v>23</v>
      </c>
      <c r="C312" s="1" t="s">
        <v>0</v>
      </c>
      <c r="D312" s="1">
        <v>175</v>
      </c>
      <c r="E312" s="1">
        <v>72</v>
      </c>
      <c r="F312" s="1">
        <v>50</v>
      </c>
      <c r="G312" s="1">
        <v>66</v>
      </c>
      <c r="H312" s="1" t="s">
        <v>10</v>
      </c>
      <c r="I312" s="1">
        <v>17</v>
      </c>
      <c r="J312" s="1" t="s">
        <v>11</v>
      </c>
      <c r="K312" s="1">
        <v>3</v>
      </c>
      <c r="L312" s="1">
        <f t="shared" si="4"/>
        <v>85</v>
      </c>
      <c r="M312" s="1"/>
      <c r="N312" s="1"/>
      <c r="O312" s="12" t="str">
        <f>IF($J312=Sheet2!$A$2, ROW(), "")</f>
        <v/>
      </c>
      <c r="Q312" s="23" t="s">
        <v>2293</v>
      </c>
    </row>
    <row r="313" spans="1:17" ht="14" customHeight="1" x14ac:dyDescent="0.3">
      <c r="A313" s="1" t="s">
        <v>426</v>
      </c>
      <c r="B313" s="1">
        <v>23</v>
      </c>
      <c r="C313" s="1" t="s">
        <v>0</v>
      </c>
      <c r="D313" s="1">
        <v>184</v>
      </c>
      <c r="E313" s="1">
        <v>78</v>
      </c>
      <c r="F313" s="1">
        <v>50</v>
      </c>
      <c r="G313" s="1">
        <v>65</v>
      </c>
      <c r="H313" s="1" t="s">
        <v>1</v>
      </c>
      <c r="I313" s="1">
        <v>16</v>
      </c>
      <c r="J313" s="1" t="s">
        <v>37</v>
      </c>
      <c r="K313" s="1">
        <v>2</v>
      </c>
      <c r="L313" s="1">
        <f t="shared" si="4"/>
        <v>80</v>
      </c>
      <c r="M313" s="1"/>
      <c r="N313" s="1"/>
      <c r="O313" s="12" t="str">
        <f>IF($J313=Sheet2!$A$2, ROW(), "")</f>
        <v/>
      </c>
      <c r="Q313" s="23" t="s">
        <v>2294</v>
      </c>
    </row>
    <row r="314" spans="1:17" ht="14" customHeight="1" x14ac:dyDescent="0.3">
      <c r="A314" s="1" t="s">
        <v>427</v>
      </c>
      <c r="B314" s="1">
        <v>22</v>
      </c>
      <c r="C314" s="1" t="s">
        <v>0</v>
      </c>
      <c r="D314" s="1">
        <v>182</v>
      </c>
      <c r="E314" s="1">
        <v>76</v>
      </c>
      <c r="F314" s="1">
        <v>49</v>
      </c>
      <c r="G314" s="1">
        <v>66</v>
      </c>
      <c r="H314" s="1" t="s">
        <v>1</v>
      </c>
      <c r="I314" s="1">
        <v>15</v>
      </c>
      <c r="J314" s="1" t="s">
        <v>37</v>
      </c>
      <c r="K314" s="1">
        <v>2</v>
      </c>
      <c r="L314" s="1">
        <f t="shared" si="4"/>
        <v>75</v>
      </c>
      <c r="M314" s="1"/>
      <c r="N314" s="1"/>
      <c r="O314" s="12" t="str">
        <f>IF($J314=Sheet2!$A$2, ROW(), "")</f>
        <v/>
      </c>
      <c r="Q314" s="23" t="s">
        <v>2295</v>
      </c>
    </row>
    <row r="315" spans="1:17" ht="14" customHeight="1" x14ac:dyDescent="0.3">
      <c r="A315" s="1" t="s">
        <v>428</v>
      </c>
      <c r="B315" s="1">
        <v>24</v>
      </c>
      <c r="C315" s="1" t="s">
        <v>0</v>
      </c>
      <c r="D315" s="1">
        <v>188</v>
      </c>
      <c r="E315" s="1">
        <v>85</v>
      </c>
      <c r="F315" s="1">
        <v>51</v>
      </c>
      <c r="G315" s="1">
        <v>64</v>
      </c>
      <c r="H315" s="1" t="s">
        <v>5</v>
      </c>
      <c r="I315" s="1">
        <v>17</v>
      </c>
      <c r="J315" s="1" t="s">
        <v>37</v>
      </c>
      <c r="K315" s="1">
        <v>2</v>
      </c>
      <c r="L315" s="1">
        <f t="shared" si="4"/>
        <v>85</v>
      </c>
      <c r="M315" s="1"/>
      <c r="N315" s="1"/>
      <c r="O315" s="12" t="str">
        <f>IF($J315=Sheet2!$A$2, ROW(), "")</f>
        <v/>
      </c>
      <c r="Q315" s="23" t="s">
        <v>2296</v>
      </c>
    </row>
    <row r="316" spans="1:17" ht="14" customHeight="1" x14ac:dyDescent="0.3">
      <c r="A316" s="1" t="s">
        <v>429</v>
      </c>
      <c r="B316" s="1">
        <v>22</v>
      </c>
      <c r="C316" s="1" t="s">
        <v>0</v>
      </c>
      <c r="D316" s="1">
        <v>183</v>
      </c>
      <c r="E316" s="1">
        <v>81</v>
      </c>
      <c r="F316" s="1">
        <v>48</v>
      </c>
      <c r="G316" s="1">
        <v>66</v>
      </c>
      <c r="H316" s="1" t="s">
        <v>8</v>
      </c>
      <c r="I316" s="1">
        <v>14</v>
      </c>
      <c r="J316" s="1" t="s">
        <v>37</v>
      </c>
      <c r="K316" s="1">
        <v>3</v>
      </c>
      <c r="L316" s="1">
        <f t="shared" si="4"/>
        <v>70</v>
      </c>
      <c r="M316" s="1"/>
      <c r="N316" s="1"/>
      <c r="O316" s="12" t="str">
        <f>IF($J316=Sheet2!$A$2, ROW(), "")</f>
        <v/>
      </c>
      <c r="Q316" s="23" t="s">
        <v>2297</v>
      </c>
    </row>
    <row r="317" spans="1:17" ht="14" customHeight="1" x14ac:dyDescent="0.3">
      <c r="A317" s="1" t="s">
        <v>430</v>
      </c>
      <c r="B317" s="1">
        <v>23</v>
      </c>
      <c r="C317" s="1" t="s">
        <v>0</v>
      </c>
      <c r="D317" s="1">
        <v>181</v>
      </c>
      <c r="E317" s="1">
        <v>79</v>
      </c>
      <c r="F317" s="1">
        <v>49</v>
      </c>
      <c r="G317" s="1">
        <v>65</v>
      </c>
      <c r="H317" s="1" t="s">
        <v>10</v>
      </c>
      <c r="I317" s="1">
        <v>15</v>
      </c>
      <c r="J317" s="1" t="s">
        <v>37</v>
      </c>
      <c r="K317" s="1">
        <v>2</v>
      </c>
      <c r="L317" s="1">
        <f t="shared" si="4"/>
        <v>75</v>
      </c>
      <c r="M317" s="1"/>
      <c r="N317" s="1"/>
      <c r="O317" s="12" t="str">
        <f>IF($J317=Sheet2!$A$2, ROW(), "")</f>
        <v/>
      </c>
      <c r="Q317" s="23" t="s">
        <v>2298</v>
      </c>
    </row>
    <row r="318" spans="1:17" ht="14" customHeight="1" x14ac:dyDescent="0.3">
      <c r="A318" s="1" t="s">
        <v>431</v>
      </c>
      <c r="B318" s="1">
        <v>24</v>
      </c>
      <c r="C318" s="1" t="s">
        <v>0</v>
      </c>
      <c r="D318" s="1">
        <v>187</v>
      </c>
      <c r="E318" s="1">
        <v>84</v>
      </c>
      <c r="F318" s="1">
        <v>51</v>
      </c>
      <c r="G318" s="1">
        <v>64</v>
      </c>
      <c r="H318" s="1" t="s">
        <v>5</v>
      </c>
      <c r="I318" s="1">
        <v>17</v>
      </c>
      <c r="J318" s="1" t="s">
        <v>37</v>
      </c>
      <c r="K318" s="1">
        <v>2</v>
      </c>
      <c r="L318" s="1">
        <f t="shared" si="4"/>
        <v>85</v>
      </c>
      <c r="M318" s="1"/>
      <c r="N318" s="1"/>
      <c r="O318" s="12" t="str">
        <f>IF($J318=Sheet2!$A$2, ROW(), "")</f>
        <v/>
      </c>
      <c r="Q318" s="23" t="s">
        <v>2299</v>
      </c>
    </row>
    <row r="319" spans="1:17" ht="14" customHeight="1" x14ac:dyDescent="0.3">
      <c r="A319" s="1" t="s">
        <v>432</v>
      </c>
      <c r="B319" s="1">
        <v>22</v>
      </c>
      <c r="C319" s="1" t="s">
        <v>0</v>
      </c>
      <c r="D319" s="1">
        <v>184</v>
      </c>
      <c r="E319" s="1">
        <v>82</v>
      </c>
      <c r="F319" s="1">
        <v>48</v>
      </c>
      <c r="G319" s="1">
        <v>66</v>
      </c>
      <c r="H319" s="1" t="s">
        <v>8</v>
      </c>
      <c r="I319" s="1">
        <v>14</v>
      </c>
      <c r="J319" s="1" t="s">
        <v>37</v>
      </c>
      <c r="K319" s="1">
        <v>2</v>
      </c>
      <c r="L319" s="1">
        <f t="shared" si="4"/>
        <v>70</v>
      </c>
      <c r="M319" s="1"/>
      <c r="N319" s="1"/>
      <c r="O319" s="12" t="str">
        <f>IF($J319=Sheet2!$A$2, ROW(), "")</f>
        <v/>
      </c>
      <c r="Q319" s="23" t="s">
        <v>2300</v>
      </c>
    </row>
    <row r="320" spans="1:17" ht="14" customHeight="1" x14ac:dyDescent="0.3">
      <c r="A320" s="1" t="s">
        <v>433</v>
      </c>
      <c r="B320" s="1">
        <v>23</v>
      </c>
      <c r="C320" s="1" t="s">
        <v>0</v>
      </c>
      <c r="D320" s="1">
        <v>179</v>
      </c>
      <c r="E320" s="1">
        <v>77</v>
      </c>
      <c r="F320" s="1">
        <v>50</v>
      </c>
      <c r="G320" s="1">
        <v>65</v>
      </c>
      <c r="H320" s="1" t="s">
        <v>15</v>
      </c>
      <c r="I320" s="1">
        <v>16</v>
      </c>
      <c r="J320" s="1" t="s">
        <v>37</v>
      </c>
      <c r="K320" s="1">
        <v>3</v>
      </c>
      <c r="L320" s="1">
        <f t="shared" si="4"/>
        <v>80</v>
      </c>
      <c r="M320" s="1"/>
      <c r="N320" s="1"/>
      <c r="O320" s="12" t="str">
        <f>IF($J320=Sheet2!$A$2, ROW(), "")</f>
        <v/>
      </c>
      <c r="Q320" s="23" t="s">
        <v>2301</v>
      </c>
    </row>
    <row r="321" spans="1:17" ht="14" customHeight="1" x14ac:dyDescent="0.3">
      <c r="A321" s="1" t="s">
        <v>434</v>
      </c>
      <c r="B321" s="1">
        <v>22</v>
      </c>
      <c r="C321" s="1" t="s">
        <v>0</v>
      </c>
      <c r="D321" s="1">
        <v>176</v>
      </c>
      <c r="E321" s="1">
        <v>74</v>
      </c>
      <c r="F321" s="1">
        <v>48</v>
      </c>
      <c r="G321" s="1">
        <v>66</v>
      </c>
      <c r="H321" s="1" t="s">
        <v>19</v>
      </c>
      <c r="I321" s="1">
        <v>14</v>
      </c>
      <c r="J321" s="1" t="s">
        <v>37</v>
      </c>
      <c r="K321" s="1">
        <v>2</v>
      </c>
      <c r="L321" s="1">
        <f t="shared" si="4"/>
        <v>70</v>
      </c>
      <c r="M321" s="1"/>
      <c r="N321" s="1"/>
      <c r="O321" s="12" t="str">
        <f>IF($J321=Sheet2!$A$2, ROW(), "")</f>
        <v/>
      </c>
      <c r="Q321" s="23" t="s">
        <v>2302</v>
      </c>
    </row>
    <row r="322" spans="1:17" ht="14" customHeight="1" x14ac:dyDescent="0.3">
      <c r="A322" s="1" t="s">
        <v>435</v>
      </c>
      <c r="B322" s="1">
        <v>23</v>
      </c>
      <c r="C322" s="1" t="s">
        <v>0</v>
      </c>
      <c r="D322" s="1">
        <v>175</v>
      </c>
      <c r="E322" s="1">
        <v>73</v>
      </c>
      <c r="F322" s="1">
        <v>49</v>
      </c>
      <c r="G322" s="1">
        <v>65</v>
      </c>
      <c r="H322" s="1" t="s">
        <v>51</v>
      </c>
      <c r="I322" s="1">
        <v>15</v>
      </c>
      <c r="J322" s="1" t="s">
        <v>37</v>
      </c>
      <c r="K322" s="1">
        <v>2</v>
      </c>
      <c r="L322" s="1">
        <f t="shared" ref="L322:L385" si="5">I322*5</f>
        <v>75</v>
      </c>
      <c r="M322" s="1"/>
      <c r="N322" s="1"/>
      <c r="O322" s="12" t="str">
        <f>IF($J322=Sheet2!$A$2, ROW(), "")</f>
        <v/>
      </c>
      <c r="Q322" s="23" t="s">
        <v>2303</v>
      </c>
    </row>
    <row r="323" spans="1:17" ht="14" customHeight="1" x14ac:dyDescent="0.3">
      <c r="A323" s="1" t="s">
        <v>436</v>
      </c>
      <c r="B323" s="1">
        <v>24</v>
      </c>
      <c r="C323" s="1" t="s">
        <v>0</v>
      </c>
      <c r="D323" s="1">
        <v>176</v>
      </c>
      <c r="E323" s="1">
        <v>74</v>
      </c>
      <c r="F323" s="1">
        <v>50</v>
      </c>
      <c r="G323" s="1">
        <v>64</v>
      </c>
      <c r="H323" s="1" t="s">
        <v>15</v>
      </c>
      <c r="I323" s="1">
        <v>16</v>
      </c>
      <c r="J323" s="1" t="s">
        <v>37</v>
      </c>
      <c r="K323" s="1">
        <v>2</v>
      </c>
      <c r="L323" s="1">
        <f t="shared" si="5"/>
        <v>80</v>
      </c>
      <c r="M323" s="1"/>
      <c r="N323" s="1"/>
      <c r="O323" s="12" t="str">
        <f>IF($J323=Sheet2!$A$2, ROW(), "")</f>
        <v/>
      </c>
      <c r="Q323" s="23" t="s">
        <v>2304</v>
      </c>
    </row>
    <row r="324" spans="1:17" ht="14" customHeight="1" x14ac:dyDescent="0.3">
      <c r="A324" s="1" t="s">
        <v>437</v>
      </c>
      <c r="B324" s="1">
        <v>22</v>
      </c>
      <c r="C324" s="1" t="s">
        <v>0</v>
      </c>
      <c r="D324" s="1">
        <v>174</v>
      </c>
      <c r="E324" s="1">
        <v>72</v>
      </c>
      <c r="F324" s="1">
        <v>48</v>
      </c>
      <c r="G324" s="1">
        <v>66</v>
      </c>
      <c r="H324" s="1" t="s">
        <v>19</v>
      </c>
      <c r="I324" s="1">
        <v>14</v>
      </c>
      <c r="J324" s="1" t="s">
        <v>37</v>
      </c>
      <c r="K324" s="1">
        <v>2</v>
      </c>
      <c r="L324" s="1">
        <f t="shared" si="5"/>
        <v>70</v>
      </c>
      <c r="M324" s="1"/>
      <c r="N324" s="1"/>
      <c r="O324" s="12" t="str">
        <f>IF($J324=Sheet2!$A$2, ROW(), "")</f>
        <v/>
      </c>
      <c r="Q324" s="23" t="s">
        <v>2305</v>
      </c>
    </row>
    <row r="325" spans="1:17" ht="14" customHeight="1" x14ac:dyDescent="0.3">
      <c r="A325" s="1" t="s">
        <v>438</v>
      </c>
      <c r="B325" s="1">
        <v>24</v>
      </c>
      <c r="C325" s="1" t="s">
        <v>0</v>
      </c>
      <c r="D325" s="1">
        <v>179</v>
      </c>
      <c r="E325" s="1">
        <v>77</v>
      </c>
      <c r="F325" s="1">
        <v>50</v>
      </c>
      <c r="G325" s="1">
        <v>64</v>
      </c>
      <c r="H325" s="1" t="s">
        <v>21</v>
      </c>
      <c r="I325" s="1">
        <v>16</v>
      </c>
      <c r="J325" s="1" t="s">
        <v>37</v>
      </c>
      <c r="K325" s="1">
        <v>2</v>
      </c>
      <c r="L325" s="1">
        <f t="shared" si="5"/>
        <v>80</v>
      </c>
      <c r="M325" s="1"/>
      <c r="N325" s="1"/>
      <c r="O325" s="12" t="str">
        <f>IF($J325=Sheet2!$A$2, ROW(), "")</f>
        <v/>
      </c>
      <c r="Q325" s="23" t="s">
        <v>2306</v>
      </c>
    </row>
    <row r="326" spans="1:17" ht="14" customHeight="1" x14ac:dyDescent="0.3">
      <c r="A326" s="1" t="s">
        <v>439</v>
      </c>
      <c r="B326" s="1">
        <v>22</v>
      </c>
      <c r="C326" s="1" t="s">
        <v>0</v>
      </c>
      <c r="D326" s="1">
        <v>180</v>
      </c>
      <c r="E326" s="1">
        <v>78</v>
      </c>
      <c r="F326" s="1">
        <v>48</v>
      </c>
      <c r="G326" s="1">
        <v>66</v>
      </c>
      <c r="H326" s="1" t="s">
        <v>23</v>
      </c>
      <c r="I326" s="1">
        <v>14</v>
      </c>
      <c r="J326" s="1" t="s">
        <v>37</v>
      </c>
      <c r="K326" s="1">
        <v>2</v>
      </c>
      <c r="L326" s="1">
        <f t="shared" si="5"/>
        <v>70</v>
      </c>
      <c r="M326" s="1"/>
      <c r="N326" s="1"/>
      <c r="O326" s="12" t="str">
        <f>IF($J326=Sheet2!$A$2, ROW(), "")</f>
        <v/>
      </c>
      <c r="Q326" s="23" t="s">
        <v>2307</v>
      </c>
    </row>
    <row r="327" spans="1:17" ht="14" customHeight="1" x14ac:dyDescent="0.3">
      <c r="A327" s="1" t="s">
        <v>440</v>
      </c>
      <c r="B327" s="1">
        <v>22</v>
      </c>
      <c r="C327" s="1" t="s">
        <v>0</v>
      </c>
      <c r="D327" s="1">
        <v>176</v>
      </c>
      <c r="E327" s="1">
        <v>74</v>
      </c>
      <c r="F327" s="1">
        <v>48</v>
      </c>
      <c r="G327" s="1">
        <v>66</v>
      </c>
      <c r="H327" s="1" t="s">
        <v>21</v>
      </c>
      <c r="I327" s="1">
        <v>14</v>
      </c>
      <c r="J327" s="1" t="s">
        <v>37</v>
      </c>
      <c r="K327" s="1">
        <v>2</v>
      </c>
      <c r="L327" s="1">
        <f t="shared" si="5"/>
        <v>70</v>
      </c>
      <c r="M327" s="1"/>
      <c r="N327" s="1"/>
      <c r="O327" s="12" t="str">
        <f>IF($J327=Sheet2!$A$2, ROW(), "")</f>
        <v/>
      </c>
      <c r="Q327" s="23" t="s">
        <v>2308</v>
      </c>
    </row>
    <row r="328" spans="1:17" ht="14" customHeight="1" x14ac:dyDescent="0.3">
      <c r="A328" s="1" t="s">
        <v>441</v>
      </c>
      <c r="B328" s="1">
        <v>23</v>
      </c>
      <c r="C328" s="1" t="s">
        <v>0</v>
      </c>
      <c r="D328" s="1">
        <v>178</v>
      </c>
      <c r="E328" s="1">
        <v>76</v>
      </c>
      <c r="F328" s="1">
        <v>49</v>
      </c>
      <c r="G328" s="1">
        <v>65</v>
      </c>
      <c r="H328" s="1" t="s">
        <v>40</v>
      </c>
      <c r="I328" s="1">
        <v>15</v>
      </c>
      <c r="J328" s="1" t="s">
        <v>37</v>
      </c>
      <c r="K328" s="1">
        <v>3</v>
      </c>
      <c r="L328" s="1">
        <f t="shared" si="5"/>
        <v>75</v>
      </c>
      <c r="M328" s="1"/>
      <c r="N328" s="1"/>
      <c r="O328" s="12" t="str">
        <f>IF($J328=Sheet2!$A$2, ROW(), "")</f>
        <v/>
      </c>
      <c r="Q328" s="23" t="s">
        <v>2309</v>
      </c>
    </row>
    <row r="329" spans="1:17" ht="14" customHeight="1" x14ac:dyDescent="0.3">
      <c r="A329" s="1" t="s">
        <v>442</v>
      </c>
      <c r="B329" s="1">
        <v>24</v>
      </c>
      <c r="C329" s="1" t="s">
        <v>0</v>
      </c>
      <c r="D329" s="1">
        <v>177</v>
      </c>
      <c r="E329" s="1">
        <v>75</v>
      </c>
      <c r="F329" s="1">
        <v>50</v>
      </c>
      <c r="G329" s="1">
        <v>64</v>
      </c>
      <c r="H329" s="1" t="s">
        <v>34</v>
      </c>
      <c r="I329" s="1">
        <v>16</v>
      </c>
      <c r="J329" s="1" t="s">
        <v>37</v>
      </c>
      <c r="K329" s="1">
        <v>2</v>
      </c>
      <c r="L329" s="1">
        <f t="shared" si="5"/>
        <v>80</v>
      </c>
      <c r="M329" s="1"/>
      <c r="N329" s="1"/>
      <c r="O329" s="12" t="str">
        <f>IF($J329=Sheet2!$A$2, ROW(), "")</f>
        <v/>
      </c>
      <c r="Q329" s="23" t="s">
        <v>2310</v>
      </c>
    </row>
    <row r="330" spans="1:17" ht="14" customHeight="1" x14ac:dyDescent="0.3">
      <c r="A330" s="1" t="s">
        <v>443</v>
      </c>
      <c r="B330" s="1">
        <v>22</v>
      </c>
      <c r="C330" s="1" t="s">
        <v>0</v>
      </c>
      <c r="D330" s="1">
        <v>175</v>
      </c>
      <c r="E330" s="1">
        <v>73</v>
      </c>
      <c r="F330" s="1">
        <v>48</v>
      </c>
      <c r="G330" s="1">
        <v>66</v>
      </c>
      <c r="H330" s="1" t="s">
        <v>10</v>
      </c>
      <c r="I330" s="1">
        <v>14</v>
      </c>
      <c r="J330" s="1" t="s">
        <v>37</v>
      </c>
      <c r="K330" s="1">
        <v>3</v>
      </c>
      <c r="L330" s="1">
        <f t="shared" si="5"/>
        <v>70</v>
      </c>
      <c r="M330" s="1"/>
      <c r="N330" s="1"/>
      <c r="O330" s="12" t="str">
        <f>IF($J330=Sheet2!$A$2, ROW(), "")</f>
        <v/>
      </c>
      <c r="Q330" s="23" t="s">
        <v>2311</v>
      </c>
    </row>
    <row r="331" spans="1:17" ht="14" customHeight="1" x14ac:dyDescent="0.3">
      <c r="A331" s="1" t="s">
        <v>444</v>
      </c>
      <c r="B331" s="1">
        <v>24</v>
      </c>
      <c r="C331" s="1" t="s">
        <v>0</v>
      </c>
      <c r="D331" s="1">
        <v>173</v>
      </c>
      <c r="E331" s="1">
        <v>71</v>
      </c>
      <c r="F331" s="1">
        <v>50</v>
      </c>
      <c r="G331" s="1">
        <v>64</v>
      </c>
      <c r="H331" s="1" t="s">
        <v>15</v>
      </c>
      <c r="I331" s="1">
        <v>16</v>
      </c>
      <c r="J331" s="1" t="s">
        <v>37</v>
      </c>
      <c r="K331" s="1">
        <v>2</v>
      </c>
      <c r="L331" s="1">
        <f t="shared" si="5"/>
        <v>80</v>
      </c>
      <c r="M331" s="1"/>
      <c r="N331" s="1"/>
      <c r="O331" s="12" t="str">
        <f>IF($J331=Sheet2!$A$2, ROW(), "")</f>
        <v/>
      </c>
      <c r="Q331" s="23" t="s">
        <v>2312</v>
      </c>
    </row>
    <row r="332" spans="1:17" ht="14" customHeight="1" x14ac:dyDescent="0.3">
      <c r="A332" s="1" t="s">
        <v>445</v>
      </c>
      <c r="B332" s="1">
        <v>23</v>
      </c>
      <c r="C332" s="1" t="s">
        <v>0</v>
      </c>
      <c r="D332" s="1">
        <v>186</v>
      </c>
      <c r="E332" s="1">
        <v>78</v>
      </c>
      <c r="F332" s="1">
        <v>50</v>
      </c>
      <c r="G332" s="1">
        <v>65</v>
      </c>
      <c r="H332" s="1" t="s">
        <v>1</v>
      </c>
      <c r="I332" s="1">
        <v>16</v>
      </c>
      <c r="J332" s="1" t="s">
        <v>1735</v>
      </c>
      <c r="K332" s="1">
        <v>2</v>
      </c>
      <c r="L332" s="1">
        <f t="shared" si="5"/>
        <v>80</v>
      </c>
      <c r="M332" s="1"/>
      <c r="N332" s="1"/>
      <c r="O332" s="12" t="str">
        <f>IF($J332=Sheet2!$A$2, ROW(), "")</f>
        <v/>
      </c>
      <c r="Q332" s="23" t="s">
        <v>2313</v>
      </c>
    </row>
    <row r="333" spans="1:17" ht="14" customHeight="1" x14ac:dyDescent="0.3">
      <c r="A333" s="1" t="s">
        <v>447</v>
      </c>
      <c r="B333" s="1">
        <v>22</v>
      </c>
      <c r="C333" s="1" t="s">
        <v>0</v>
      </c>
      <c r="D333" s="1">
        <v>184</v>
      </c>
      <c r="E333" s="1">
        <v>76</v>
      </c>
      <c r="F333" s="1">
        <v>49</v>
      </c>
      <c r="G333" s="1">
        <v>66</v>
      </c>
      <c r="H333" s="1" t="s">
        <v>1</v>
      </c>
      <c r="I333" s="1">
        <v>15</v>
      </c>
      <c r="J333" s="1" t="s">
        <v>1735</v>
      </c>
      <c r="K333" s="1">
        <v>2</v>
      </c>
      <c r="L333" s="1">
        <f t="shared" si="5"/>
        <v>75</v>
      </c>
      <c r="M333" s="1"/>
      <c r="N333" s="1"/>
      <c r="O333" s="12" t="str">
        <f>IF($J333=Sheet2!$A$2, ROW(), "")</f>
        <v/>
      </c>
      <c r="Q333" s="23" t="s">
        <v>2314</v>
      </c>
    </row>
    <row r="334" spans="1:17" ht="14" customHeight="1" x14ac:dyDescent="0.3">
      <c r="A334" s="1" t="s">
        <v>448</v>
      </c>
      <c r="B334" s="1">
        <v>24</v>
      </c>
      <c r="C334" s="1" t="s">
        <v>0</v>
      </c>
      <c r="D334" s="1">
        <v>188</v>
      </c>
      <c r="E334" s="1">
        <v>85</v>
      </c>
      <c r="F334" s="1">
        <v>51</v>
      </c>
      <c r="G334" s="1">
        <v>64</v>
      </c>
      <c r="H334" s="1" t="s">
        <v>5</v>
      </c>
      <c r="I334" s="1">
        <v>17</v>
      </c>
      <c r="J334" s="1" t="s">
        <v>1735</v>
      </c>
      <c r="K334" s="1">
        <v>2</v>
      </c>
      <c r="L334" s="1">
        <f t="shared" si="5"/>
        <v>85</v>
      </c>
      <c r="M334" s="1"/>
      <c r="N334" s="1"/>
      <c r="O334" s="12" t="str">
        <f>IF($J334=Sheet2!$A$2, ROW(), "")</f>
        <v/>
      </c>
      <c r="Q334" s="23" t="s">
        <v>2315</v>
      </c>
    </row>
    <row r="335" spans="1:17" ht="14" customHeight="1" x14ac:dyDescent="0.3">
      <c r="A335" s="1" t="s">
        <v>449</v>
      </c>
      <c r="B335" s="1">
        <v>22</v>
      </c>
      <c r="C335" s="1" t="s">
        <v>0</v>
      </c>
      <c r="D335" s="1">
        <v>183</v>
      </c>
      <c r="E335" s="1">
        <v>81</v>
      </c>
      <c r="F335" s="1">
        <v>48</v>
      </c>
      <c r="G335" s="1">
        <v>66</v>
      </c>
      <c r="H335" s="1" t="s">
        <v>8</v>
      </c>
      <c r="I335" s="1">
        <v>14</v>
      </c>
      <c r="J335" s="1" t="s">
        <v>1735</v>
      </c>
      <c r="K335" s="1">
        <v>3</v>
      </c>
      <c r="L335" s="1">
        <f t="shared" si="5"/>
        <v>70</v>
      </c>
      <c r="M335" s="1"/>
      <c r="N335" s="1"/>
      <c r="O335" s="12" t="str">
        <f>IF($J335=Sheet2!$A$2, ROW(), "")</f>
        <v/>
      </c>
      <c r="Q335" s="23" t="s">
        <v>2316</v>
      </c>
    </row>
    <row r="336" spans="1:17" ht="14" customHeight="1" x14ac:dyDescent="0.3">
      <c r="A336" s="1" t="s">
        <v>450</v>
      </c>
      <c r="B336" s="1">
        <v>23</v>
      </c>
      <c r="C336" s="1" t="s">
        <v>0</v>
      </c>
      <c r="D336" s="1">
        <v>181</v>
      </c>
      <c r="E336" s="1">
        <v>79</v>
      </c>
      <c r="F336" s="1">
        <v>49</v>
      </c>
      <c r="G336" s="1">
        <v>65</v>
      </c>
      <c r="H336" s="1" t="s">
        <v>10</v>
      </c>
      <c r="I336" s="1">
        <v>15</v>
      </c>
      <c r="J336" s="1" t="s">
        <v>1735</v>
      </c>
      <c r="K336" s="1">
        <v>2</v>
      </c>
      <c r="L336" s="1">
        <f t="shared" si="5"/>
        <v>75</v>
      </c>
      <c r="M336" s="1"/>
      <c r="N336" s="1"/>
      <c r="O336" s="12" t="str">
        <f>IF($J336=Sheet2!$A$2, ROW(), "")</f>
        <v/>
      </c>
      <c r="Q336" s="23" t="s">
        <v>2317</v>
      </c>
    </row>
    <row r="337" spans="1:17" ht="14" customHeight="1" x14ac:dyDescent="0.3">
      <c r="A337" s="1" t="s">
        <v>451</v>
      </c>
      <c r="B337" s="1">
        <v>24</v>
      </c>
      <c r="C337" s="1" t="s">
        <v>0</v>
      </c>
      <c r="D337" s="1">
        <v>187</v>
      </c>
      <c r="E337" s="1">
        <v>84</v>
      </c>
      <c r="F337" s="1">
        <v>51</v>
      </c>
      <c r="G337" s="1">
        <v>64</v>
      </c>
      <c r="H337" s="1" t="s">
        <v>5</v>
      </c>
      <c r="I337" s="1">
        <v>17</v>
      </c>
      <c r="J337" s="1" t="s">
        <v>1735</v>
      </c>
      <c r="K337" s="1">
        <v>2</v>
      </c>
      <c r="L337" s="1">
        <f t="shared" si="5"/>
        <v>85</v>
      </c>
      <c r="M337" s="1"/>
      <c r="N337" s="1"/>
      <c r="O337" s="12" t="str">
        <f>IF($J337=Sheet2!$A$2, ROW(), "")</f>
        <v/>
      </c>
      <c r="Q337" s="23" t="s">
        <v>2318</v>
      </c>
    </row>
    <row r="338" spans="1:17" ht="14" customHeight="1" x14ac:dyDescent="0.3">
      <c r="A338" s="1" t="s">
        <v>452</v>
      </c>
      <c r="B338" s="1">
        <v>22</v>
      </c>
      <c r="C338" s="1" t="s">
        <v>0</v>
      </c>
      <c r="D338" s="1">
        <v>184</v>
      </c>
      <c r="E338" s="1">
        <v>82</v>
      </c>
      <c r="F338" s="1">
        <v>48</v>
      </c>
      <c r="G338" s="1">
        <v>66</v>
      </c>
      <c r="H338" s="1" t="s">
        <v>8</v>
      </c>
      <c r="I338" s="1">
        <v>14</v>
      </c>
      <c r="J338" s="1" t="s">
        <v>1735</v>
      </c>
      <c r="K338" s="1">
        <v>2</v>
      </c>
      <c r="L338" s="1">
        <f t="shared" si="5"/>
        <v>70</v>
      </c>
      <c r="M338" s="1"/>
      <c r="N338" s="1"/>
      <c r="O338" s="12" t="str">
        <f>IF($J338=Sheet2!$A$2, ROW(), "")</f>
        <v/>
      </c>
      <c r="Q338" s="23" t="s">
        <v>2319</v>
      </c>
    </row>
    <row r="339" spans="1:17" ht="14" customHeight="1" x14ac:dyDescent="0.3">
      <c r="A339" s="1" t="s">
        <v>453</v>
      </c>
      <c r="B339" s="1">
        <v>23</v>
      </c>
      <c r="C339" s="1" t="s">
        <v>0</v>
      </c>
      <c r="D339" s="1">
        <v>179</v>
      </c>
      <c r="E339" s="1">
        <v>77</v>
      </c>
      <c r="F339" s="1">
        <v>50</v>
      </c>
      <c r="G339" s="1">
        <v>65</v>
      </c>
      <c r="H339" s="1" t="s">
        <v>15</v>
      </c>
      <c r="I339" s="1">
        <v>16</v>
      </c>
      <c r="J339" s="1" t="s">
        <v>1735</v>
      </c>
      <c r="K339" s="1">
        <v>3</v>
      </c>
      <c r="L339" s="1">
        <f t="shared" si="5"/>
        <v>80</v>
      </c>
      <c r="M339" s="1"/>
      <c r="N339" s="1"/>
      <c r="O339" s="12" t="str">
        <f>IF($J339=Sheet2!$A$2, ROW(), "")</f>
        <v/>
      </c>
      <c r="Q339" s="23" t="s">
        <v>2320</v>
      </c>
    </row>
    <row r="340" spans="1:17" ht="14" customHeight="1" x14ac:dyDescent="0.3">
      <c r="A340" s="1" t="s">
        <v>454</v>
      </c>
      <c r="B340" s="1">
        <v>22</v>
      </c>
      <c r="C340" s="1" t="s">
        <v>0</v>
      </c>
      <c r="D340" s="1">
        <v>176</v>
      </c>
      <c r="E340" s="1">
        <v>74</v>
      </c>
      <c r="F340" s="1">
        <v>48</v>
      </c>
      <c r="G340" s="1">
        <v>66</v>
      </c>
      <c r="H340" s="1" t="s">
        <v>19</v>
      </c>
      <c r="I340" s="1">
        <v>14</v>
      </c>
      <c r="J340" s="1" t="s">
        <v>1735</v>
      </c>
      <c r="K340" s="1">
        <v>2</v>
      </c>
      <c r="L340" s="1">
        <f t="shared" si="5"/>
        <v>70</v>
      </c>
      <c r="M340" s="1"/>
      <c r="N340" s="1"/>
      <c r="O340" s="12" t="str">
        <f>IF($J340=Sheet2!$A$2, ROW(), "")</f>
        <v/>
      </c>
      <c r="Q340" s="23" t="s">
        <v>2321</v>
      </c>
    </row>
    <row r="341" spans="1:17" ht="14" customHeight="1" x14ac:dyDescent="0.3">
      <c r="A341" s="1" t="s">
        <v>455</v>
      </c>
      <c r="B341" s="1">
        <v>23</v>
      </c>
      <c r="C341" s="1" t="s">
        <v>0</v>
      </c>
      <c r="D341" s="1">
        <v>175</v>
      </c>
      <c r="E341" s="1">
        <v>73</v>
      </c>
      <c r="F341" s="1">
        <v>49</v>
      </c>
      <c r="G341" s="1">
        <v>65</v>
      </c>
      <c r="H341" s="1" t="s">
        <v>51</v>
      </c>
      <c r="I341" s="1">
        <v>15</v>
      </c>
      <c r="J341" s="1" t="s">
        <v>1735</v>
      </c>
      <c r="K341" s="1">
        <v>2</v>
      </c>
      <c r="L341" s="1">
        <f t="shared" si="5"/>
        <v>75</v>
      </c>
      <c r="M341" s="1"/>
      <c r="N341" s="1"/>
      <c r="O341" s="12" t="str">
        <f>IF($J341=Sheet2!$A$2, ROW(), "")</f>
        <v/>
      </c>
      <c r="Q341" s="23" t="s">
        <v>2322</v>
      </c>
    </row>
    <row r="342" spans="1:17" ht="14" customHeight="1" x14ac:dyDescent="0.3">
      <c r="A342" s="1" t="s">
        <v>456</v>
      </c>
      <c r="B342" s="1">
        <v>24</v>
      </c>
      <c r="C342" s="1" t="s">
        <v>0</v>
      </c>
      <c r="D342" s="1">
        <v>176</v>
      </c>
      <c r="E342" s="1">
        <v>74</v>
      </c>
      <c r="F342" s="1">
        <v>50</v>
      </c>
      <c r="G342" s="1">
        <v>64</v>
      </c>
      <c r="H342" s="1" t="s">
        <v>15</v>
      </c>
      <c r="I342" s="1">
        <v>16</v>
      </c>
      <c r="J342" s="1" t="s">
        <v>1735</v>
      </c>
      <c r="K342" s="1">
        <v>2</v>
      </c>
      <c r="L342" s="1">
        <f t="shared" si="5"/>
        <v>80</v>
      </c>
      <c r="M342" s="1"/>
      <c r="N342" s="1"/>
      <c r="O342" s="12" t="str">
        <f>IF($J342=Sheet2!$A$2, ROW(), "")</f>
        <v/>
      </c>
      <c r="Q342" s="23" t="s">
        <v>2323</v>
      </c>
    </row>
    <row r="343" spans="1:17" ht="14" customHeight="1" x14ac:dyDescent="0.3">
      <c r="A343" s="1" t="s">
        <v>457</v>
      </c>
      <c r="B343" s="1">
        <v>22</v>
      </c>
      <c r="C343" s="1" t="s">
        <v>0</v>
      </c>
      <c r="D343" s="1">
        <v>174</v>
      </c>
      <c r="E343" s="1">
        <v>72</v>
      </c>
      <c r="F343" s="1">
        <v>48</v>
      </c>
      <c r="G343" s="1">
        <v>66</v>
      </c>
      <c r="H343" s="1" t="s">
        <v>19</v>
      </c>
      <c r="I343" s="1">
        <v>14</v>
      </c>
      <c r="J343" s="1" t="s">
        <v>1735</v>
      </c>
      <c r="K343" s="1">
        <v>2</v>
      </c>
      <c r="L343" s="1">
        <f t="shared" si="5"/>
        <v>70</v>
      </c>
      <c r="M343" s="1"/>
      <c r="N343" s="1"/>
      <c r="O343" s="12" t="str">
        <f>IF($J343=Sheet2!$A$2, ROW(), "")</f>
        <v/>
      </c>
      <c r="Q343" s="23" t="s">
        <v>2324</v>
      </c>
    </row>
    <row r="344" spans="1:17" ht="14" customHeight="1" x14ac:dyDescent="0.3">
      <c r="A344" s="1" t="s">
        <v>458</v>
      </c>
      <c r="B344" s="1">
        <v>24</v>
      </c>
      <c r="C344" s="1" t="s">
        <v>0</v>
      </c>
      <c r="D344" s="1">
        <v>179</v>
      </c>
      <c r="E344" s="1">
        <v>77</v>
      </c>
      <c r="F344" s="1">
        <v>50</v>
      </c>
      <c r="G344" s="1">
        <v>64</v>
      </c>
      <c r="H344" s="1" t="s">
        <v>21</v>
      </c>
      <c r="I344" s="1">
        <v>16</v>
      </c>
      <c r="J344" s="1" t="s">
        <v>1735</v>
      </c>
      <c r="K344" s="1">
        <v>2</v>
      </c>
      <c r="L344" s="1">
        <f t="shared" si="5"/>
        <v>80</v>
      </c>
      <c r="M344" s="1"/>
      <c r="N344" s="1"/>
      <c r="O344" s="12" t="str">
        <f>IF($J344=Sheet2!$A$2, ROW(), "")</f>
        <v/>
      </c>
      <c r="Q344" s="23" t="s">
        <v>2325</v>
      </c>
    </row>
    <row r="345" spans="1:17" ht="14" customHeight="1" x14ac:dyDescent="0.3">
      <c r="A345" s="1" t="s">
        <v>459</v>
      </c>
      <c r="B345" s="1">
        <v>22</v>
      </c>
      <c r="C345" s="1" t="s">
        <v>0</v>
      </c>
      <c r="D345" s="1">
        <v>180</v>
      </c>
      <c r="E345" s="1">
        <v>78</v>
      </c>
      <c r="F345" s="1">
        <v>48</v>
      </c>
      <c r="G345" s="1">
        <v>66</v>
      </c>
      <c r="H345" s="1" t="s">
        <v>23</v>
      </c>
      <c r="I345" s="1">
        <v>14</v>
      </c>
      <c r="J345" s="1" t="s">
        <v>1735</v>
      </c>
      <c r="K345" s="1">
        <v>2</v>
      </c>
      <c r="L345" s="1">
        <f t="shared" si="5"/>
        <v>70</v>
      </c>
      <c r="M345" s="1"/>
      <c r="N345" s="1"/>
      <c r="O345" s="12" t="str">
        <f>IF($J345=Sheet2!$A$2, ROW(), "")</f>
        <v/>
      </c>
      <c r="Q345" s="23" t="s">
        <v>2326</v>
      </c>
    </row>
    <row r="346" spans="1:17" ht="14" customHeight="1" x14ac:dyDescent="0.3">
      <c r="A346" s="1" t="s">
        <v>460</v>
      </c>
      <c r="B346" s="1">
        <v>24</v>
      </c>
      <c r="C346" s="1" t="s">
        <v>0</v>
      </c>
      <c r="D346" s="1">
        <v>177</v>
      </c>
      <c r="E346" s="1">
        <v>75</v>
      </c>
      <c r="F346" s="1">
        <v>50</v>
      </c>
      <c r="G346" s="1">
        <v>64</v>
      </c>
      <c r="H346" s="1" t="s">
        <v>34</v>
      </c>
      <c r="I346" s="1">
        <v>16</v>
      </c>
      <c r="J346" s="1" t="s">
        <v>1735</v>
      </c>
      <c r="K346" s="1">
        <v>2</v>
      </c>
      <c r="L346" s="1">
        <f t="shared" si="5"/>
        <v>80</v>
      </c>
      <c r="M346" s="1"/>
      <c r="N346" s="1"/>
      <c r="O346" s="12" t="str">
        <f>IF($J346=Sheet2!$A$2, ROW(), "")</f>
        <v/>
      </c>
      <c r="Q346" s="23" t="s">
        <v>2327</v>
      </c>
    </row>
    <row r="347" spans="1:17" ht="14" customHeight="1" x14ac:dyDescent="0.3">
      <c r="A347" s="1" t="s">
        <v>461</v>
      </c>
      <c r="B347" s="1">
        <v>23</v>
      </c>
      <c r="C347" s="1" t="s">
        <v>0</v>
      </c>
      <c r="D347" s="1">
        <v>178</v>
      </c>
      <c r="E347" s="1">
        <v>76</v>
      </c>
      <c r="F347" s="1">
        <v>49</v>
      </c>
      <c r="G347" s="1">
        <v>65</v>
      </c>
      <c r="H347" s="1" t="s">
        <v>40</v>
      </c>
      <c r="I347" s="1">
        <v>15</v>
      </c>
      <c r="J347" s="1" t="s">
        <v>1735</v>
      </c>
      <c r="K347" s="1">
        <v>3</v>
      </c>
      <c r="L347" s="1">
        <f t="shared" si="5"/>
        <v>75</v>
      </c>
      <c r="M347" s="1"/>
      <c r="N347" s="1"/>
      <c r="O347" s="12" t="str">
        <f>IF($J347=Sheet2!$A$2, ROW(), "")</f>
        <v/>
      </c>
      <c r="Q347" s="23" t="s">
        <v>2328</v>
      </c>
    </row>
    <row r="348" spans="1:17" ht="14" customHeight="1" x14ac:dyDescent="0.3">
      <c r="A348" s="1" t="s">
        <v>462</v>
      </c>
      <c r="B348" s="1">
        <v>22</v>
      </c>
      <c r="C348" s="1" t="s">
        <v>0</v>
      </c>
      <c r="D348" s="1">
        <v>176</v>
      </c>
      <c r="E348" s="1">
        <v>74</v>
      </c>
      <c r="F348" s="1">
        <v>48</v>
      </c>
      <c r="G348" s="1">
        <v>66</v>
      </c>
      <c r="H348" s="1" t="s">
        <v>21</v>
      </c>
      <c r="I348" s="1">
        <v>14</v>
      </c>
      <c r="J348" s="1" t="s">
        <v>1735</v>
      </c>
      <c r="K348" s="1">
        <v>2</v>
      </c>
      <c r="L348" s="1">
        <f t="shared" si="5"/>
        <v>70</v>
      </c>
      <c r="M348" s="1"/>
      <c r="N348" s="1"/>
      <c r="O348" s="12" t="str">
        <f>IF($J348=Sheet2!$A$2, ROW(), "")</f>
        <v/>
      </c>
      <c r="Q348" s="23" t="s">
        <v>2329</v>
      </c>
    </row>
    <row r="349" spans="1:17" ht="14" customHeight="1" x14ac:dyDescent="0.3">
      <c r="A349" s="1" t="s">
        <v>463</v>
      </c>
      <c r="B349" s="1">
        <v>24</v>
      </c>
      <c r="C349" s="1" t="s">
        <v>0</v>
      </c>
      <c r="D349" s="1">
        <v>173</v>
      </c>
      <c r="E349" s="1">
        <v>71</v>
      </c>
      <c r="F349" s="1">
        <v>50</v>
      </c>
      <c r="G349" s="1">
        <v>64</v>
      </c>
      <c r="H349" s="1" t="s">
        <v>15</v>
      </c>
      <c r="I349" s="1">
        <v>16</v>
      </c>
      <c r="J349" s="1" t="s">
        <v>1735</v>
      </c>
      <c r="K349" s="1">
        <v>2</v>
      </c>
      <c r="L349" s="1">
        <f t="shared" si="5"/>
        <v>80</v>
      </c>
      <c r="M349" s="1"/>
      <c r="N349" s="1"/>
      <c r="O349" s="12" t="str">
        <f>IF($J349=Sheet2!$A$2, ROW(), "")</f>
        <v/>
      </c>
      <c r="Q349" s="23" t="s">
        <v>2330</v>
      </c>
    </row>
    <row r="350" spans="1:17" ht="14" customHeight="1" x14ac:dyDescent="0.3">
      <c r="A350" s="1" t="s">
        <v>451</v>
      </c>
      <c r="B350" s="1">
        <v>22</v>
      </c>
      <c r="C350" s="1" t="s">
        <v>0</v>
      </c>
      <c r="D350" s="1">
        <v>175</v>
      </c>
      <c r="E350" s="1">
        <v>73</v>
      </c>
      <c r="F350" s="1">
        <v>48</v>
      </c>
      <c r="G350" s="1">
        <v>66</v>
      </c>
      <c r="H350" s="1" t="s">
        <v>10</v>
      </c>
      <c r="I350" s="1">
        <v>14</v>
      </c>
      <c r="J350" s="1" t="s">
        <v>1735</v>
      </c>
      <c r="K350" s="1">
        <v>3</v>
      </c>
      <c r="L350" s="1">
        <f t="shared" si="5"/>
        <v>70</v>
      </c>
      <c r="M350" s="1"/>
      <c r="N350" s="1"/>
      <c r="O350" s="12" t="str">
        <f>IF($J350=Sheet2!$A$2, ROW(), "")</f>
        <v/>
      </c>
      <c r="Q350" s="23" t="s">
        <v>2331</v>
      </c>
    </row>
    <row r="351" spans="1:17" ht="14" customHeight="1" x14ac:dyDescent="0.3">
      <c r="A351" s="1" t="s">
        <v>464</v>
      </c>
      <c r="B351" s="1">
        <v>23</v>
      </c>
      <c r="C351" s="1" t="s">
        <v>0</v>
      </c>
      <c r="D351" s="1">
        <v>184</v>
      </c>
      <c r="E351" s="1">
        <v>78</v>
      </c>
      <c r="F351" s="1">
        <v>50</v>
      </c>
      <c r="G351" s="1">
        <v>65</v>
      </c>
      <c r="H351" s="1" t="s">
        <v>1</v>
      </c>
      <c r="I351" s="1">
        <v>16</v>
      </c>
      <c r="J351" s="1" t="s">
        <v>108</v>
      </c>
      <c r="K351" s="1">
        <v>2</v>
      </c>
      <c r="L351" s="1">
        <f t="shared" si="5"/>
        <v>80</v>
      </c>
      <c r="M351" s="1"/>
      <c r="N351" s="1"/>
      <c r="O351" s="12" t="str">
        <f>IF($J351=Sheet2!$A$2, ROW(), "")</f>
        <v/>
      </c>
      <c r="Q351" s="23" t="s">
        <v>2332</v>
      </c>
    </row>
    <row r="352" spans="1:17" ht="14" customHeight="1" x14ac:dyDescent="0.3">
      <c r="A352" s="1" t="s">
        <v>465</v>
      </c>
      <c r="B352" s="1">
        <v>22</v>
      </c>
      <c r="C352" s="1" t="s">
        <v>0</v>
      </c>
      <c r="D352" s="1">
        <v>182</v>
      </c>
      <c r="E352" s="1">
        <v>76</v>
      </c>
      <c r="F352" s="1">
        <v>49</v>
      </c>
      <c r="G352" s="1">
        <v>66</v>
      </c>
      <c r="H352" s="1" t="s">
        <v>1</v>
      </c>
      <c r="I352" s="1">
        <v>15</v>
      </c>
      <c r="J352" s="1" t="s">
        <v>108</v>
      </c>
      <c r="K352" s="1">
        <v>2</v>
      </c>
      <c r="L352" s="1">
        <f t="shared" si="5"/>
        <v>75</v>
      </c>
      <c r="M352" s="1"/>
      <c r="N352" s="1"/>
      <c r="O352" s="12" t="str">
        <f>IF($J352=Sheet2!$A$2, ROW(), "")</f>
        <v/>
      </c>
      <c r="Q352" s="23" t="s">
        <v>2333</v>
      </c>
    </row>
    <row r="353" spans="1:17" ht="14" customHeight="1" x14ac:dyDescent="0.3">
      <c r="A353" s="1" t="s">
        <v>466</v>
      </c>
      <c r="B353" s="1">
        <v>24</v>
      </c>
      <c r="C353" s="1" t="s">
        <v>0</v>
      </c>
      <c r="D353" s="1">
        <v>188</v>
      </c>
      <c r="E353" s="1">
        <v>85</v>
      </c>
      <c r="F353" s="1">
        <v>0</v>
      </c>
      <c r="G353" s="1">
        <v>0</v>
      </c>
      <c r="H353" s="1" t="s">
        <v>5</v>
      </c>
      <c r="I353" s="1">
        <v>0</v>
      </c>
      <c r="J353" s="1" t="s">
        <v>238</v>
      </c>
      <c r="K353" s="1">
        <v>3</v>
      </c>
      <c r="L353" s="1">
        <f t="shared" si="5"/>
        <v>0</v>
      </c>
      <c r="M353" s="1"/>
      <c r="N353" s="1"/>
      <c r="O353" s="12" t="str">
        <f>IF($J353=Sheet2!$A$2, ROW(), "")</f>
        <v/>
      </c>
      <c r="Q353" s="23" t="s">
        <v>2334</v>
      </c>
    </row>
    <row r="354" spans="1:17" ht="14" customHeight="1" x14ac:dyDescent="0.3">
      <c r="A354" s="1" t="s">
        <v>467</v>
      </c>
      <c r="B354" s="1">
        <v>22</v>
      </c>
      <c r="C354" s="1" t="s">
        <v>0</v>
      </c>
      <c r="D354" s="1">
        <v>183</v>
      </c>
      <c r="E354" s="1">
        <v>81</v>
      </c>
      <c r="F354" s="1">
        <v>48</v>
      </c>
      <c r="G354" s="1">
        <v>66</v>
      </c>
      <c r="H354" s="1" t="s">
        <v>8</v>
      </c>
      <c r="I354" s="1">
        <v>14</v>
      </c>
      <c r="J354" s="1" t="s">
        <v>108</v>
      </c>
      <c r="K354" s="1">
        <v>3</v>
      </c>
      <c r="L354" s="1">
        <f t="shared" si="5"/>
        <v>70</v>
      </c>
      <c r="M354" s="1"/>
      <c r="N354" s="1"/>
      <c r="O354" s="12" t="str">
        <f>IF($J354=Sheet2!$A$2, ROW(), "")</f>
        <v/>
      </c>
      <c r="Q354" s="23" t="s">
        <v>2335</v>
      </c>
    </row>
    <row r="355" spans="1:17" ht="14" customHeight="1" x14ac:dyDescent="0.3">
      <c r="A355" s="1" t="s">
        <v>468</v>
      </c>
      <c r="B355" s="1">
        <v>23</v>
      </c>
      <c r="C355" s="1" t="s">
        <v>0</v>
      </c>
      <c r="D355" s="1">
        <v>181</v>
      </c>
      <c r="E355" s="1">
        <v>79</v>
      </c>
      <c r="F355" s="1">
        <v>49</v>
      </c>
      <c r="G355" s="1">
        <v>65</v>
      </c>
      <c r="H355" s="1" t="s">
        <v>10</v>
      </c>
      <c r="I355" s="1">
        <v>15</v>
      </c>
      <c r="J355" s="1" t="s">
        <v>469</v>
      </c>
      <c r="K355" s="1">
        <v>2</v>
      </c>
      <c r="L355" s="1">
        <f t="shared" si="5"/>
        <v>75</v>
      </c>
      <c r="M355" s="1"/>
      <c r="N355" s="1"/>
      <c r="O355" s="12" t="str">
        <f>IF($J355=Sheet2!$A$2, ROW(), "")</f>
        <v/>
      </c>
      <c r="Q355" s="23" t="s">
        <v>2336</v>
      </c>
    </row>
    <row r="356" spans="1:17" ht="14" customHeight="1" x14ac:dyDescent="0.3">
      <c r="A356" s="1" t="s">
        <v>470</v>
      </c>
      <c r="B356" s="1">
        <v>24</v>
      </c>
      <c r="C356" s="1" t="s">
        <v>0</v>
      </c>
      <c r="D356" s="1">
        <v>187</v>
      </c>
      <c r="E356" s="1">
        <v>84</v>
      </c>
      <c r="F356" s="1">
        <v>51</v>
      </c>
      <c r="G356" s="1">
        <v>64</v>
      </c>
      <c r="H356" s="1" t="s">
        <v>5</v>
      </c>
      <c r="I356" s="1">
        <v>17</v>
      </c>
      <c r="J356" s="1" t="s">
        <v>108</v>
      </c>
      <c r="K356" s="1">
        <v>2</v>
      </c>
      <c r="L356" s="1">
        <f t="shared" si="5"/>
        <v>85</v>
      </c>
      <c r="M356" s="1"/>
      <c r="N356" s="1"/>
      <c r="O356" s="12" t="str">
        <f>IF($J356=Sheet2!$A$2, ROW(), "")</f>
        <v/>
      </c>
      <c r="Q356" s="23" t="s">
        <v>2337</v>
      </c>
    </row>
    <row r="357" spans="1:17" ht="14" customHeight="1" x14ac:dyDescent="0.3">
      <c r="A357" s="1" t="s">
        <v>471</v>
      </c>
      <c r="B357" s="1">
        <v>22</v>
      </c>
      <c r="C357" s="1" t="s">
        <v>0</v>
      </c>
      <c r="D357" s="1">
        <v>184</v>
      </c>
      <c r="E357" s="1">
        <v>82</v>
      </c>
      <c r="F357" s="1">
        <v>48</v>
      </c>
      <c r="G357" s="1">
        <v>66</v>
      </c>
      <c r="H357" s="1" t="s">
        <v>8</v>
      </c>
      <c r="I357" s="1">
        <v>14</v>
      </c>
      <c r="J357" s="1" t="s">
        <v>469</v>
      </c>
      <c r="K357" s="1">
        <v>2</v>
      </c>
      <c r="L357" s="1">
        <f t="shared" si="5"/>
        <v>70</v>
      </c>
      <c r="M357" s="1"/>
      <c r="N357" s="1"/>
      <c r="O357" s="12" t="str">
        <f>IF($J357=Sheet2!$A$2, ROW(), "")</f>
        <v/>
      </c>
      <c r="Q357" s="23" t="s">
        <v>2338</v>
      </c>
    </row>
    <row r="358" spans="1:17" ht="14" customHeight="1" x14ac:dyDescent="0.3">
      <c r="A358" s="1" t="s">
        <v>472</v>
      </c>
      <c r="B358" s="1">
        <v>23</v>
      </c>
      <c r="C358" s="1" t="s">
        <v>0</v>
      </c>
      <c r="D358" s="1">
        <v>179</v>
      </c>
      <c r="E358" s="1">
        <v>77</v>
      </c>
      <c r="F358" s="1">
        <v>50</v>
      </c>
      <c r="G358" s="1">
        <v>65</v>
      </c>
      <c r="H358" s="1" t="s">
        <v>15</v>
      </c>
      <c r="I358" s="1">
        <v>16</v>
      </c>
      <c r="J358" s="1" t="s">
        <v>469</v>
      </c>
      <c r="K358" s="1">
        <v>3</v>
      </c>
      <c r="L358" s="1">
        <f t="shared" si="5"/>
        <v>80</v>
      </c>
      <c r="M358" s="1"/>
      <c r="N358" s="1"/>
      <c r="O358" s="12" t="str">
        <f>IF($J358=Sheet2!$A$2, ROW(), "")</f>
        <v/>
      </c>
      <c r="Q358" s="23" t="s">
        <v>2339</v>
      </c>
    </row>
    <row r="359" spans="1:17" ht="14" customHeight="1" x14ac:dyDescent="0.3">
      <c r="A359" s="1" t="s">
        <v>473</v>
      </c>
      <c r="B359" s="1">
        <v>22</v>
      </c>
      <c r="C359" s="1" t="s">
        <v>0</v>
      </c>
      <c r="D359" s="1">
        <v>176</v>
      </c>
      <c r="E359" s="1">
        <v>74</v>
      </c>
      <c r="F359" s="1">
        <v>48</v>
      </c>
      <c r="G359" s="1">
        <v>66</v>
      </c>
      <c r="H359" s="1" t="s">
        <v>19</v>
      </c>
      <c r="I359" s="1">
        <v>14</v>
      </c>
      <c r="J359" s="1" t="s">
        <v>469</v>
      </c>
      <c r="K359" s="1">
        <v>2</v>
      </c>
      <c r="L359" s="1">
        <f t="shared" si="5"/>
        <v>70</v>
      </c>
      <c r="M359" s="1"/>
      <c r="N359" s="1"/>
      <c r="O359" s="12" t="str">
        <f>IF($J359=Sheet2!$A$2, ROW(), "")</f>
        <v/>
      </c>
      <c r="Q359" s="23" t="s">
        <v>2340</v>
      </c>
    </row>
    <row r="360" spans="1:17" ht="14" customHeight="1" x14ac:dyDescent="0.3">
      <c r="A360" s="1" t="s">
        <v>474</v>
      </c>
      <c r="B360" s="1">
        <v>23</v>
      </c>
      <c r="C360" s="1" t="s">
        <v>0</v>
      </c>
      <c r="D360" s="1">
        <v>175</v>
      </c>
      <c r="E360" s="1">
        <v>73</v>
      </c>
      <c r="F360" s="1">
        <v>49</v>
      </c>
      <c r="G360" s="1">
        <v>65</v>
      </c>
      <c r="H360" s="1" t="s">
        <v>51</v>
      </c>
      <c r="I360" s="1">
        <v>15</v>
      </c>
      <c r="J360" s="1" t="s">
        <v>108</v>
      </c>
      <c r="K360" s="1">
        <v>2</v>
      </c>
      <c r="L360" s="1">
        <f t="shared" si="5"/>
        <v>75</v>
      </c>
      <c r="M360" s="1"/>
      <c r="N360" s="1"/>
      <c r="O360" s="12" t="str">
        <f>IF($J360=Sheet2!$A$2, ROW(), "")</f>
        <v/>
      </c>
      <c r="Q360" s="23" t="s">
        <v>2341</v>
      </c>
    </row>
    <row r="361" spans="1:17" ht="14" customHeight="1" x14ac:dyDescent="0.3">
      <c r="A361" s="1" t="s">
        <v>475</v>
      </c>
      <c r="B361" s="1">
        <v>31</v>
      </c>
      <c r="C361" s="1" t="s">
        <v>476</v>
      </c>
      <c r="D361" s="1">
        <v>183</v>
      </c>
      <c r="E361" s="1">
        <v>75</v>
      </c>
      <c r="F361" s="1">
        <v>80</v>
      </c>
      <c r="G361" s="1">
        <v>100</v>
      </c>
      <c r="H361" s="1" t="s">
        <v>1</v>
      </c>
      <c r="I361" s="1">
        <v>35</v>
      </c>
      <c r="J361" s="1" t="s">
        <v>11</v>
      </c>
      <c r="K361" s="1">
        <v>2</v>
      </c>
      <c r="L361" s="1">
        <f t="shared" si="5"/>
        <v>175</v>
      </c>
      <c r="M361" s="1"/>
      <c r="N361" s="1"/>
      <c r="O361" s="12" t="str">
        <f>IF($J361=Sheet2!$A$2, ROW(), "")</f>
        <v/>
      </c>
      <c r="Q361" s="23" t="s">
        <v>2342</v>
      </c>
    </row>
    <row r="362" spans="1:17" ht="14" customHeight="1" x14ac:dyDescent="0.3">
      <c r="A362" s="1" t="s">
        <v>477</v>
      </c>
      <c r="B362" s="1">
        <v>28</v>
      </c>
      <c r="C362" s="1" t="s">
        <v>367</v>
      </c>
      <c r="D362" s="1">
        <v>185</v>
      </c>
      <c r="E362" s="1">
        <v>75</v>
      </c>
      <c r="F362" s="1">
        <v>93</v>
      </c>
      <c r="G362" s="1">
        <v>114</v>
      </c>
      <c r="H362" s="1" t="s">
        <v>1</v>
      </c>
      <c r="I362" s="1">
        <v>35</v>
      </c>
      <c r="J362" s="1" t="s">
        <v>1762</v>
      </c>
      <c r="K362" s="1">
        <v>4.5</v>
      </c>
      <c r="L362" s="1">
        <f t="shared" si="5"/>
        <v>175</v>
      </c>
      <c r="M362" s="1" t="s">
        <v>38</v>
      </c>
      <c r="N362" s="1"/>
      <c r="O362" s="12" t="str">
        <f>IF($J362=Sheet2!$A$2, ROW(), "")</f>
        <v/>
      </c>
      <c r="Q362" s="23" t="s">
        <v>2343</v>
      </c>
    </row>
    <row r="363" spans="1:17" ht="14" customHeight="1" x14ac:dyDescent="0.3">
      <c r="A363" s="1" t="s">
        <v>478</v>
      </c>
      <c r="B363" s="1">
        <v>31</v>
      </c>
      <c r="C363" s="1" t="s">
        <v>479</v>
      </c>
      <c r="D363" s="1">
        <v>202</v>
      </c>
      <c r="E363" s="1">
        <v>78</v>
      </c>
      <c r="F363" s="1">
        <v>84</v>
      </c>
      <c r="G363" s="1">
        <v>110</v>
      </c>
      <c r="H363" s="1" t="s">
        <v>1</v>
      </c>
      <c r="I363" s="1">
        <v>24</v>
      </c>
      <c r="J363" s="1" t="s">
        <v>37</v>
      </c>
      <c r="K363" s="1">
        <v>2</v>
      </c>
      <c r="L363" s="1">
        <f t="shared" si="5"/>
        <v>120</v>
      </c>
      <c r="M363" s="1" t="s">
        <v>38</v>
      </c>
      <c r="N363" s="1"/>
      <c r="O363" s="12" t="str">
        <f>IF($J363=Sheet2!$A$2, ROW(), "")</f>
        <v/>
      </c>
      <c r="Q363" s="23" t="s">
        <v>2344</v>
      </c>
    </row>
    <row r="364" spans="1:17" ht="14" customHeight="1" x14ac:dyDescent="0.3">
      <c r="A364" s="1" t="s">
        <v>480</v>
      </c>
      <c r="B364" s="1">
        <v>28</v>
      </c>
      <c r="C364" s="1" t="s">
        <v>481</v>
      </c>
      <c r="D364" s="1">
        <v>187</v>
      </c>
      <c r="E364" s="1">
        <v>80</v>
      </c>
      <c r="F364" s="1">
        <v>95</v>
      </c>
      <c r="G364" s="1">
        <v>106</v>
      </c>
      <c r="H364" s="1" t="s">
        <v>260</v>
      </c>
      <c r="I364" s="1">
        <v>60</v>
      </c>
      <c r="J364" s="1" t="s">
        <v>11</v>
      </c>
      <c r="K364" s="1">
        <v>3.5</v>
      </c>
      <c r="L364" s="1">
        <f t="shared" si="5"/>
        <v>300</v>
      </c>
      <c r="M364" s="1" t="s">
        <v>38</v>
      </c>
      <c r="N364" s="1"/>
      <c r="O364" s="12" t="str">
        <f>IF($J364=Sheet2!$A$2, ROW(), "")</f>
        <v/>
      </c>
      <c r="Q364" s="23" t="s">
        <v>2345</v>
      </c>
    </row>
    <row r="365" spans="1:17" ht="14" customHeight="1" x14ac:dyDescent="0.3">
      <c r="A365" s="1" t="s">
        <v>482</v>
      </c>
      <c r="B365" s="1">
        <v>31</v>
      </c>
      <c r="C365" s="1" t="s">
        <v>483</v>
      </c>
      <c r="D365" s="1">
        <v>181</v>
      </c>
      <c r="E365" s="1">
        <v>75</v>
      </c>
      <c r="F365" s="1">
        <v>102</v>
      </c>
      <c r="G365" s="1">
        <v>108</v>
      </c>
      <c r="H365" s="1" t="s">
        <v>484</v>
      </c>
      <c r="I365" s="1">
        <v>90</v>
      </c>
      <c r="J365" s="1" t="s">
        <v>238</v>
      </c>
      <c r="K365" s="1">
        <v>4</v>
      </c>
      <c r="L365" s="1">
        <f t="shared" si="5"/>
        <v>450</v>
      </c>
      <c r="M365" s="1" t="s">
        <v>38</v>
      </c>
      <c r="N365" s="1"/>
      <c r="O365" s="12" t="str">
        <f>IF($J365=Sheet2!$A$2, ROW(), "")</f>
        <v/>
      </c>
      <c r="Q365" s="23" t="s">
        <v>2346</v>
      </c>
    </row>
    <row r="366" spans="1:17" ht="14" customHeight="1" x14ac:dyDescent="0.3">
      <c r="A366" s="1" t="s">
        <v>485</v>
      </c>
      <c r="B366" s="1">
        <v>29</v>
      </c>
      <c r="C366" s="1" t="s">
        <v>230</v>
      </c>
      <c r="D366" s="1">
        <v>184</v>
      </c>
      <c r="E366" s="1">
        <v>73</v>
      </c>
      <c r="F366" s="1">
        <v>96</v>
      </c>
      <c r="G366" s="1">
        <v>109</v>
      </c>
      <c r="H366" s="1" t="s">
        <v>247</v>
      </c>
      <c r="I366" s="1">
        <v>25</v>
      </c>
      <c r="J366" s="1" t="s">
        <v>11</v>
      </c>
      <c r="K366" s="1">
        <v>3.5</v>
      </c>
      <c r="L366" s="1">
        <f t="shared" si="5"/>
        <v>125</v>
      </c>
      <c r="M366" s="1" t="s">
        <v>38</v>
      </c>
      <c r="N366" s="1"/>
      <c r="O366" s="12" t="str">
        <f>IF($J366=Sheet2!$A$2, ROW(), "")</f>
        <v/>
      </c>
      <c r="Q366" s="23" t="s">
        <v>2347</v>
      </c>
    </row>
    <row r="367" spans="1:17" ht="14" customHeight="1" x14ac:dyDescent="0.3">
      <c r="A367" s="1" t="s">
        <v>486</v>
      </c>
      <c r="B367" s="1">
        <v>30</v>
      </c>
      <c r="C367" s="1" t="s">
        <v>312</v>
      </c>
      <c r="D367" s="1">
        <v>192</v>
      </c>
      <c r="E367" s="1">
        <v>76</v>
      </c>
      <c r="F367" s="1">
        <v>86</v>
      </c>
      <c r="G367" s="1">
        <v>100</v>
      </c>
      <c r="H367" s="1" t="s">
        <v>260</v>
      </c>
      <c r="I367" s="1">
        <v>24</v>
      </c>
      <c r="J367" s="1" t="s">
        <v>238</v>
      </c>
      <c r="K367" s="1">
        <v>2</v>
      </c>
      <c r="L367" s="1">
        <f t="shared" si="5"/>
        <v>120</v>
      </c>
      <c r="M367" s="1"/>
      <c r="N367" s="1"/>
      <c r="O367" s="12" t="str">
        <f>IF($J367=Sheet2!$A$2, ROW(), "")</f>
        <v/>
      </c>
      <c r="Q367" s="23" t="s">
        <v>2348</v>
      </c>
    </row>
    <row r="368" spans="1:17" ht="14" customHeight="1" x14ac:dyDescent="0.3">
      <c r="A368" s="1" t="s">
        <v>487</v>
      </c>
      <c r="B368" s="1">
        <v>26</v>
      </c>
      <c r="C368" s="1" t="s">
        <v>488</v>
      </c>
      <c r="D368" s="1">
        <v>172</v>
      </c>
      <c r="E368" s="1">
        <v>67</v>
      </c>
      <c r="F368" s="1">
        <v>120</v>
      </c>
      <c r="G368" s="1">
        <v>150</v>
      </c>
      <c r="H368" s="1" t="s">
        <v>489</v>
      </c>
      <c r="I368" s="1">
        <v>30</v>
      </c>
      <c r="J368" s="1" t="s">
        <v>1891</v>
      </c>
      <c r="K368" s="1">
        <v>6</v>
      </c>
      <c r="L368" s="1">
        <f t="shared" si="5"/>
        <v>150</v>
      </c>
      <c r="M368" s="1" t="s">
        <v>38</v>
      </c>
      <c r="N368" s="1"/>
      <c r="O368" s="12" t="str">
        <f>IF($J368=Sheet2!$A$2, ROW(), "")</f>
        <v/>
      </c>
      <c r="Q368" s="23" t="s">
        <v>2349</v>
      </c>
    </row>
    <row r="369" spans="1:17" ht="14" customHeight="1" x14ac:dyDescent="0.3">
      <c r="A369" s="1" t="s">
        <v>491</v>
      </c>
      <c r="B369" s="1">
        <v>27</v>
      </c>
      <c r="C369" s="1" t="s">
        <v>492</v>
      </c>
      <c r="D369" s="1">
        <v>183</v>
      </c>
      <c r="E369" s="1">
        <v>76</v>
      </c>
      <c r="F369" s="1">
        <v>129</v>
      </c>
      <c r="G369" s="1">
        <v>129</v>
      </c>
      <c r="H369" s="1" t="s">
        <v>260</v>
      </c>
      <c r="I369" s="1">
        <v>140</v>
      </c>
      <c r="J369" s="1" t="s">
        <v>130</v>
      </c>
      <c r="K369" s="1">
        <v>5</v>
      </c>
      <c r="L369" s="1">
        <f t="shared" si="5"/>
        <v>700</v>
      </c>
      <c r="M369" s="1" t="s">
        <v>38</v>
      </c>
      <c r="N369" s="1"/>
      <c r="O369" s="12" t="str">
        <f>IF($J369=Sheet2!$A$2, ROW(), "")</f>
        <v/>
      </c>
      <c r="Q369" s="23" t="s">
        <v>2350</v>
      </c>
    </row>
    <row r="370" spans="1:17" ht="14" customHeight="1" x14ac:dyDescent="0.3">
      <c r="A370" s="1" t="s">
        <v>493</v>
      </c>
      <c r="B370" s="1">
        <v>26</v>
      </c>
      <c r="C370" s="1" t="s">
        <v>494</v>
      </c>
      <c r="D370" s="1">
        <v>188</v>
      </c>
      <c r="E370" s="1">
        <v>75</v>
      </c>
      <c r="F370" s="1">
        <v>115</v>
      </c>
      <c r="G370" s="1">
        <v>115</v>
      </c>
      <c r="H370" s="1" t="s">
        <v>495</v>
      </c>
      <c r="I370" s="1">
        <v>30</v>
      </c>
      <c r="J370" s="1" t="s">
        <v>111</v>
      </c>
      <c r="K370" s="1">
        <v>5</v>
      </c>
      <c r="L370" s="1">
        <f t="shared" si="5"/>
        <v>150</v>
      </c>
      <c r="M370" s="1" t="s">
        <v>98</v>
      </c>
      <c r="N370" s="1"/>
      <c r="O370" s="12" t="str">
        <f>IF($J370=Sheet2!$A$2, ROW(), "")</f>
        <v/>
      </c>
      <c r="Q370" s="23" t="s">
        <v>2351</v>
      </c>
    </row>
    <row r="371" spans="1:17" ht="14" customHeight="1" x14ac:dyDescent="0.3">
      <c r="A371" s="1" t="s">
        <v>496</v>
      </c>
      <c r="B371" s="1">
        <v>31</v>
      </c>
      <c r="C371" s="1" t="s">
        <v>227</v>
      </c>
      <c r="D371" s="1">
        <v>183</v>
      </c>
      <c r="E371" s="1">
        <v>74</v>
      </c>
      <c r="F371" s="1">
        <v>98</v>
      </c>
      <c r="G371" s="1">
        <v>105</v>
      </c>
      <c r="H371" s="1" t="s">
        <v>497</v>
      </c>
      <c r="I371" s="1">
        <v>40</v>
      </c>
      <c r="J371" s="1" t="s">
        <v>238</v>
      </c>
      <c r="K371" s="1">
        <v>2</v>
      </c>
      <c r="L371" s="1">
        <f t="shared" si="5"/>
        <v>200</v>
      </c>
      <c r="M371" s="1"/>
      <c r="N371" s="1"/>
      <c r="O371" s="12" t="str">
        <f>IF($J371=Sheet2!$A$2, ROW(), "")</f>
        <v/>
      </c>
      <c r="Q371" s="23" t="s">
        <v>2352</v>
      </c>
    </row>
    <row r="372" spans="1:17" ht="14" customHeight="1" x14ac:dyDescent="0.3">
      <c r="A372" s="1" t="s">
        <v>498</v>
      </c>
      <c r="B372" s="1">
        <v>30</v>
      </c>
      <c r="C372" s="1" t="s">
        <v>499</v>
      </c>
      <c r="D372" s="1">
        <v>183</v>
      </c>
      <c r="E372" s="1">
        <v>75</v>
      </c>
      <c r="F372" s="1">
        <v>106</v>
      </c>
      <c r="G372" s="1">
        <v>120</v>
      </c>
      <c r="H372" s="1" t="s">
        <v>500</v>
      </c>
      <c r="I372" s="1">
        <v>200</v>
      </c>
      <c r="J372" s="1" t="s">
        <v>1762</v>
      </c>
      <c r="K372" s="1">
        <v>4</v>
      </c>
      <c r="L372" s="1">
        <f t="shared" si="5"/>
        <v>1000</v>
      </c>
      <c r="M372" s="1"/>
      <c r="N372" s="1"/>
      <c r="O372" s="12" t="str">
        <f>IF($J372=Sheet2!$A$2, ROW(), "")</f>
        <v/>
      </c>
      <c r="Q372" s="23" t="s">
        <v>2353</v>
      </c>
    </row>
    <row r="373" spans="1:17" ht="14" customHeight="1" x14ac:dyDescent="0.3">
      <c r="A373" s="1" t="s">
        <v>501</v>
      </c>
      <c r="B373" s="1">
        <v>29</v>
      </c>
      <c r="C373" s="1" t="s">
        <v>320</v>
      </c>
      <c r="D373" s="1">
        <v>178</v>
      </c>
      <c r="E373" s="1">
        <v>74</v>
      </c>
      <c r="F373" s="1">
        <v>108</v>
      </c>
      <c r="G373" s="1">
        <v>125</v>
      </c>
      <c r="H373" s="1" t="s">
        <v>502</v>
      </c>
      <c r="I373" s="1">
        <v>60</v>
      </c>
      <c r="J373" s="1" t="s">
        <v>238</v>
      </c>
      <c r="K373" s="1">
        <v>4</v>
      </c>
      <c r="L373" s="1">
        <f t="shared" si="5"/>
        <v>300</v>
      </c>
      <c r="M373" s="1" t="s">
        <v>38</v>
      </c>
      <c r="N373" s="1"/>
      <c r="O373" s="12" t="str">
        <f>IF($J373=Sheet2!$A$2, ROW(), "")</f>
        <v/>
      </c>
      <c r="Q373" s="23" t="s">
        <v>2354</v>
      </c>
    </row>
    <row r="374" spans="1:17" ht="14" customHeight="1" x14ac:dyDescent="0.3">
      <c r="A374" s="1" t="s">
        <v>503</v>
      </c>
      <c r="B374" s="1">
        <v>27</v>
      </c>
      <c r="C374" s="1" t="s">
        <v>295</v>
      </c>
      <c r="D374" s="1">
        <v>178</v>
      </c>
      <c r="E374" s="1">
        <v>75</v>
      </c>
      <c r="F374" s="1">
        <v>74</v>
      </c>
      <c r="G374" s="1">
        <v>74</v>
      </c>
      <c r="H374" s="1" t="s">
        <v>504</v>
      </c>
      <c r="I374" s="1">
        <v>24</v>
      </c>
      <c r="J374" s="1" t="s">
        <v>248</v>
      </c>
      <c r="K374" s="1">
        <v>5</v>
      </c>
      <c r="L374" s="1">
        <f t="shared" si="5"/>
        <v>120</v>
      </c>
      <c r="M374" s="1" t="s">
        <v>98</v>
      </c>
      <c r="N374" s="1"/>
      <c r="O374" s="12">
        <f>IF($J374=Sheet2!$A$2, ROW(), "")</f>
        <v>374</v>
      </c>
      <c r="Q374" s="23" t="s">
        <v>2355</v>
      </c>
    </row>
    <row r="375" spans="1:17" ht="14" customHeight="1" x14ac:dyDescent="0.3">
      <c r="A375" s="1" t="s">
        <v>505</v>
      </c>
      <c r="B375" s="1">
        <v>37</v>
      </c>
      <c r="C375" s="1" t="s">
        <v>295</v>
      </c>
      <c r="D375" s="1">
        <v>177</v>
      </c>
      <c r="E375" s="1">
        <v>75</v>
      </c>
      <c r="F375" s="1">
        <v>62</v>
      </c>
      <c r="G375" s="1">
        <v>75</v>
      </c>
      <c r="H375" s="1" t="s">
        <v>15</v>
      </c>
      <c r="I375" s="1">
        <v>24</v>
      </c>
      <c r="J375" s="1" t="s">
        <v>207</v>
      </c>
      <c r="K375" s="1">
        <v>2</v>
      </c>
      <c r="L375" s="1">
        <f t="shared" si="5"/>
        <v>120</v>
      </c>
      <c r="M375" s="1"/>
      <c r="N375" s="1"/>
      <c r="O375" s="12" t="str">
        <f>IF($J375=Sheet2!$A$2, ROW(), "")</f>
        <v/>
      </c>
      <c r="Q375" s="23" t="s">
        <v>2356</v>
      </c>
    </row>
    <row r="376" spans="1:17" ht="14" customHeight="1" x14ac:dyDescent="0.3">
      <c r="A376" s="1" t="s">
        <v>506</v>
      </c>
      <c r="B376" s="1">
        <v>23</v>
      </c>
      <c r="C376" s="1" t="s">
        <v>312</v>
      </c>
      <c r="D376" s="1">
        <v>188</v>
      </c>
      <c r="E376" s="1">
        <v>64</v>
      </c>
      <c r="F376" s="1">
        <v>135</v>
      </c>
      <c r="G376" s="1">
        <v>150</v>
      </c>
      <c r="H376" s="1" t="s">
        <v>353</v>
      </c>
      <c r="I376" s="1">
        <v>320</v>
      </c>
      <c r="J376" s="1" t="s">
        <v>1717</v>
      </c>
      <c r="K376" s="1">
        <v>6</v>
      </c>
      <c r="L376" s="1">
        <f t="shared" si="5"/>
        <v>1600</v>
      </c>
      <c r="M376" s="1" t="s">
        <v>38</v>
      </c>
      <c r="N376" s="1"/>
      <c r="O376" s="12" t="str">
        <f>IF($J376=Sheet2!$A$2, ROW(), "")</f>
        <v/>
      </c>
      <c r="Q376" s="23" t="s">
        <v>2357</v>
      </c>
    </row>
    <row r="377" spans="1:17" ht="14" customHeight="1" x14ac:dyDescent="0.3">
      <c r="A377" s="1" t="s">
        <v>507</v>
      </c>
      <c r="B377" s="1">
        <v>32</v>
      </c>
      <c r="C377" s="1" t="s">
        <v>508</v>
      </c>
      <c r="D377" s="1">
        <v>183</v>
      </c>
      <c r="E377" s="1">
        <v>87</v>
      </c>
      <c r="F377" s="1">
        <v>100</v>
      </c>
      <c r="G377" s="1">
        <v>105</v>
      </c>
      <c r="H377" s="1" t="s">
        <v>1</v>
      </c>
      <c r="I377" s="1">
        <v>24</v>
      </c>
      <c r="J377" s="1" t="s">
        <v>11</v>
      </c>
      <c r="K377" s="1">
        <v>4</v>
      </c>
      <c r="L377" s="1">
        <f t="shared" si="5"/>
        <v>120</v>
      </c>
      <c r="M377" s="1" t="s">
        <v>98</v>
      </c>
      <c r="N377" s="1"/>
      <c r="O377" s="12" t="str">
        <f>IF($J377=Sheet2!$A$2, ROW(), "")</f>
        <v/>
      </c>
      <c r="Q377" s="23" t="s">
        <v>2358</v>
      </c>
    </row>
    <row r="378" spans="1:17" ht="14" customHeight="1" x14ac:dyDescent="0.3">
      <c r="A378" s="1" t="s">
        <v>509</v>
      </c>
      <c r="B378" s="1">
        <v>22</v>
      </c>
      <c r="C378" s="1" t="s">
        <v>510</v>
      </c>
      <c r="D378" s="1">
        <v>185</v>
      </c>
      <c r="E378" s="1">
        <v>78</v>
      </c>
      <c r="F378" s="1">
        <v>128</v>
      </c>
      <c r="G378" s="1">
        <v>130</v>
      </c>
      <c r="H378" s="1" t="s">
        <v>353</v>
      </c>
      <c r="I378" s="1">
        <v>60</v>
      </c>
      <c r="J378" s="1" t="s">
        <v>1848</v>
      </c>
      <c r="K378" s="1" t="s">
        <v>511</v>
      </c>
      <c r="L378" s="1">
        <f t="shared" si="5"/>
        <v>300</v>
      </c>
      <c r="M378" s="1" t="s">
        <v>38</v>
      </c>
      <c r="N378" s="1"/>
      <c r="O378" s="12" t="str">
        <f>IF($J378=Sheet2!$A$2, ROW(), "")</f>
        <v/>
      </c>
      <c r="Q378" s="23" t="s">
        <v>2359</v>
      </c>
    </row>
    <row r="379" spans="1:17" ht="14" customHeight="1" x14ac:dyDescent="0.3">
      <c r="A379" s="1" t="s">
        <v>512</v>
      </c>
      <c r="B379" s="1">
        <v>21</v>
      </c>
      <c r="C379" s="1" t="s">
        <v>513</v>
      </c>
      <c r="D379" s="1">
        <v>183</v>
      </c>
      <c r="E379" s="1">
        <v>74</v>
      </c>
      <c r="F379" s="1">
        <v>135</v>
      </c>
      <c r="G379" s="1">
        <v>150</v>
      </c>
      <c r="H379" s="1" t="s">
        <v>260</v>
      </c>
      <c r="I379" s="1">
        <v>45</v>
      </c>
      <c r="J379" s="1" t="s">
        <v>264</v>
      </c>
      <c r="K379" s="1">
        <v>5</v>
      </c>
      <c r="L379" s="1">
        <f t="shared" si="5"/>
        <v>225</v>
      </c>
      <c r="M379" s="1" t="s">
        <v>38</v>
      </c>
      <c r="N379" s="1"/>
      <c r="O379" s="12" t="str">
        <f>IF($J379=Sheet2!$A$2, ROW(), "")</f>
        <v/>
      </c>
      <c r="Q379" s="23" t="s">
        <v>2360</v>
      </c>
    </row>
    <row r="380" spans="1:17" ht="14" customHeight="1" x14ac:dyDescent="0.3">
      <c r="A380" s="1" t="s">
        <v>514</v>
      </c>
      <c r="B380" s="1">
        <v>22</v>
      </c>
      <c r="C380" s="1" t="s">
        <v>312</v>
      </c>
      <c r="D380" s="1">
        <v>169</v>
      </c>
      <c r="E380" s="1">
        <v>75</v>
      </c>
      <c r="F380" s="1">
        <v>124</v>
      </c>
      <c r="G380" s="1">
        <v>140</v>
      </c>
      <c r="H380" s="1" t="s">
        <v>515</v>
      </c>
      <c r="I380" s="1">
        <v>120</v>
      </c>
      <c r="J380" s="1" t="s">
        <v>1735</v>
      </c>
      <c r="K380" s="1">
        <v>3</v>
      </c>
      <c r="L380" s="1">
        <f t="shared" si="5"/>
        <v>600</v>
      </c>
      <c r="M380" s="1" t="s">
        <v>38</v>
      </c>
      <c r="N380" s="1"/>
      <c r="O380" s="12" t="str">
        <f>IF($J380=Sheet2!$A$2, ROW(), "")</f>
        <v/>
      </c>
      <c r="Q380" s="23" t="s">
        <v>2361</v>
      </c>
    </row>
    <row r="381" spans="1:17" ht="14" customHeight="1" x14ac:dyDescent="0.3">
      <c r="A381" s="1" t="s">
        <v>516</v>
      </c>
      <c r="B381" s="1">
        <v>23</v>
      </c>
      <c r="C381" s="1" t="s">
        <v>517</v>
      </c>
      <c r="D381" s="1">
        <v>188</v>
      </c>
      <c r="E381" s="1">
        <v>70</v>
      </c>
      <c r="F381" s="1">
        <v>129</v>
      </c>
      <c r="G381" s="1">
        <v>140</v>
      </c>
      <c r="H381" s="1" t="s">
        <v>357</v>
      </c>
      <c r="I381" s="1">
        <v>150</v>
      </c>
      <c r="J381" s="1" t="s">
        <v>1848</v>
      </c>
      <c r="K381" s="1">
        <v>5</v>
      </c>
      <c r="L381" s="1">
        <f t="shared" si="5"/>
        <v>750</v>
      </c>
      <c r="M381" s="1"/>
      <c r="N381" s="1"/>
      <c r="O381" s="12" t="str">
        <f>IF($J381=Sheet2!$A$2, ROW(), "")</f>
        <v/>
      </c>
      <c r="Q381" s="23" t="s">
        <v>2362</v>
      </c>
    </row>
    <row r="382" spans="1:17" ht="14" customHeight="1" x14ac:dyDescent="0.3">
      <c r="A382" s="1" t="s">
        <v>518</v>
      </c>
      <c r="B382" s="1">
        <v>31</v>
      </c>
      <c r="C382" s="1" t="s">
        <v>273</v>
      </c>
      <c r="D382" s="1">
        <v>178</v>
      </c>
      <c r="E382" s="1">
        <v>75</v>
      </c>
      <c r="F382" s="1">
        <v>68</v>
      </c>
      <c r="G382" s="1">
        <v>77</v>
      </c>
      <c r="H382" s="1" t="s">
        <v>519</v>
      </c>
      <c r="I382" s="1">
        <v>24</v>
      </c>
      <c r="J382" s="1" t="s">
        <v>1735</v>
      </c>
      <c r="K382" s="1">
        <v>2</v>
      </c>
      <c r="L382" s="1">
        <f t="shared" si="5"/>
        <v>120</v>
      </c>
      <c r="M382" s="1"/>
      <c r="N382" s="1"/>
      <c r="O382" s="12" t="str">
        <f>IF($J382=Sheet2!$A$2, ROW(), "")</f>
        <v/>
      </c>
      <c r="Q382" s="23" t="s">
        <v>2363</v>
      </c>
    </row>
    <row r="383" spans="1:17" ht="14" customHeight="1" x14ac:dyDescent="0.3">
      <c r="A383" s="1" t="s">
        <v>521</v>
      </c>
      <c r="B383" s="1">
        <v>26</v>
      </c>
      <c r="C383" s="1" t="s">
        <v>273</v>
      </c>
      <c r="D383" s="1">
        <v>167</v>
      </c>
      <c r="E383" s="1">
        <v>75</v>
      </c>
      <c r="F383" s="1">
        <v>64</v>
      </c>
      <c r="G383" s="1">
        <v>72</v>
      </c>
      <c r="H383" s="1" t="s">
        <v>522</v>
      </c>
      <c r="I383" s="1">
        <v>24</v>
      </c>
      <c r="J383" s="1" t="s">
        <v>1735</v>
      </c>
      <c r="K383" s="1">
        <v>2</v>
      </c>
      <c r="L383" s="1">
        <f t="shared" si="5"/>
        <v>120</v>
      </c>
      <c r="M383" s="1"/>
      <c r="N383" s="1"/>
      <c r="O383" s="12" t="str">
        <f>IF($J383=Sheet2!$A$2, ROW(), "")</f>
        <v/>
      </c>
      <c r="Q383" s="23" t="s">
        <v>2364</v>
      </c>
    </row>
    <row r="384" spans="1:17" ht="14" customHeight="1" x14ac:dyDescent="0.3">
      <c r="A384" s="1" t="s">
        <v>523</v>
      </c>
      <c r="B384" s="1">
        <v>29</v>
      </c>
      <c r="C384" s="1" t="s">
        <v>273</v>
      </c>
      <c r="D384" s="1">
        <v>178</v>
      </c>
      <c r="E384" s="1">
        <v>75</v>
      </c>
      <c r="F384" s="1">
        <v>65</v>
      </c>
      <c r="G384" s="1">
        <v>74</v>
      </c>
      <c r="H384" s="1" t="s">
        <v>524</v>
      </c>
      <c r="I384" s="1">
        <v>24</v>
      </c>
      <c r="J384" s="1" t="s">
        <v>1735</v>
      </c>
      <c r="K384" s="1">
        <v>2</v>
      </c>
      <c r="L384" s="1">
        <f t="shared" si="5"/>
        <v>120</v>
      </c>
      <c r="M384" s="1"/>
      <c r="N384" s="1"/>
      <c r="O384" s="12" t="str">
        <f>IF($J384=Sheet2!$A$2, ROW(), "")</f>
        <v/>
      </c>
      <c r="Q384" s="23" t="s">
        <v>2365</v>
      </c>
    </row>
    <row r="385" spans="1:17" ht="14" customHeight="1" x14ac:dyDescent="0.3">
      <c r="A385" s="1" t="s">
        <v>525</v>
      </c>
      <c r="B385" s="1">
        <v>28</v>
      </c>
      <c r="C385" s="1" t="s">
        <v>295</v>
      </c>
      <c r="D385" s="1">
        <v>188</v>
      </c>
      <c r="E385" s="1">
        <v>75</v>
      </c>
      <c r="F385" s="1">
        <v>63</v>
      </c>
      <c r="G385" s="1">
        <v>66</v>
      </c>
      <c r="H385" s="1" t="s">
        <v>526</v>
      </c>
      <c r="I385" s="1">
        <v>24</v>
      </c>
      <c r="J385" s="1" t="s">
        <v>1735</v>
      </c>
      <c r="K385" s="1">
        <v>2</v>
      </c>
      <c r="L385" s="1">
        <f t="shared" si="5"/>
        <v>120</v>
      </c>
      <c r="M385" s="1"/>
      <c r="N385" s="1"/>
      <c r="O385" s="12" t="str">
        <f>IF($J385=Sheet2!$A$2, ROW(), "")</f>
        <v/>
      </c>
      <c r="Q385" s="23" t="s">
        <v>2366</v>
      </c>
    </row>
    <row r="386" spans="1:17" ht="14" customHeight="1" x14ac:dyDescent="0.3">
      <c r="A386" s="1" t="s">
        <v>527</v>
      </c>
      <c r="B386" s="1">
        <v>29</v>
      </c>
      <c r="C386" s="1" t="s">
        <v>266</v>
      </c>
      <c r="D386" s="1">
        <v>178</v>
      </c>
      <c r="E386" s="1">
        <v>75</v>
      </c>
      <c r="F386" s="1">
        <v>68</v>
      </c>
      <c r="G386" s="1">
        <v>75</v>
      </c>
      <c r="H386" s="1" t="s">
        <v>247</v>
      </c>
      <c r="I386" s="1">
        <v>24</v>
      </c>
      <c r="J386" s="1" t="s">
        <v>1735</v>
      </c>
      <c r="K386" s="1">
        <v>2</v>
      </c>
      <c r="L386" s="1">
        <f t="shared" ref="L386:L449" si="6">I386*5</f>
        <v>120</v>
      </c>
      <c r="M386" s="1"/>
      <c r="N386" s="1"/>
      <c r="O386" s="12" t="str">
        <f>IF($J386=Sheet2!$A$2, ROW(), "")</f>
        <v/>
      </c>
      <c r="Q386" s="23" t="s">
        <v>2367</v>
      </c>
    </row>
    <row r="387" spans="1:17" ht="14" customHeight="1" x14ac:dyDescent="0.3">
      <c r="A387" s="1" t="s">
        <v>528</v>
      </c>
      <c r="B387" s="1">
        <v>32</v>
      </c>
      <c r="C387" s="1" t="s">
        <v>266</v>
      </c>
      <c r="D387" s="1">
        <v>178</v>
      </c>
      <c r="E387" s="1">
        <v>76</v>
      </c>
      <c r="F387" s="1">
        <v>67</v>
      </c>
      <c r="G387" s="1">
        <v>72</v>
      </c>
      <c r="H387" s="1" t="s">
        <v>529</v>
      </c>
      <c r="I387" s="1">
        <v>24</v>
      </c>
      <c r="J387" s="1" t="s">
        <v>1735</v>
      </c>
      <c r="K387" s="1">
        <v>2</v>
      </c>
      <c r="L387" s="1">
        <f t="shared" si="6"/>
        <v>120</v>
      </c>
      <c r="M387" s="1"/>
      <c r="N387" s="1"/>
      <c r="O387" s="12" t="str">
        <f>IF($J387=Sheet2!$A$2, ROW(), "")</f>
        <v/>
      </c>
      <c r="Q387" s="23" t="s">
        <v>2368</v>
      </c>
    </row>
    <row r="388" spans="1:17" ht="14" customHeight="1" x14ac:dyDescent="0.3">
      <c r="A388" s="1" t="s">
        <v>530</v>
      </c>
      <c r="B388" s="1">
        <v>31</v>
      </c>
      <c r="C388" s="1" t="s">
        <v>531</v>
      </c>
      <c r="D388" s="1">
        <v>180</v>
      </c>
      <c r="E388" s="1">
        <v>78</v>
      </c>
      <c r="F388" s="1">
        <v>115</v>
      </c>
      <c r="G388" s="1">
        <v>115</v>
      </c>
      <c r="H388" s="1" t="s">
        <v>251</v>
      </c>
      <c r="I388" s="1">
        <v>60</v>
      </c>
      <c r="J388" s="1" t="s">
        <v>248</v>
      </c>
      <c r="K388" s="1">
        <v>5</v>
      </c>
      <c r="L388" s="1">
        <f t="shared" si="6"/>
        <v>300</v>
      </c>
      <c r="M388" s="1" t="s">
        <v>38</v>
      </c>
      <c r="N388" s="1"/>
      <c r="O388" s="12">
        <f>IF($J388=Sheet2!$A$2, ROW(), "")</f>
        <v>388</v>
      </c>
      <c r="Q388" s="23" t="s">
        <v>2369</v>
      </c>
    </row>
    <row r="389" spans="1:17" ht="14" customHeight="1" x14ac:dyDescent="0.3">
      <c r="A389" s="1" t="s">
        <v>532</v>
      </c>
      <c r="B389" s="1">
        <v>26</v>
      </c>
      <c r="C389" s="1" t="s">
        <v>488</v>
      </c>
      <c r="D389" s="1">
        <v>178</v>
      </c>
      <c r="E389" s="1">
        <v>71</v>
      </c>
      <c r="F389" s="1">
        <v>125</v>
      </c>
      <c r="G389" s="1">
        <v>136</v>
      </c>
      <c r="H389" s="1" t="s">
        <v>247</v>
      </c>
      <c r="I389" s="1">
        <v>400</v>
      </c>
      <c r="J389" s="1" t="s">
        <v>1735</v>
      </c>
      <c r="K389" s="1">
        <v>4</v>
      </c>
      <c r="L389" s="1">
        <f t="shared" si="6"/>
        <v>2000</v>
      </c>
      <c r="M389" s="1" t="s">
        <v>38</v>
      </c>
      <c r="N389" s="1"/>
      <c r="O389" s="12" t="str">
        <f>IF($J389=Sheet2!$A$2, ROW(), "")</f>
        <v/>
      </c>
      <c r="Q389" s="23" t="s">
        <v>2370</v>
      </c>
    </row>
    <row r="390" spans="1:17" ht="14" customHeight="1" x14ac:dyDescent="0.3">
      <c r="A390" s="1" t="s">
        <v>533</v>
      </c>
      <c r="B390" s="1">
        <v>28</v>
      </c>
      <c r="C390" s="1" t="s">
        <v>312</v>
      </c>
      <c r="D390" s="1">
        <v>190</v>
      </c>
      <c r="E390" s="1">
        <v>79</v>
      </c>
      <c r="F390" s="1">
        <v>96</v>
      </c>
      <c r="G390" s="1">
        <v>120</v>
      </c>
      <c r="H390" s="1" t="s">
        <v>23</v>
      </c>
      <c r="I390" s="1">
        <v>80</v>
      </c>
      <c r="J390" s="1" t="s">
        <v>1762</v>
      </c>
      <c r="K390" s="1">
        <v>2</v>
      </c>
      <c r="L390" s="1">
        <f t="shared" si="6"/>
        <v>400</v>
      </c>
      <c r="M390" s="1"/>
      <c r="N390" s="1"/>
      <c r="O390" s="12" t="str">
        <f>IF($J390=Sheet2!$A$2, ROW(), "")</f>
        <v/>
      </c>
      <c r="Q390" s="23" t="s">
        <v>2371</v>
      </c>
    </row>
    <row r="391" spans="1:17" ht="14" customHeight="1" x14ac:dyDescent="0.3">
      <c r="A391" s="1" t="s">
        <v>534</v>
      </c>
      <c r="B391" s="1">
        <v>28</v>
      </c>
      <c r="C391" s="1" t="s">
        <v>535</v>
      </c>
      <c r="D391" s="1">
        <v>177</v>
      </c>
      <c r="E391" s="1">
        <v>73</v>
      </c>
      <c r="F391" s="1">
        <v>99</v>
      </c>
      <c r="G391" s="1">
        <v>130</v>
      </c>
      <c r="H391" s="1" t="s">
        <v>536</v>
      </c>
      <c r="I391" s="1">
        <v>150</v>
      </c>
      <c r="J391" s="1" t="s">
        <v>1762</v>
      </c>
      <c r="K391" s="1">
        <v>2</v>
      </c>
      <c r="L391" s="1">
        <f t="shared" si="6"/>
        <v>750</v>
      </c>
      <c r="M391" s="1"/>
      <c r="N391" s="1"/>
      <c r="O391" s="12" t="str">
        <f>IF($J391=Sheet2!$A$2, ROW(), "")</f>
        <v/>
      </c>
      <c r="Q391" s="23" t="s">
        <v>2372</v>
      </c>
    </row>
    <row r="392" spans="1:17" ht="14" customHeight="1" x14ac:dyDescent="0.3">
      <c r="A392" s="1" t="s">
        <v>537</v>
      </c>
      <c r="B392" s="1">
        <v>26</v>
      </c>
      <c r="C392" s="1" t="s">
        <v>538</v>
      </c>
      <c r="D392" s="1">
        <v>188</v>
      </c>
      <c r="E392" s="1">
        <v>81</v>
      </c>
      <c r="F392" s="1">
        <v>122</v>
      </c>
      <c r="G392" s="1">
        <v>140</v>
      </c>
      <c r="H392" s="1" t="s">
        <v>357</v>
      </c>
      <c r="I392" s="1">
        <v>40</v>
      </c>
      <c r="J392" s="1" t="s">
        <v>1834</v>
      </c>
      <c r="K392" s="1">
        <v>5</v>
      </c>
      <c r="L392" s="1">
        <f t="shared" si="6"/>
        <v>200</v>
      </c>
      <c r="M392" s="1" t="s">
        <v>98</v>
      </c>
      <c r="N392" s="1"/>
      <c r="O392" s="12" t="str">
        <f>IF($J392=Sheet2!$A$2, ROW(), "")</f>
        <v/>
      </c>
      <c r="Q392" s="23" t="s">
        <v>2373</v>
      </c>
    </row>
    <row r="393" spans="1:17" ht="14" customHeight="1" x14ac:dyDescent="0.3">
      <c r="A393" s="1" t="s">
        <v>539</v>
      </c>
      <c r="B393" s="1">
        <v>30</v>
      </c>
      <c r="C393" s="1" t="s">
        <v>510</v>
      </c>
      <c r="D393" s="1">
        <v>186</v>
      </c>
      <c r="E393" s="1">
        <v>72</v>
      </c>
      <c r="F393" s="1">
        <v>90</v>
      </c>
      <c r="G393" s="1">
        <v>102</v>
      </c>
      <c r="H393" s="1" t="s">
        <v>247</v>
      </c>
      <c r="I393" s="1">
        <v>40</v>
      </c>
      <c r="J393" s="1" t="s">
        <v>1762</v>
      </c>
      <c r="K393" s="1">
        <v>2</v>
      </c>
      <c r="L393" s="1">
        <f t="shared" si="6"/>
        <v>200</v>
      </c>
      <c r="M393" s="1"/>
      <c r="N393" s="1"/>
      <c r="O393" s="12" t="str">
        <f>IF($J393=Sheet2!$A$2, ROW(), "")</f>
        <v/>
      </c>
      <c r="Q393" s="23" t="s">
        <v>2374</v>
      </c>
    </row>
    <row r="394" spans="1:17" ht="14" customHeight="1" x14ac:dyDescent="0.3">
      <c r="A394" s="1" t="s">
        <v>540</v>
      </c>
      <c r="B394" s="1">
        <v>29</v>
      </c>
      <c r="C394" s="1" t="s">
        <v>285</v>
      </c>
      <c r="D394" s="1">
        <v>181</v>
      </c>
      <c r="E394" s="1">
        <v>75</v>
      </c>
      <c r="F394" s="1">
        <v>112</v>
      </c>
      <c r="G394" s="1">
        <v>112</v>
      </c>
      <c r="H394" s="1" t="s">
        <v>324</v>
      </c>
      <c r="I394" s="1">
        <v>60</v>
      </c>
      <c r="J394" s="1" t="s">
        <v>1762</v>
      </c>
      <c r="K394" s="1">
        <v>2</v>
      </c>
      <c r="L394" s="1">
        <f t="shared" si="6"/>
        <v>300</v>
      </c>
      <c r="M394" s="1"/>
      <c r="N394" s="1"/>
      <c r="O394" s="12" t="str">
        <f>IF($J394=Sheet2!$A$2, ROW(), "")</f>
        <v/>
      </c>
      <c r="Q394" s="23" t="s">
        <v>2375</v>
      </c>
    </row>
    <row r="395" spans="1:17" ht="14" customHeight="1" x14ac:dyDescent="0.3">
      <c r="A395" s="1" t="s">
        <v>541</v>
      </c>
      <c r="B395" s="1">
        <v>30</v>
      </c>
      <c r="C395" s="1" t="s">
        <v>542</v>
      </c>
      <c r="D395" s="1">
        <v>183</v>
      </c>
      <c r="E395" s="1">
        <v>74</v>
      </c>
      <c r="F395" s="1">
        <v>100</v>
      </c>
      <c r="G395" s="1">
        <v>116</v>
      </c>
      <c r="H395" s="1" t="s">
        <v>543</v>
      </c>
      <c r="I395" s="1">
        <v>200</v>
      </c>
      <c r="J395" s="1" t="s">
        <v>1762</v>
      </c>
      <c r="K395" s="1">
        <v>2</v>
      </c>
      <c r="L395" s="1">
        <f t="shared" si="6"/>
        <v>1000</v>
      </c>
      <c r="M395" s="1"/>
      <c r="N395" s="1"/>
      <c r="O395" s="12" t="str">
        <f>IF($J395=Sheet2!$A$2, ROW(), "")</f>
        <v/>
      </c>
      <c r="Q395" s="23" t="s">
        <v>2376</v>
      </c>
    </row>
    <row r="396" spans="1:17" ht="14" customHeight="1" x14ac:dyDescent="0.3">
      <c r="A396" s="1" t="s">
        <v>544</v>
      </c>
      <c r="B396" s="1">
        <v>26</v>
      </c>
      <c r="C396" s="1" t="s">
        <v>266</v>
      </c>
      <c r="D396" s="1">
        <v>187</v>
      </c>
      <c r="E396" s="1">
        <v>74</v>
      </c>
      <c r="F396" s="1">
        <v>75</v>
      </c>
      <c r="G396" s="1">
        <v>76</v>
      </c>
      <c r="H396" s="1" t="s">
        <v>545</v>
      </c>
      <c r="I396" s="1">
        <v>24</v>
      </c>
      <c r="J396" s="1" t="s">
        <v>1762</v>
      </c>
      <c r="K396" s="1">
        <v>2</v>
      </c>
      <c r="L396" s="1">
        <f t="shared" si="6"/>
        <v>120</v>
      </c>
      <c r="M396" s="1"/>
      <c r="N396" s="1"/>
      <c r="O396" s="12" t="str">
        <f>IF($J396=Sheet2!$A$2, ROW(), "")</f>
        <v/>
      </c>
      <c r="Q396" s="23" t="s">
        <v>2377</v>
      </c>
    </row>
    <row r="397" spans="1:17" ht="14" customHeight="1" x14ac:dyDescent="0.3">
      <c r="A397" s="1" t="s">
        <v>546</v>
      </c>
      <c r="B397" s="1">
        <v>33</v>
      </c>
      <c r="C397" s="1" t="s">
        <v>276</v>
      </c>
      <c r="D397" s="1">
        <v>188</v>
      </c>
      <c r="E397" s="1">
        <v>74</v>
      </c>
      <c r="F397" s="1">
        <v>60</v>
      </c>
      <c r="G397" s="1">
        <v>80</v>
      </c>
      <c r="H397" s="1" t="s">
        <v>267</v>
      </c>
      <c r="I397" s="1">
        <v>24</v>
      </c>
      <c r="J397" s="1" t="s">
        <v>1762</v>
      </c>
      <c r="K397" s="1">
        <v>2</v>
      </c>
      <c r="L397" s="1">
        <f t="shared" si="6"/>
        <v>120</v>
      </c>
      <c r="M397" s="1"/>
      <c r="N397" s="1"/>
      <c r="O397" s="12" t="str">
        <f>IF($J397=Sheet2!$A$2, ROW(), "")</f>
        <v/>
      </c>
      <c r="Q397" s="23" t="s">
        <v>2378</v>
      </c>
    </row>
    <row r="398" spans="1:17" ht="14" customHeight="1" x14ac:dyDescent="0.3">
      <c r="A398" s="1" t="s">
        <v>547</v>
      </c>
      <c r="B398" s="1">
        <v>36</v>
      </c>
      <c r="C398" s="1" t="s">
        <v>232</v>
      </c>
      <c r="D398" s="1">
        <v>189</v>
      </c>
      <c r="E398" s="1">
        <v>71</v>
      </c>
      <c r="F398" s="1">
        <v>64</v>
      </c>
      <c r="G398" s="1">
        <v>88</v>
      </c>
      <c r="H398" s="1" t="s">
        <v>1</v>
      </c>
      <c r="I398" s="1">
        <v>24</v>
      </c>
      <c r="J398" s="1" t="s">
        <v>1762</v>
      </c>
      <c r="K398" s="1">
        <v>2</v>
      </c>
      <c r="L398" s="1">
        <f t="shared" si="6"/>
        <v>120</v>
      </c>
      <c r="M398" s="1"/>
      <c r="N398" s="1"/>
      <c r="O398" s="12" t="str">
        <f>IF($J398=Sheet2!$A$2, ROW(), "")</f>
        <v/>
      </c>
      <c r="Q398" s="23" t="s">
        <v>2379</v>
      </c>
    </row>
    <row r="399" spans="1:17" ht="14" customHeight="1" x14ac:dyDescent="0.3">
      <c r="A399" s="1" t="s">
        <v>548</v>
      </c>
      <c r="B399" s="1">
        <v>32</v>
      </c>
      <c r="C399" s="1" t="s">
        <v>549</v>
      </c>
      <c r="D399" s="1">
        <v>170</v>
      </c>
      <c r="E399" s="1">
        <v>67</v>
      </c>
      <c r="F399" s="1">
        <v>66</v>
      </c>
      <c r="G399" s="1">
        <v>80</v>
      </c>
      <c r="H399" s="1" t="s">
        <v>550</v>
      </c>
      <c r="I399" s="1">
        <v>24</v>
      </c>
      <c r="J399" s="1"/>
      <c r="K399" s="1">
        <v>3</v>
      </c>
      <c r="L399" s="1">
        <f t="shared" si="6"/>
        <v>120</v>
      </c>
      <c r="M399" s="1"/>
      <c r="N399" s="1"/>
      <c r="O399" s="12" t="str">
        <f>IF($J399=Sheet2!$A$2, ROW(), "")</f>
        <v/>
      </c>
      <c r="Q399" s="23" t="s">
        <v>2380</v>
      </c>
    </row>
    <row r="400" spans="1:17" ht="14" customHeight="1" x14ac:dyDescent="0.3">
      <c r="A400" s="1" t="s">
        <v>551</v>
      </c>
      <c r="B400" s="1">
        <v>40</v>
      </c>
      <c r="C400" s="1" t="s">
        <v>259</v>
      </c>
      <c r="D400" s="1">
        <v>177</v>
      </c>
      <c r="E400" s="1">
        <v>73</v>
      </c>
      <c r="F400" s="1">
        <v>62</v>
      </c>
      <c r="G400" s="1">
        <v>92</v>
      </c>
      <c r="H400" s="1" t="s">
        <v>357</v>
      </c>
      <c r="I400" s="1">
        <v>24</v>
      </c>
      <c r="J400" s="1" t="s">
        <v>207</v>
      </c>
      <c r="K400" s="1">
        <v>2</v>
      </c>
      <c r="L400" s="1">
        <f t="shared" si="6"/>
        <v>120</v>
      </c>
      <c r="M400" s="1"/>
      <c r="N400" s="1"/>
      <c r="O400" s="12" t="str">
        <f>IF($J400=Sheet2!$A$2, ROW(), "")</f>
        <v/>
      </c>
      <c r="Q400" s="23" t="s">
        <v>2381</v>
      </c>
    </row>
    <row r="401" spans="1:17" ht="14" customHeight="1" x14ac:dyDescent="0.3">
      <c r="A401" s="1" t="s">
        <v>552</v>
      </c>
      <c r="B401" s="1">
        <v>32</v>
      </c>
      <c r="C401" s="1" t="s">
        <v>295</v>
      </c>
      <c r="D401" s="1">
        <v>188</v>
      </c>
      <c r="E401" s="1">
        <v>85</v>
      </c>
      <c r="F401" s="1">
        <v>80</v>
      </c>
      <c r="G401" s="1">
        <v>84</v>
      </c>
      <c r="H401" s="1" t="s">
        <v>553</v>
      </c>
      <c r="I401" s="1">
        <v>24</v>
      </c>
      <c r="J401" s="1" t="s">
        <v>278</v>
      </c>
      <c r="K401" s="1">
        <v>3</v>
      </c>
      <c r="L401" s="1">
        <f t="shared" si="6"/>
        <v>120</v>
      </c>
      <c r="M401" s="1" t="s">
        <v>38</v>
      </c>
      <c r="N401" s="1"/>
      <c r="O401" s="12" t="str">
        <f>IF($J401=Sheet2!$A$2, ROW(), "")</f>
        <v/>
      </c>
      <c r="Q401" s="23" t="s">
        <v>2382</v>
      </c>
    </row>
    <row r="402" spans="1:17" ht="14" customHeight="1" x14ac:dyDescent="0.3">
      <c r="A402" s="1" t="s">
        <v>554</v>
      </c>
      <c r="B402" s="1">
        <v>27</v>
      </c>
      <c r="C402" s="1" t="s">
        <v>259</v>
      </c>
      <c r="D402" s="1">
        <v>181</v>
      </c>
      <c r="E402" s="1">
        <v>75</v>
      </c>
      <c r="F402" s="1">
        <v>74</v>
      </c>
      <c r="G402" s="1">
        <v>74</v>
      </c>
      <c r="H402" s="1" t="s">
        <v>277</v>
      </c>
      <c r="I402" s="1">
        <v>24</v>
      </c>
      <c r="J402" s="1"/>
      <c r="K402" s="1">
        <v>3</v>
      </c>
      <c r="L402" s="1">
        <f t="shared" si="6"/>
        <v>120</v>
      </c>
      <c r="M402" s="1"/>
      <c r="N402" s="1"/>
      <c r="O402" s="12" t="str">
        <f>IF($J402=Sheet2!$A$2, ROW(), "")</f>
        <v/>
      </c>
      <c r="Q402" s="23" t="s">
        <v>2383</v>
      </c>
    </row>
    <row r="403" spans="1:17" ht="14" customHeight="1" x14ac:dyDescent="0.3">
      <c r="A403" s="1" t="s">
        <v>555</v>
      </c>
      <c r="B403" s="1">
        <v>33</v>
      </c>
      <c r="C403" s="1" t="s">
        <v>266</v>
      </c>
      <c r="D403" s="1">
        <v>177</v>
      </c>
      <c r="E403" s="1">
        <v>74</v>
      </c>
      <c r="F403" s="1">
        <v>66</v>
      </c>
      <c r="G403" s="1">
        <v>74</v>
      </c>
      <c r="H403" s="1" t="s">
        <v>556</v>
      </c>
      <c r="I403" s="1">
        <v>24</v>
      </c>
      <c r="J403" s="1" t="s">
        <v>1762</v>
      </c>
      <c r="K403" s="1">
        <v>2</v>
      </c>
      <c r="L403" s="1">
        <f t="shared" si="6"/>
        <v>120</v>
      </c>
      <c r="M403" s="1"/>
      <c r="N403" s="1"/>
      <c r="O403" s="12" t="str">
        <f>IF($J403=Sheet2!$A$2, ROW(), "")</f>
        <v/>
      </c>
      <c r="Q403" s="23" t="s">
        <v>2384</v>
      </c>
    </row>
    <row r="404" spans="1:17" ht="14" customHeight="1" x14ac:dyDescent="0.3">
      <c r="A404" s="1" t="s">
        <v>557</v>
      </c>
      <c r="B404" s="1">
        <v>30</v>
      </c>
      <c r="C404" s="1" t="s">
        <v>295</v>
      </c>
      <c r="D404" s="1">
        <v>188</v>
      </c>
      <c r="E404" s="1">
        <v>75</v>
      </c>
      <c r="F404" s="1">
        <v>64</v>
      </c>
      <c r="G404" s="1">
        <v>72</v>
      </c>
      <c r="H404" s="1" t="s">
        <v>558</v>
      </c>
      <c r="I404" s="1">
        <v>24</v>
      </c>
      <c r="J404" s="1" t="s">
        <v>1762</v>
      </c>
      <c r="K404" s="1">
        <v>2</v>
      </c>
      <c r="L404" s="1">
        <f t="shared" si="6"/>
        <v>120</v>
      </c>
      <c r="M404" s="1"/>
      <c r="N404" s="1"/>
      <c r="O404" s="12" t="str">
        <f>IF($J404=Sheet2!$A$2, ROW(), "")</f>
        <v/>
      </c>
      <c r="Q404" s="23" t="s">
        <v>2385</v>
      </c>
    </row>
    <row r="405" spans="1:17" ht="14" customHeight="1" x14ac:dyDescent="0.3">
      <c r="A405" s="1" t="s">
        <v>559</v>
      </c>
      <c r="B405" s="1">
        <v>27</v>
      </c>
      <c r="C405" s="1" t="s">
        <v>295</v>
      </c>
      <c r="D405" s="1">
        <v>196</v>
      </c>
      <c r="E405" s="1">
        <v>75</v>
      </c>
      <c r="F405" s="1">
        <v>76</v>
      </c>
      <c r="G405" s="1">
        <v>88</v>
      </c>
      <c r="H405" s="1" t="s">
        <v>1</v>
      </c>
      <c r="I405" s="1">
        <v>24</v>
      </c>
      <c r="J405" s="1" t="s">
        <v>1762</v>
      </c>
      <c r="K405" s="1">
        <v>2</v>
      </c>
      <c r="L405" s="1">
        <f t="shared" si="6"/>
        <v>120</v>
      </c>
      <c r="M405" s="1"/>
      <c r="N405" s="1"/>
      <c r="O405" s="12" t="str">
        <f>IF($J405=Sheet2!$A$2, ROW(), "")</f>
        <v/>
      </c>
      <c r="Q405" s="23" t="s">
        <v>2386</v>
      </c>
    </row>
    <row r="406" spans="1:17" ht="14" customHeight="1" x14ac:dyDescent="0.3">
      <c r="A406" s="1" t="s">
        <v>560</v>
      </c>
      <c r="B406" s="1">
        <v>25</v>
      </c>
      <c r="C406" s="1" t="s">
        <v>287</v>
      </c>
      <c r="D406" s="1">
        <v>198</v>
      </c>
      <c r="E406" s="1">
        <v>75</v>
      </c>
      <c r="F406" s="1">
        <v>108</v>
      </c>
      <c r="G406" s="1">
        <v>108</v>
      </c>
      <c r="H406" s="1" t="s">
        <v>1</v>
      </c>
      <c r="I406" s="1">
        <v>85</v>
      </c>
      <c r="J406" s="1" t="s">
        <v>561</v>
      </c>
      <c r="K406" s="1">
        <v>5</v>
      </c>
      <c r="L406" s="1">
        <f t="shared" si="6"/>
        <v>425</v>
      </c>
      <c r="M406" s="1" t="s">
        <v>38</v>
      </c>
      <c r="N406" s="1"/>
      <c r="O406" s="12" t="str">
        <f>IF($J406=Sheet2!$A$2, ROW(), "")</f>
        <v/>
      </c>
      <c r="Q406" s="23" t="s">
        <v>2387</v>
      </c>
    </row>
    <row r="407" spans="1:17" ht="14" customHeight="1" x14ac:dyDescent="0.3">
      <c r="A407" s="1" t="s">
        <v>562</v>
      </c>
      <c r="B407" s="1">
        <v>33</v>
      </c>
      <c r="C407" s="1" t="s">
        <v>563</v>
      </c>
      <c r="D407" s="1">
        <v>188</v>
      </c>
      <c r="E407" s="1">
        <v>75</v>
      </c>
      <c r="F407" s="1">
        <v>102</v>
      </c>
      <c r="G407" s="1">
        <v>108</v>
      </c>
      <c r="H407" s="1" t="s">
        <v>357</v>
      </c>
      <c r="I407" s="1">
        <v>55</v>
      </c>
      <c r="J407" s="1" t="s">
        <v>264</v>
      </c>
      <c r="K407" s="1">
        <v>4.5</v>
      </c>
      <c r="L407" s="1">
        <f t="shared" si="6"/>
        <v>275</v>
      </c>
      <c r="M407" s="1"/>
      <c r="N407" s="1"/>
      <c r="O407" s="12" t="str">
        <f>IF($J407=Sheet2!$A$2, ROW(), "")</f>
        <v/>
      </c>
      <c r="Q407" s="23" t="s">
        <v>2388</v>
      </c>
    </row>
    <row r="408" spans="1:17" ht="14" customHeight="1" x14ac:dyDescent="0.3">
      <c r="A408" s="1" t="s">
        <v>564</v>
      </c>
      <c r="B408" s="1">
        <v>33</v>
      </c>
      <c r="C408" s="1" t="s">
        <v>563</v>
      </c>
      <c r="D408" s="1">
        <v>187</v>
      </c>
      <c r="E408" s="1">
        <v>76</v>
      </c>
      <c r="F408" s="1">
        <v>104</v>
      </c>
      <c r="G408" s="1">
        <v>122</v>
      </c>
      <c r="H408" s="1" t="s">
        <v>247</v>
      </c>
      <c r="I408" s="1">
        <v>55</v>
      </c>
      <c r="J408" s="1" t="s">
        <v>1735</v>
      </c>
      <c r="K408" s="1">
        <v>4</v>
      </c>
      <c r="L408" s="1">
        <f t="shared" si="6"/>
        <v>275</v>
      </c>
      <c r="M408" s="1" t="s">
        <v>38</v>
      </c>
      <c r="N408" s="1"/>
      <c r="O408" s="12" t="str">
        <f>IF($J408=Sheet2!$A$2, ROW(), "")</f>
        <v/>
      </c>
      <c r="Q408" s="23" t="s">
        <v>2389</v>
      </c>
    </row>
    <row r="409" spans="1:17" ht="14" customHeight="1" x14ac:dyDescent="0.3">
      <c r="A409" s="1" t="s">
        <v>565</v>
      </c>
      <c r="B409" s="1">
        <v>34</v>
      </c>
      <c r="C409" s="1" t="s">
        <v>230</v>
      </c>
      <c r="D409" s="1">
        <v>188</v>
      </c>
      <c r="E409" s="1">
        <v>73</v>
      </c>
      <c r="F409" s="1">
        <v>106</v>
      </c>
      <c r="G409" s="1">
        <v>114</v>
      </c>
      <c r="H409" s="1" t="s">
        <v>566</v>
      </c>
      <c r="I409" s="1">
        <v>40</v>
      </c>
      <c r="J409" s="1" t="s">
        <v>207</v>
      </c>
      <c r="K409" s="1">
        <v>3</v>
      </c>
      <c r="L409" s="1">
        <f t="shared" si="6"/>
        <v>200</v>
      </c>
      <c r="M409" s="1" t="s">
        <v>38</v>
      </c>
      <c r="N409" s="1"/>
      <c r="O409" s="12" t="str">
        <f>IF($J409=Sheet2!$A$2, ROW(), "")</f>
        <v/>
      </c>
      <c r="Q409" s="23" t="s">
        <v>2390</v>
      </c>
    </row>
    <row r="410" spans="1:17" ht="14" customHeight="1" x14ac:dyDescent="0.3">
      <c r="A410" s="1" t="s">
        <v>567</v>
      </c>
      <c r="B410" s="1">
        <v>29</v>
      </c>
      <c r="C410" s="1" t="s">
        <v>568</v>
      </c>
      <c r="D410" s="1">
        <v>183</v>
      </c>
      <c r="E410" s="1">
        <v>76</v>
      </c>
      <c r="F410" s="1">
        <v>82</v>
      </c>
      <c r="G410" s="1">
        <v>90</v>
      </c>
      <c r="H410" s="1" t="s">
        <v>357</v>
      </c>
      <c r="I410" s="1">
        <v>45</v>
      </c>
      <c r="J410" s="1" t="s">
        <v>1762</v>
      </c>
      <c r="K410" s="1">
        <v>2</v>
      </c>
      <c r="L410" s="1">
        <f t="shared" si="6"/>
        <v>225</v>
      </c>
      <c r="M410" s="1" t="s">
        <v>38</v>
      </c>
      <c r="N410" s="1"/>
      <c r="O410" s="12" t="str">
        <f>IF($J410=Sheet2!$A$2, ROW(), "")</f>
        <v/>
      </c>
      <c r="Q410" s="23" t="s">
        <v>2391</v>
      </c>
    </row>
    <row r="411" spans="1:17" ht="14" customHeight="1" x14ac:dyDescent="0.3">
      <c r="A411" s="1" t="s">
        <v>569</v>
      </c>
      <c r="B411" s="1">
        <v>26</v>
      </c>
      <c r="C411" s="1" t="s">
        <v>570</v>
      </c>
      <c r="D411" s="1">
        <v>178</v>
      </c>
      <c r="E411" s="1">
        <v>73</v>
      </c>
      <c r="F411" s="1">
        <v>100</v>
      </c>
      <c r="G411" s="1">
        <v>100</v>
      </c>
      <c r="H411" s="1" t="s">
        <v>571</v>
      </c>
      <c r="I411" s="1">
        <v>30</v>
      </c>
      <c r="J411" s="1" t="s">
        <v>1918</v>
      </c>
      <c r="K411" s="1">
        <v>5</v>
      </c>
      <c r="L411" s="1">
        <f t="shared" si="6"/>
        <v>150</v>
      </c>
      <c r="M411" s="1" t="s">
        <v>38</v>
      </c>
      <c r="N411" s="1"/>
      <c r="O411" s="12" t="str">
        <f>IF($J411=Sheet2!$A$2, ROW(), "")</f>
        <v/>
      </c>
      <c r="Q411" s="23" t="s">
        <v>2392</v>
      </c>
    </row>
    <row r="412" spans="1:17" ht="14" customHeight="1" x14ac:dyDescent="0.3">
      <c r="A412" s="1" t="s">
        <v>573</v>
      </c>
      <c r="B412" s="1">
        <v>29</v>
      </c>
      <c r="C412" s="1" t="s">
        <v>574</v>
      </c>
      <c r="D412" s="1">
        <v>188</v>
      </c>
      <c r="E412" s="1">
        <v>75</v>
      </c>
      <c r="F412" s="1">
        <v>99</v>
      </c>
      <c r="G412" s="1">
        <v>116</v>
      </c>
      <c r="H412" s="1" t="s">
        <v>260</v>
      </c>
      <c r="I412" s="1">
        <v>24</v>
      </c>
      <c r="J412" s="1" t="s">
        <v>225</v>
      </c>
      <c r="K412" s="1">
        <v>4</v>
      </c>
      <c r="L412" s="1">
        <f t="shared" si="6"/>
        <v>120</v>
      </c>
      <c r="M412" s="1" t="s">
        <v>38</v>
      </c>
      <c r="N412" s="1"/>
      <c r="O412" s="12" t="str">
        <f>IF($J412=Sheet2!$A$2, ROW(), "")</f>
        <v/>
      </c>
      <c r="Q412" s="23" t="s">
        <v>2393</v>
      </c>
    </row>
    <row r="413" spans="1:17" ht="14" customHeight="1" x14ac:dyDescent="0.3">
      <c r="A413" s="1" t="s">
        <v>575</v>
      </c>
      <c r="B413" s="1">
        <v>31</v>
      </c>
      <c r="C413" s="1" t="s">
        <v>576</v>
      </c>
      <c r="D413" s="1">
        <v>188</v>
      </c>
      <c r="E413" s="1">
        <v>73</v>
      </c>
      <c r="F413" s="1">
        <v>80</v>
      </c>
      <c r="G413" s="1">
        <v>96</v>
      </c>
      <c r="H413" s="1" t="s">
        <v>260</v>
      </c>
      <c r="I413" s="1">
        <v>30</v>
      </c>
      <c r="J413" s="1" t="s">
        <v>1735</v>
      </c>
      <c r="K413" s="1">
        <v>3.5</v>
      </c>
      <c r="L413" s="1">
        <f t="shared" si="6"/>
        <v>150</v>
      </c>
      <c r="M413" s="1" t="s">
        <v>38</v>
      </c>
      <c r="N413" s="1"/>
      <c r="O413" s="12" t="str">
        <f>IF($J413=Sheet2!$A$2, ROW(), "")</f>
        <v/>
      </c>
      <c r="Q413" s="23" t="s">
        <v>2394</v>
      </c>
    </row>
    <row r="414" spans="1:17" ht="14" customHeight="1" x14ac:dyDescent="0.3">
      <c r="A414" s="1" t="s">
        <v>577</v>
      </c>
      <c r="B414" s="1">
        <v>33</v>
      </c>
      <c r="C414" s="1" t="s">
        <v>578</v>
      </c>
      <c r="D414" s="1">
        <v>182</v>
      </c>
      <c r="E414" s="1">
        <v>76</v>
      </c>
      <c r="F414" s="1">
        <v>98</v>
      </c>
      <c r="G414" s="1">
        <v>100</v>
      </c>
      <c r="H414" s="1" t="s">
        <v>317</v>
      </c>
      <c r="I414" s="1">
        <v>40</v>
      </c>
      <c r="J414" s="1" t="s">
        <v>37</v>
      </c>
      <c r="K414" s="1">
        <v>2.5</v>
      </c>
      <c r="L414" s="1">
        <f t="shared" si="6"/>
        <v>200</v>
      </c>
      <c r="M414" s="1" t="s">
        <v>38</v>
      </c>
      <c r="N414" s="1" t="s">
        <v>579</v>
      </c>
      <c r="O414" s="12" t="str">
        <f>IF($J414=Sheet2!$A$2, ROW(), "")</f>
        <v/>
      </c>
      <c r="Q414" s="23" t="s">
        <v>2395</v>
      </c>
    </row>
    <row r="415" spans="1:17" ht="14" customHeight="1" x14ac:dyDescent="0.3">
      <c r="A415" s="1" t="s">
        <v>580</v>
      </c>
      <c r="B415" s="1">
        <v>27</v>
      </c>
      <c r="C415" s="1" t="s">
        <v>563</v>
      </c>
      <c r="D415" s="1">
        <v>177</v>
      </c>
      <c r="E415" s="1">
        <v>74</v>
      </c>
      <c r="F415" s="1">
        <v>102</v>
      </c>
      <c r="G415" s="1">
        <v>102</v>
      </c>
      <c r="H415" s="1" t="s">
        <v>263</v>
      </c>
      <c r="I415" s="1">
        <v>24</v>
      </c>
      <c r="J415" s="1" t="s">
        <v>561</v>
      </c>
      <c r="K415" s="1">
        <v>5.5</v>
      </c>
      <c r="L415" s="1">
        <f t="shared" si="6"/>
        <v>120</v>
      </c>
      <c r="M415" s="1" t="s">
        <v>38</v>
      </c>
      <c r="N415" s="1"/>
      <c r="O415" s="12" t="str">
        <f>IF($J415=Sheet2!$A$2, ROW(), "")</f>
        <v/>
      </c>
      <c r="Q415" s="23" t="s">
        <v>2396</v>
      </c>
    </row>
    <row r="416" spans="1:17" ht="14" customHeight="1" x14ac:dyDescent="0.3">
      <c r="A416" s="1" t="s">
        <v>581</v>
      </c>
      <c r="B416" s="1">
        <v>39</v>
      </c>
      <c r="C416" s="1" t="s">
        <v>582</v>
      </c>
      <c r="D416" s="1">
        <v>188</v>
      </c>
      <c r="E416" s="1">
        <v>74</v>
      </c>
      <c r="F416" s="1">
        <v>107</v>
      </c>
      <c r="G416" s="1">
        <v>130</v>
      </c>
      <c r="H416" s="1" t="s">
        <v>260</v>
      </c>
      <c r="I416" s="1">
        <v>120</v>
      </c>
      <c r="J416" s="1" t="s">
        <v>207</v>
      </c>
      <c r="K416" s="1">
        <v>3.5</v>
      </c>
      <c r="L416" s="1">
        <f t="shared" si="6"/>
        <v>600</v>
      </c>
      <c r="M416" s="1" t="s">
        <v>38</v>
      </c>
      <c r="N416" s="1" t="s">
        <v>109</v>
      </c>
      <c r="O416" s="12" t="str">
        <f>IF($J416=Sheet2!$A$2, ROW(), "")</f>
        <v/>
      </c>
      <c r="Q416" s="23" t="s">
        <v>2397</v>
      </c>
    </row>
    <row r="417" spans="1:17" ht="14" customHeight="1" x14ac:dyDescent="0.3">
      <c r="A417" s="1" t="s">
        <v>583</v>
      </c>
      <c r="B417" s="1">
        <v>30</v>
      </c>
      <c r="C417" s="1" t="s">
        <v>563</v>
      </c>
      <c r="D417" s="1">
        <v>186</v>
      </c>
      <c r="E417" s="1">
        <v>74</v>
      </c>
      <c r="F417" s="1">
        <v>114</v>
      </c>
      <c r="G417" s="1">
        <v>142</v>
      </c>
      <c r="H417" s="1" t="s">
        <v>260</v>
      </c>
      <c r="I417" s="1">
        <v>280</v>
      </c>
      <c r="J417" s="1" t="s">
        <v>520</v>
      </c>
      <c r="K417" s="1">
        <v>4.5</v>
      </c>
      <c r="L417" s="1">
        <f t="shared" si="6"/>
        <v>1400</v>
      </c>
      <c r="M417" s="1" t="s">
        <v>38</v>
      </c>
      <c r="N417" s="1"/>
      <c r="O417" s="12" t="str">
        <f>IF($J417=Sheet2!$A$2, ROW(), "")</f>
        <v/>
      </c>
      <c r="Q417" s="23" t="s">
        <v>2398</v>
      </c>
    </row>
    <row r="418" spans="1:17" ht="14" customHeight="1" x14ac:dyDescent="0.3">
      <c r="A418" s="1" t="s">
        <v>584</v>
      </c>
      <c r="B418" s="1">
        <v>38</v>
      </c>
      <c r="C418" s="1" t="s">
        <v>563</v>
      </c>
      <c r="D418" s="1">
        <v>185</v>
      </c>
      <c r="E418" s="1">
        <v>75</v>
      </c>
      <c r="F418" s="1">
        <v>88</v>
      </c>
      <c r="G418" s="1">
        <v>106</v>
      </c>
      <c r="H418" s="1" t="s">
        <v>585</v>
      </c>
      <c r="I418" s="1">
        <v>140</v>
      </c>
      <c r="J418" s="1" t="s">
        <v>207</v>
      </c>
      <c r="K418" s="1">
        <v>2.5</v>
      </c>
      <c r="L418" s="1">
        <f t="shared" si="6"/>
        <v>700</v>
      </c>
      <c r="M418" s="1" t="s">
        <v>38</v>
      </c>
      <c r="N418" s="1" t="s">
        <v>579</v>
      </c>
      <c r="O418" s="12" t="str">
        <f>IF($J418=Sheet2!$A$2, ROW(), "")</f>
        <v/>
      </c>
      <c r="Q418" s="23" t="s">
        <v>2399</v>
      </c>
    </row>
    <row r="419" spans="1:17" ht="14" customHeight="1" x14ac:dyDescent="0.3">
      <c r="A419" s="1" t="s">
        <v>586</v>
      </c>
      <c r="B419" s="1">
        <v>31</v>
      </c>
      <c r="C419" s="1" t="s">
        <v>280</v>
      </c>
      <c r="D419" s="1">
        <v>187</v>
      </c>
      <c r="E419" s="1">
        <v>76</v>
      </c>
      <c r="F419" s="1">
        <v>98</v>
      </c>
      <c r="G419" s="1">
        <v>108</v>
      </c>
      <c r="H419" s="1" t="s">
        <v>317</v>
      </c>
      <c r="I419" s="1">
        <v>50</v>
      </c>
      <c r="J419" s="1" t="s">
        <v>238</v>
      </c>
      <c r="K419" s="1">
        <v>3</v>
      </c>
      <c r="L419" s="1">
        <f t="shared" si="6"/>
        <v>250</v>
      </c>
      <c r="M419" s="1" t="s">
        <v>38</v>
      </c>
      <c r="N419" s="1" t="s">
        <v>579</v>
      </c>
      <c r="O419" s="12" t="str">
        <f>IF($J419=Sheet2!$A$2, ROW(), "")</f>
        <v/>
      </c>
      <c r="Q419" s="23" t="s">
        <v>2400</v>
      </c>
    </row>
    <row r="420" spans="1:17" ht="14" customHeight="1" x14ac:dyDescent="0.3">
      <c r="A420" s="1" t="s">
        <v>587</v>
      </c>
      <c r="B420" s="1">
        <v>28</v>
      </c>
      <c r="C420" s="1" t="s">
        <v>246</v>
      </c>
      <c r="D420" s="1">
        <v>192</v>
      </c>
      <c r="E420" s="1">
        <v>73</v>
      </c>
      <c r="F420" s="1">
        <v>104</v>
      </c>
      <c r="G420" s="1">
        <v>126</v>
      </c>
      <c r="H420" s="1" t="s">
        <v>1</v>
      </c>
      <c r="I420" s="1">
        <v>65</v>
      </c>
      <c r="J420" s="1" t="s">
        <v>1762</v>
      </c>
      <c r="K420" s="1">
        <v>4</v>
      </c>
      <c r="L420" s="1">
        <f t="shared" si="6"/>
        <v>325</v>
      </c>
      <c r="M420" s="1" t="s">
        <v>38</v>
      </c>
      <c r="N420" s="1" t="s">
        <v>588</v>
      </c>
      <c r="O420" s="12" t="str">
        <f>IF($J420=Sheet2!$A$2, ROW(), "")</f>
        <v/>
      </c>
      <c r="Q420" s="23" t="s">
        <v>2401</v>
      </c>
    </row>
    <row r="421" spans="1:17" ht="14" customHeight="1" x14ac:dyDescent="0.3">
      <c r="A421" s="1" t="s">
        <v>589</v>
      </c>
      <c r="B421" s="1">
        <v>40</v>
      </c>
      <c r="C421" s="1" t="s">
        <v>590</v>
      </c>
      <c r="D421" s="1">
        <v>186</v>
      </c>
      <c r="E421" s="1">
        <v>74</v>
      </c>
      <c r="F421" s="1">
        <v>102</v>
      </c>
      <c r="G421" s="1">
        <v>140</v>
      </c>
      <c r="H421" s="1" t="s">
        <v>267</v>
      </c>
      <c r="I421" s="1">
        <v>24</v>
      </c>
      <c r="J421" s="1" t="s">
        <v>225</v>
      </c>
      <c r="K421" s="1">
        <v>4</v>
      </c>
      <c r="L421" s="1">
        <f t="shared" si="6"/>
        <v>120</v>
      </c>
      <c r="M421" s="1" t="s">
        <v>38</v>
      </c>
      <c r="N421" s="1" t="s">
        <v>579</v>
      </c>
      <c r="O421" s="12" t="str">
        <f>IF($J421=Sheet2!$A$2, ROW(), "")</f>
        <v/>
      </c>
      <c r="Q421" s="23" t="s">
        <v>2402</v>
      </c>
    </row>
    <row r="422" spans="1:17" ht="14" customHeight="1" x14ac:dyDescent="0.3">
      <c r="A422" s="1" t="s">
        <v>591</v>
      </c>
      <c r="B422" s="1">
        <v>37</v>
      </c>
      <c r="C422" s="1" t="s">
        <v>592</v>
      </c>
      <c r="D422" s="1">
        <v>189</v>
      </c>
      <c r="E422" s="1">
        <v>85</v>
      </c>
      <c r="F422" s="1">
        <v>92</v>
      </c>
      <c r="G422" s="1">
        <v>136</v>
      </c>
      <c r="H422" s="1" t="s">
        <v>317</v>
      </c>
      <c r="I422" s="1">
        <v>60</v>
      </c>
      <c r="J422" s="1" t="s">
        <v>11</v>
      </c>
      <c r="K422" s="1">
        <v>3.5</v>
      </c>
      <c r="L422" s="1">
        <f t="shared" si="6"/>
        <v>300</v>
      </c>
      <c r="M422" s="1" t="s">
        <v>38</v>
      </c>
      <c r="N422" s="1" t="s">
        <v>579</v>
      </c>
      <c r="O422" s="12" t="str">
        <f>IF($J422=Sheet2!$A$2, ROW(), "")</f>
        <v/>
      </c>
      <c r="Q422" s="23" t="s">
        <v>2403</v>
      </c>
    </row>
    <row r="423" spans="1:17" ht="14" customHeight="1" x14ac:dyDescent="0.3">
      <c r="A423" s="1" t="s">
        <v>593</v>
      </c>
      <c r="B423" s="1">
        <v>29</v>
      </c>
      <c r="C423" s="1" t="s">
        <v>563</v>
      </c>
      <c r="D423" s="1">
        <v>194</v>
      </c>
      <c r="E423" s="1">
        <v>75</v>
      </c>
      <c r="F423" s="1">
        <v>94</v>
      </c>
      <c r="G423" s="1">
        <v>116</v>
      </c>
      <c r="H423" s="1" t="s">
        <v>1</v>
      </c>
      <c r="I423" s="1">
        <v>60</v>
      </c>
      <c r="J423" s="1" t="s">
        <v>238</v>
      </c>
      <c r="K423" s="1">
        <v>4.5</v>
      </c>
      <c r="L423" s="1">
        <f t="shared" si="6"/>
        <v>300</v>
      </c>
      <c r="M423" s="1" t="s">
        <v>38</v>
      </c>
      <c r="N423" s="1" t="s">
        <v>579</v>
      </c>
      <c r="O423" s="12" t="str">
        <f>IF($J423=Sheet2!$A$2, ROW(), "")</f>
        <v/>
      </c>
      <c r="Q423" s="23" t="s">
        <v>2404</v>
      </c>
    </row>
    <row r="424" spans="1:17" ht="14" customHeight="1" x14ac:dyDescent="0.3">
      <c r="A424" s="1" t="s">
        <v>594</v>
      </c>
      <c r="B424" s="1">
        <v>32</v>
      </c>
      <c r="C424" s="1" t="s">
        <v>563</v>
      </c>
      <c r="D424" s="1">
        <v>185</v>
      </c>
      <c r="E424" s="1">
        <v>74</v>
      </c>
      <c r="F424" s="1">
        <v>100</v>
      </c>
      <c r="G424" s="1">
        <v>120</v>
      </c>
      <c r="H424" s="1" t="s">
        <v>543</v>
      </c>
      <c r="I424" s="1">
        <v>120</v>
      </c>
      <c r="J424" s="1" t="s">
        <v>1762</v>
      </c>
      <c r="K424" s="1">
        <v>4.5</v>
      </c>
      <c r="L424" s="1">
        <f t="shared" si="6"/>
        <v>600</v>
      </c>
      <c r="M424" s="1" t="s">
        <v>38</v>
      </c>
      <c r="N424" s="1" t="s">
        <v>579</v>
      </c>
      <c r="O424" s="12" t="str">
        <f>IF($J424=Sheet2!$A$2, ROW(), "")</f>
        <v/>
      </c>
      <c r="Q424" s="23" t="s">
        <v>2405</v>
      </c>
    </row>
    <row r="425" spans="1:17" ht="14" customHeight="1" x14ac:dyDescent="0.3">
      <c r="A425" s="1" t="s">
        <v>595</v>
      </c>
      <c r="B425" s="1">
        <v>21</v>
      </c>
      <c r="C425" s="1" t="s">
        <v>0</v>
      </c>
      <c r="D425" s="1">
        <v>193</v>
      </c>
      <c r="E425" s="1">
        <v>72</v>
      </c>
      <c r="F425" s="1">
        <v>95</v>
      </c>
      <c r="G425" s="1">
        <v>95</v>
      </c>
      <c r="H425" s="1" t="s">
        <v>317</v>
      </c>
      <c r="I425" s="1">
        <v>20</v>
      </c>
      <c r="J425" s="1" t="s">
        <v>1735</v>
      </c>
      <c r="K425" s="1">
        <v>4</v>
      </c>
      <c r="L425" s="1">
        <f t="shared" si="6"/>
        <v>100</v>
      </c>
      <c r="M425" s="1" t="s">
        <v>98</v>
      </c>
      <c r="N425" s="1"/>
      <c r="O425" s="12" t="str">
        <f>IF($J425=Sheet2!$A$2, ROW(), "")</f>
        <v/>
      </c>
      <c r="Q425" s="23" t="s">
        <v>2406</v>
      </c>
    </row>
    <row r="426" spans="1:17" ht="14" customHeight="1" x14ac:dyDescent="0.3">
      <c r="A426" s="1" t="s">
        <v>596</v>
      </c>
      <c r="B426" s="1">
        <v>19</v>
      </c>
      <c r="C426" s="1" t="s">
        <v>0</v>
      </c>
      <c r="D426" s="1">
        <v>182</v>
      </c>
      <c r="E426" s="1">
        <v>72</v>
      </c>
      <c r="F426" s="1">
        <v>125</v>
      </c>
      <c r="G426" s="1">
        <v>134</v>
      </c>
      <c r="H426" s="1" t="s">
        <v>597</v>
      </c>
      <c r="I426" s="1">
        <v>24</v>
      </c>
      <c r="J426" s="1" t="s">
        <v>1888</v>
      </c>
      <c r="K426" s="1">
        <v>5</v>
      </c>
      <c r="L426" s="1">
        <f t="shared" si="6"/>
        <v>120</v>
      </c>
      <c r="M426" s="1" t="s">
        <v>38</v>
      </c>
      <c r="N426" s="1"/>
      <c r="O426" s="12" t="str">
        <f>IF($J426=Sheet2!$A$2, ROW(), "")</f>
        <v/>
      </c>
      <c r="Q426" s="23" t="s">
        <v>2407</v>
      </c>
    </row>
    <row r="427" spans="1:17" ht="14" customHeight="1" x14ac:dyDescent="0.3">
      <c r="A427" s="1" t="s">
        <v>598</v>
      </c>
      <c r="B427" s="1">
        <v>19</v>
      </c>
      <c r="C427" s="1" t="s">
        <v>599</v>
      </c>
      <c r="D427" s="1">
        <v>176</v>
      </c>
      <c r="E427" s="1">
        <v>73</v>
      </c>
      <c r="F427" s="1">
        <v>133</v>
      </c>
      <c r="G427" s="1">
        <v>123</v>
      </c>
      <c r="H427" s="1" t="s">
        <v>600</v>
      </c>
      <c r="I427" s="1">
        <v>48</v>
      </c>
      <c r="J427" s="1" t="s">
        <v>264</v>
      </c>
      <c r="K427" s="1">
        <v>5</v>
      </c>
      <c r="L427" s="1">
        <f t="shared" si="6"/>
        <v>240</v>
      </c>
      <c r="M427" s="1" t="s">
        <v>38</v>
      </c>
      <c r="N427" s="1"/>
      <c r="O427" s="12" t="str">
        <f>IF($J427=Sheet2!$A$2, ROW(), "")</f>
        <v/>
      </c>
      <c r="Q427" s="23" t="s">
        <v>2408</v>
      </c>
    </row>
    <row r="428" spans="1:17" ht="14" customHeight="1" x14ac:dyDescent="0.3">
      <c r="A428" s="1" t="s">
        <v>601</v>
      </c>
      <c r="B428" s="1">
        <v>19</v>
      </c>
      <c r="C428" s="1" t="s">
        <v>602</v>
      </c>
      <c r="D428" s="1">
        <v>182</v>
      </c>
      <c r="E428" s="1">
        <v>67</v>
      </c>
      <c r="F428" s="1">
        <v>123</v>
      </c>
      <c r="G428" s="1">
        <v>123</v>
      </c>
      <c r="H428" s="1" t="s">
        <v>1</v>
      </c>
      <c r="I428" s="1">
        <v>30</v>
      </c>
      <c r="J428" s="1" t="s">
        <v>1736</v>
      </c>
      <c r="K428" s="1">
        <v>5</v>
      </c>
      <c r="L428" s="1">
        <f t="shared" si="6"/>
        <v>150</v>
      </c>
      <c r="M428" s="1" t="s">
        <v>38</v>
      </c>
      <c r="N428" s="1"/>
      <c r="O428" s="12" t="str">
        <f>IF($J428=Sheet2!$A$2, ROW(), "")</f>
        <v/>
      </c>
      <c r="Q428" s="23" t="s">
        <v>2409</v>
      </c>
    </row>
    <row r="429" spans="1:17" ht="14" customHeight="1" x14ac:dyDescent="0.3">
      <c r="A429" s="1" t="s">
        <v>603</v>
      </c>
      <c r="B429" s="1">
        <v>19</v>
      </c>
      <c r="C429" s="1" t="s">
        <v>604</v>
      </c>
      <c r="D429" s="1">
        <v>176</v>
      </c>
      <c r="E429" s="1">
        <v>64</v>
      </c>
      <c r="F429" s="1">
        <v>118</v>
      </c>
      <c r="G429" s="1">
        <v>118</v>
      </c>
      <c r="H429" s="1" t="s">
        <v>260</v>
      </c>
      <c r="I429" s="1">
        <v>48</v>
      </c>
      <c r="J429" s="1" t="s">
        <v>111</v>
      </c>
      <c r="K429" s="1">
        <v>5</v>
      </c>
      <c r="L429" s="1">
        <f t="shared" si="6"/>
        <v>240</v>
      </c>
      <c r="M429" s="1" t="s">
        <v>38</v>
      </c>
      <c r="N429" s="1"/>
      <c r="O429" s="12" t="str">
        <f>IF($J429=Sheet2!$A$2, ROW(), "")</f>
        <v/>
      </c>
      <c r="Q429" s="23" t="s">
        <v>2410</v>
      </c>
    </row>
    <row r="430" spans="1:17" ht="14" customHeight="1" x14ac:dyDescent="0.3">
      <c r="A430" s="1" t="s">
        <v>605</v>
      </c>
      <c r="B430" s="1">
        <v>20</v>
      </c>
      <c r="C430" s="1" t="s">
        <v>606</v>
      </c>
      <c r="D430" s="1">
        <v>181</v>
      </c>
      <c r="E430" s="1">
        <v>67</v>
      </c>
      <c r="F430" s="1">
        <v>109</v>
      </c>
      <c r="G430" s="1">
        <v>109</v>
      </c>
      <c r="H430" s="1" t="s">
        <v>270</v>
      </c>
      <c r="I430" s="1">
        <v>48</v>
      </c>
      <c r="J430" s="1" t="s">
        <v>111</v>
      </c>
      <c r="K430" s="1">
        <v>5</v>
      </c>
      <c r="L430" s="1">
        <f t="shared" si="6"/>
        <v>240</v>
      </c>
      <c r="M430" s="1" t="s">
        <v>38</v>
      </c>
      <c r="N430" s="1"/>
      <c r="O430" s="12" t="str">
        <f>IF($J430=Sheet2!$A$2, ROW(), "")</f>
        <v/>
      </c>
      <c r="Q430" s="23" t="s">
        <v>2411</v>
      </c>
    </row>
    <row r="431" spans="1:17" ht="14" customHeight="1" x14ac:dyDescent="0.3">
      <c r="A431" s="1" t="s">
        <v>607</v>
      </c>
      <c r="B431" s="1">
        <v>31</v>
      </c>
      <c r="C431" s="1" t="s">
        <v>608</v>
      </c>
      <c r="D431" s="1">
        <v>182</v>
      </c>
      <c r="E431" s="1">
        <v>71</v>
      </c>
      <c r="F431" s="1">
        <v>110</v>
      </c>
      <c r="G431" s="1">
        <v>140</v>
      </c>
      <c r="H431" s="1" t="s">
        <v>260</v>
      </c>
      <c r="I431" s="1">
        <v>110</v>
      </c>
      <c r="J431" s="1" t="s">
        <v>1735</v>
      </c>
      <c r="K431" s="1">
        <v>5</v>
      </c>
      <c r="L431" s="1">
        <f t="shared" si="6"/>
        <v>550</v>
      </c>
      <c r="M431" s="1" t="s">
        <v>38</v>
      </c>
      <c r="N431" s="1"/>
      <c r="O431" s="12" t="str">
        <f>IF($J431=Sheet2!$A$2, ROW(), "")</f>
        <v/>
      </c>
      <c r="Q431" s="23" t="s">
        <v>2412</v>
      </c>
    </row>
    <row r="432" spans="1:17" ht="14" customHeight="1" x14ac:dyDescent="0.3">
      <c r="A432" s="1" t="s">
        <v>610</v>
      </c>
      <c r="B432" s="1">
        <v>27</v>
      </c>
      <c r="C432" s="1" t="s">
        <v>611</v>
      </c>
      <c r="D432" s="1">
        <v>176</v>
      </c>
      <c r="E432" s="1">
        <v>66</v>
      </c>
      <c r="F432" s="1">
        <v>121</v>
      </c>
      <c r="G432" s="1">
        <v>134</v>
      </c>
      <c r="H432" s="1" t="s">
        <v>357</v>
      </c>
      <c r="I432" s="1">
        <v>90</v>
      </c>
      <c r="J432" s="1" t="s">
        <v>111</v>
      </c>
      <c r="K432" s="1">
        <v>5</v>
      </c>
      <c r="L432" s="1">
        <f t="shared" si="6"/>
        <v>450</v>
      </c>
      <c r="M432" s="1" t="s">
        <v>38</v>
      </c>
      <c r="N432" s="1"/>
      <c r="O432" s="12" t="str">
        <f>IF($J432=Sheet2!$A$2, ROW(), "")</f>
        <v/>
      </c>
      <c r="Q432" s="23" t="s">
        <v>2413</v>
      </c>
    </row>
    <row r="433" spans="1:17" ht="14" customHeight="1" x14ac:dyDescent="0.3">
      <c r="A433" s="1" t="s">
        <v>612</v>
      </c>
      <c r="B433" s="1">
        <v>32</v>
      </c>
      <c r="C433" s="1" t="s">
        <v>563</v>
      </c>
      <c r="D433" s="1">
        <v>189</v>
      </c>
      <c r="E433" s="1">
        <v>74</v>
      </c>
      <c r="F433" s="1">
        <v>100</v>
      </c>
      <c r="G433" s="1">
        <v>106</v>
      </c>
      <c r="H433" s="1" t="s">
        <v>1</v>
      </c>
      <c r="I433" s="1">
        <v>70</v>
      </c>
      <c r="J433" s="1" t="s">
        <v>238</v>
      </c>
      <c r="K433" s="1">
        <v>5</v>
      </c>
      <c r="L433" s="1">
        <f t="shared" si="6"/>
        <v>350</v>
      </c>
      <c r="M433" s="1" t="s">
        <v>38</v>
      </c>
      <c r="N433" s="1"/>
      <c r="O433" s="12" t="str">
        <f>IF($J433=Sheet2!$A$2, ROW(), "")</f>
        <v/>
      </c>
      <c r="Q433" s="23" t="s">
        <v>2414</v>
      </c>
    </row>
    <row r="434" spans="1:17" ht="14" customHeight="1" x14ac:dyDescent="0.3">
      <c r="A434" s="1" t="s">
        <v>613</v>
      </c>
      <c r="B434" s="1">
        <v>41</v>
      </c>
      <c r="C434" s="1" t="s">
        <v>614</v>
      </c>
      <c r="D434" s="1">
        <v>187</v>
      </c>
      <c r="E434" s="1">
        <v>76</v>
      </c>
      <c r="F434" s="1">
        <v>110</v>
      </c>
      <c r="G434" s="1">
        <v>168</v>
      </c>
      <c r="H434" s="1" t="s">
        <v>277</v>
      </c>
      <c r="I434" s="1">
        <v>80</v>
      </c>
      <c r="J434" s="1" t="s">
        <v>225</v>
      </c>
      <c r="K434" s="1">
        <v>4</v>
      </c>
      <c r="L434" s="1">
        <f t="shared" si="6"/>
        <v>400</v>
      </c>
      <c r="M434" s="1" t="s">
        <v>38</v>
      </c>
      <c r="N434" s="1"/>
      <c r="O434" s="12" t="str">
        <f>IF($J434=Sheet2!$A$2, ROW(), "")</f>
        <v/>
      </c>
      <c r="Q434" s="23" t="s">
        <v>2415</v>
      </c>
    </row>
    <row r="435" spans="1:17" ht="14" customHeight="1" x14ac:dyDescent="0.3">
      <c r="A435" s="1" t="s">
        <v>615</v>
      </c>
      <c r="B435" s="1">
        <v>33</v>
      </c>
      <c r="C435" s="1" t="s">
        <v>510</v>
      </c>
      <c r="D435" s="1">
        <v>189</v>
      </c>
      <c r="E435" s="1">
        <v>81</v>
      </c>
      <c r="F435" s="1">
        <v>114</v>
      </c>
      <c r="G435" s="1">
        <v>126</v>
      </c>
      <c r="H435" s="1" t="s">
        <v>23</v>
      </c>
      <c r="I435" s="1">
        <v>30</v>
      </c>
      <c r="J435" s="1" t="s">
        <v>1918</v>
      </c>
      <c r="K435" s="1">
        <v>4</v>
      </c>
      <c r="L435" s="1">
        <f t="shared" si="6"/>
        <v>150</v>
      </c>
      <c r="M435" s="1" t="s">
        <v>38</v>
      </c>
      <c r="N435" s="1"/>
      <c r="O435" s="12" t="str">
        <f>IF($J435=Sheet2!$A$2, ROW(), "")</f>
        <v/>
      </c>
      <c r="Q435" s="23" t="s">
        <v>2416</v>
      </c>
    </row>
    <row r="436" spans="1:17" ht="14" customHeight="1" x14ac:dyDescent="0.3">
      <c r="A436" s="1" t="s">
        <v>616</v>
      </c>
      <c r="B436" s="1">
        <v>34</v>
      </c>
      <c r="C436" s="1" t="s">
        <v>246</v>
      </c>
      <c r="D436" s="1">
        <v>185</v>
      </c>
      <c r="E436" s="1">
        <v>74</v>
      </c>
      <c r="F436" s="1">
        <v>110</v>
      </c>
      <c r="G436" s="1">
        <v>116</v>
      </c>
      <c r="H436" s="1" t="s">
        <v>260</v>
      </c>
      <c r="I436" s="1">
        <v>90</v>
      </c>
      <c r="J436" s="1" t="s">
        <v>173</v>
      </c>
      <c r="K436" s="1">
        <v>5</v>
      </c>
      <c r="L436" s="1">
        <f t="shared" si="6"/>
        <v>450</v>
      </c>
      <c r="M436" s="1" t="s">
        <v>38</v>
      </c>
      <c r="N436" s="1"/>
      <c r="O436" s="12" t="str">
        <f>IF($J436=Sheet2!$A$2, ROW(), "")</f>
        <v/>
      </c>
      <c r="Q436" s="23" t="s">
        <v>2417</v>
      </c>
    </row>
    <row r="437" spans="1:17" ht="14" customHeight="1" x14ac:dyDescent="0.3">
      <c r="A437" s="1" t="s">
        <v>617</v>
      </c>
      <c r="B437" s="1">
        <v>30</v>
      </c>
      <c r="C437" s="1" t="s">
        <v>563</v>
      </c>
      <c r="D437" s="1">
        <v>173</v>
      </c>
      <c r="E437" s="1">
        <v>73</v>
      </c>
      <c r="F437" s="1">
        <v>96</v>
      </c>
      <c r="G437" s="1">
        <v>116</v>
      </c>
      <c r="H437" s="1" t="s">
        <v>618</v>
      </c>
      <c r="I437" s="1">
        <v>70</v>
      </c>
      <c r="J437" s="1" t="s">
        <v>37</v>
      </c>
      <c r="K437" s="1">
        <v>3</v>
      </c>
      <c r="L437" s="1">
        <f t="shared" si="6"/>
        <v>350</v>
      </c>
      <c r="M437" s="1" t="s">
        <v>38</v>
      </c>
      <c r="N437" s="1"/>
      <c r="O437" s="12" t="str">
        <f>IF($J437=Sheet2!$A$2, ROW(), "")</f>
        <v/>
      </c>
      <c r="Q437" s="23" t="s">
        <v>2418</v>
      </c>
    </row>
    <row r="438" spans="1:17" ht="14" customHeight="1" x14ac:dyDescent="0.3">
      <c r="A438" s="1" t="s">
        <v>619</v>
      </c>
      <c r="B438" s="1">
        <v>32</v>
      </c>
      <c r="C438" s="1" t="s">
        <v>563</v>
      </c>
      <c r="D438" s="1">
        <v>176</v>
      </c>
      <c r="E438" s="1">
        <v>67</v>
      </c>
      <c r="F438" s="1">
        <v>104</v>
      </c>
      <c r="G438" s="1">
        <v>110</v>
      </c>
      <c r="H438" s="1" t="s">
        <v>247</v>
      </c>
      <c r="I438" s="1">
        <v>30</v>
      </c>
      <c r="J438" s="1" t="s">
        <v>233</v>
      </c>
      <c r="K438" s="1">
        <v>5</v>
      </c>
      <c r="L438" s="1">
        <f t="shared" si="6"/>
        <v>150</v>
      </c>
      <c r="M438" s="1" t="s">
        <v>38</v>
      </c>
      <c r="N438" s="1"/>
      <c r="O438" s="12" t="str">
        <f>IF($J438=Sheet2!$A$2, ROW(), "")</f>
        <v/>
      </c>
      <c r="Q438" s="23" t="s">
        <v>2419</v>
      </c>
    </row>
    <row r="439" spans="1:17" ht="14" customHeight="1" x14ac:dyDescent="0.3">
      <c r="A439" s="1" t="s">
        <v>620</v>
      </c>
      <c r="B439" s="1">
        <v>31</v>
      </c>
      <c r="C439" s="1" t="s">
        <v>563</v>
      </c>
      <c r="D439" s="1">
        <v>175</v>
      </c>
      <c r="E439" s="1">
        <v>67</v>
      </c>
      <c r="F439" s="1">
        <v>96</v>
      </c>
      <c r="G439" s="1">
        <v>114</v>
      </c>
      <c r="H439" s="1" t="s">
        <v>500</v>
      </c>
      <c r="I439" s="1">
        <v>120</v>
      </c>
      <c r="J439" s="1" t="s">
        <v>1659</v>
      </c>
      <c r="K439" s="1">
        <v>3</v>
      </c>
      <c r="L439" s="1">
        <f t="shared" si="6"/>
        <v>600</v>
      </c>
      <c r="M439" s="1" t="s">
        <v>38</v>
      </c>
      <c r="N439" s="1"/>
      <c r="O439" s="12" t="str">
        <f>IF($J439=Sheet2!$A$2, ROW(), "")</f>
        <v/>
      </c>
      <c r="Q439" s="23" t="s">
        <v>2420</v>
      </c>
    </row>
    <row r="440" spans="1:17" ht="14" customHeight="1" x14ac:dyDescent="0.3">
      <c r="A440" s="1" t="s">
        <v>621</v>
      </c>
      <c r="B440" s="1">
        <v>29</v>
      </c>
      <c r="C440" s="1" t="s">
        <v>563</v>
      </c>
      <c r="D440" s="1">
        <v>177</v>
      </c>
      <c r="E440" s="1">
        <v>75</v>
      </c>
      <c r="F440" s="1">
        <v>98</v>
      </c>
      <c r="G440" s="1">
        <v>110</v>
      </c>
      <c r="H440" s="1" t="s">
        <v>622</v>
      </c>
      <c r="I440" s="1">
        <v>25</v>
      </c>
      <c r="J440" s="1" t="s">
        <v>248</v>
      </c>
      <c r="K440" s="1">
        <v>5</v>
      </c>
      <c r="L440" s="1">
        <f t="shared" si="6"/>
        <v>125</v>
      </c>
      <c r="M440" s="1" t="s">
        <v>38</v>
      </c>
      <c r="N440" s="1"/>
      <c r="O440" s="12">
        <f>IF($J440=Sheet2!$A$2, ROW(), "")</f>
        <v>440</v>
      </c>
      <c r="Q440" s="23" t="s">
        <v>2421</v>
      </c>
    </row>
    <row r="441" spans="1:17" ht="14" customHeight="1" x14ac:dyDescent="0.3">
      <c r="A441" s="1" t="s">
        <v>623</v>
      </c>
      <c r="B441" s="1">
        <v>40</v>
      </c>
      <c r="C441" s="1" t="s">
        <v>624</v>
      </c>
      <c r="D441" s="1">
        <v>187</v>
      </c>
      <c r="E441" s="1">
        <v>77</v>
      </c>
      <c r="F441" s="1">
        <v>100</v>
      </c>
      <c r="G441" s="1">
        <v>144</v>
      </c>
      <c r="H441" s="1" t="s">
        <v>625</v>
      </c>
      <c r="I441" s="1">
        <v>40</v>
      </c>
      <c r="J441" s="1" t="s">
        <v>11</v>
      </c>
      <c r="K441" s="1">
        <v>4</v>
      </c>
      <c r="L441" s="1">
        <f t="shared" si="6"/>
        <v>200</v>
      </c>
      <c r="M441" s="1" t="s">
        <v>38</v>
      </c>
      <c r="N441" s="1"/>
      <c r="O441" s="12" t="str">
        <f>IF($J441=Sheet2!$A$2, ROW(), "")</f>
        <v/>
      </c>
      <c r="Q441" s="23" t="s">
        <v>2422</v>
      </c>
    </row>
    <row r="442" spans="1:17" ht="14" customHeight="1" x14ac:dyDescent="0.3">
      <c r="A442" s="1" t="s">
        <v>626</v>
      </c>
      <c r="B442" s="1">
        <v>33</v>
      </c>
      <c r="C442" s="1" t="s">
        <v>611</v>
      </c>
      <c r="D442" s="1">
        <v>176</v>
      </c>
      <c r="E442" s="1">
        <v>74</v>
      </c>
      <c r="F442" s="1">
        <v>114</v>
      </c>
      <c r="G442" s="1">
        <v>132</v>
      </c>
      <c r="H442" s="1" t="s">
        <v>627</v>
      </c>
      <c r="I442" s="1">
        <v>160</v>
      </c>
      <c r="J442" s="1" t="s">
        <v>1762</v>
      </c>
      <c r="K442" s="1">
        <v>4</v>
      </c>
      <c r="L442" s="1">
        <f t="shared" si="6"/>
        <v>800</v>
      </c>
      <c r="M442" s="1" t="s">
        <v>38</v>
      </c>
      <c r="N442" s="1"/>
      <c r="O442" s="12" t="str">
        <f>IF($J442=Sheet2!$A$2, ROW(), "")</f>
        <v/>
      </c>
      <c r="Q442" s="23" t="s">
        <v>2423</v>
      </c>
    </row>
    <row r="443" spans="1:17" ht="14" customHeight="1" x14ac:dyDescent="0.3">
      <c r="A443" s="1" t="s">
        <v>628</v>
      </c>
      <c r="B443" s="1">
        <v>33</v>
      </c>
      <c r="C443" s="1" t="s">
        <v>629</v>
      </c>
      <c r="D443" s="1">
        <v>187</v>
      </c>
      <c r="E443" s="1">
        <v>76</v>
      </c>
      <c r="F443" s="1">
        <v>114</v>
      </c>
      <c r="G443" s="1">
        <v>130</v>
      </c>
      <c r="H443" s="1" t="s">
        <v>630</v>
      </c>
      <c r="I443" s="1">
        <v>40</v>
      </c>
      <c r="J443" s="1" t="s">
        <v>1918</v>
      </c>
      <c r="K443" s="1">
        <v>5</v>
      </c>
      <c r="L443" s="1">
        <f t="shared" si="6"/>
        <v>200</v>
      </c>
      <c r="M443" s="1" t="s">
        <v>38</v>
      </c>
      <c r="N443" s="1"/>
      <c r="O443" s="12" t="str">
        <f>IF($J443=Sheet2!$A$2, ROW(), "")</f>
        <v/>
      </c>
      <c r="Q443" s="23" t="s">
        <v>2424</v>
      </c>
    </row>
    <row r="444" spans="1:17" ht="14" customHeight="1" x14ac:dyDescent="0.3">
      <c r="A444" s="1" t="s">
        <v>631</v>
      </c>
      <c r="B444" s="1">
        <v>29</v>
      </c>
      <c r="C444" s="1" t="s">
        <v>360</v>
      </c>
      <c r="D444" s="1">
        <v>187</v>
      </c>
      <c r="E444" s="1">
        <v>76</v>
      </c>
      <c r="F444" s="1">
        <v>100</v>
      </c>
      <c r="G444" s="1">
        <v>112</v>
      </c>
      <c r="H444" s="1" t="s">
        <v>251</v>
      </c>
      <c r="I444" s="1">
        <v>180</v>
      </c>
      <c r="J444" s="1" t="s">
        <v>1735</v>
      </c>
      <c r="K444" s="1">
        <v>4</v>
      </c>
      <c r="L444" s="1">
        <f t="shared" si="6"/>
        <v>900</v>
      </c>
      <c r="M444" s="1" t="s">
        <v>38</v>
      </c>
      <c r="N444" s="1"/>
      <c r="O444" s="12" t="str">
        <f>IF($J444=Sheet2!$A$2, ROW(), "")</f>
        <v/>
      </c>
      <c r="Q444" s="23" t="s">
        <v>2425</v>
      </c>
    </row>
    <row r="445" spans="1:17" ht="14" customHeight="1" x14ac:dyDescent="0.3">
      <c r="A445" s="1" t="s">
        <v>632</v>
      </c>
      <c r="B445" s="1">
        <v>21</v>
      </c>
      <c r="C445" s="1" t="s">
        <v>517</v>
      </c>
      <c r="D445" s="1">
        <v>172</v>
      </c>
      <c r="E445" s="1">
        <v>67</v>
      </c>
      <c r="F445" s="1">
        <v>135</v>
      </c>
      <c r="G445" s="1">
        <v>168</v>
      </c>
      <c r="H445" s="1" t="s">
        <v>633</v>
      </c>
      <c r="I445" s="1">
        <v>200</v>
      </c>
      <c r="J445" s="1" t="s">
        <v>1762</v>
      </c>
      <c r="K445" s="1">
        <v>6</v>
      </c>
      <c r="L445" s="1">
        <f t="shared" si="6"/>
        <v>1000</v>
      </c>
      <c r="M445" s="1" t="s">
        <v>38</v>
      </c>
      <c r="N445" s="1"/>
      <c r="O445" s="12" t="str">
        <f>IF($J445=Sheet2!$A$2, ROW(), "")</f>
        <v/>
      </c>
      <c r="Q445" s="23" t="s">
        <v>2426</v>
      </c>
    </row>
    <row r="446" spans="1:17" ht="14" customHeight="1" x14ac:dyDescent="0.3">
      <c r="A446" s="1" t="s">
        <v>634</v>
      </c>
      <c r="B446" s="1">
        <v>32</v>
      </c>
      <c r="C446" s="1" t="s">
        <v>563</v>
      </c>
      <c r="D446" s="1">
        <v>178</v>
      </c>
      <c r="E446" s="1">
        <v>75</v>
      </c>
      <c r="F446" s="1">
        <v>100</v>
      </c>
      <c r="G446" s="1">
        <v>106</v>
      </c>
      <c r="H446" s="1" t="s">
        <v>635</v>
      </c>
      <c r="I446" s="1">
        <v>30</v>
      </c>
      <c r="J446" s="1" t="s">
        <v>271</v>
      </c>
      <c r="K446" s="1">
        <v>5</v>
      </c>
      <c r="L446" s="1">
        <f t="shared" si="6"/>
        <v>150</v>
      </c>
      <c r="M446" s="1" t="s">
        <v>38</v>
      </c>
      <c r="N446" s="1"/>
      <c r="O446" s="12" t="str">
        <f>IF($J446=Sheet2!$A$2, ROW(), "")</f>
        <v/>
      </c>
      <c r="Q446" s="23" t="s">
        <v>2427</v>
      </c>
    </row>
    <row r="447" spans="1:17" ht="14" customHeight="1" x14ac:dyDescent="0.3">
      <c r="A447" s="1" t="s">
        <v>636</v>
      </c>
      <c r="B447" s="1">
        <v>27</v>
      </c>
      <c r="C447" s="1" t="s">
        <v>582</v>
      </c>
      <c r="D447" s="1">
        <v>198</v>
      </c>
      <c r="E447" s="1">
        <v>86</v>
      </c>
      <c r="F447" s="1">
        <v>135</v>
      </c>
      <c r="G447" s="1">
        <v>140</v>
      </c>
      <c r="H447" s="1" t="s">
        <v>1</v>
      </c>
      <c r="I447" s="1">
        <v>220</v>
      </c>
      <c r="J447" s="1" t="s">
        <v>130</v>
      </c>
      <c r="K447" s="1">
        <v>5</v>
      </c>
      <c r="L447" s="1">
        <f t="shared" si="6"/>
        <v>1100</v>
      </c>
      <c r="M447" s="1" t="s">
        <v>38</v>
      </c>
      <c r="N447" s="1"/>
      <c r="O447" s="12" t="str">
        <f>IF($J447=Sheet2!$A$2, ROW(), "")</f>
        <v/>
      </c>
      <c r="Q447" s="23" t="s">
        <v>2428</v>
      </c>
    </row>
    <row r="448" spans="1:17" ht="14" customHeight="1" x14ac:dyDescent="0.3">
      <c r="A448" s="1" t="s">
        <v>637</v>
      </c>
      <c r="B448" s="1">
        <v>29</v>
      </c>
      <c r="C448" s="1" t="s">
        <v>246</v>
      </c>
      <c r="D448" s="1">
        <v>181</v>
      </c>
      <c r="E448" s="1">
        <v>74</v>
      </c>
      <c r="F448" s="1">
        <v>114</v>
      </c>
      <c r="G448" s="1">
        <v>140</v>
      </c>
      <c r="H448" s="1" t="s">
        <v>638</v>
      </c>
      <c r="I448" s="1">
        <v>45</v>
      </c>
      <c r="J448" s="1" t="s">
        <v>1891</v>
      </c>
      <c r="K448" s="1">
        <v>5</v>
      </c>
      <c r="L448" s="1">
        <f t="shared" si="6"/>
        <v>225</v>
      </c>
      <c r="M448" s="1" t="s">
        <v>38</v>
      </c>
      <c r="N448" s="1"/>
      <c r="O448" s="12" t="str">
        <f>IF($J448=Sheet2!$A$2, ROW(), "")</f>
        <v/>
      </c>
      <c r="Q448" s="23" t="s">
        <v>2429</v>
      </c>
    </row>
    <row r="449" spans="1:17" ht="14" customHeight="1" x14ac:dyDescent="0.3">
      <c r="A449" s="1" t="s">
        <v>639</v>
      </c>
      <c r="B449" s="1">
        <v>26</v>
      </c>
      <c r="C449" s="1" t="s">
        <v>250</v>
      </c>
      <c r="D449" s="1">
        <v>193</v>
      </c>
      <c r="E449" s="1">
        <v>85</v>
      </c>
      <c r="F449" s="1">
        <v>124</v>
      </c>
      <c r="G449" s="1">
        <v>140</v>
      </c>
      <c r="H449" s="1" t="s">
        <v>640</v>
      </c>
      <c r="I449" s="1">
        <v>100</v>
      </c>
      <c r="J449" s="1" t="s">
        <v>1735</v>
      </c>
      <c r="K449" s="1">
        <v>4</v>
      </c>
      <c r="L449" s="1">
        <f t="shared" si="6"/>
        <v>500</v>
      </c>
      <c r="M449" s="1" t="s">
        <v>38</v>
      </c>
      <c r="N449" s="1"/>
      <c r="O449" s="12" t="str">
        <f>IF($J449=Sheet2!$A$2, ROW(), "")</f>
        <v/>
      </c>
      <c r="Q449" s="23" t="s">
        <v>2430</v>
      </c>
    </row>
    <row r="450" spans="1:17" ht="14" customHeight="1" x14ac:dyDescent="0.3">
      <c r="A450" s="1" t="s">
        <v>641</v>
      </c>
      <c r="B450" s="1">
        <v>25</v>
      </c>
      <c r="C450" s="1" t="s">
        <v>642</v>
      </c>
      <c r="D450" s="1">
        <v>182</v>
      </c>
      <c r="E450" s="1">
        <v>66</v>
      </c>
      <c r="F450" s="1">
        <v>131</v>
      </c>
      <c r="G450" s="1">
        <v>158</v>
      </c>
      <c r="H450" s="1" t="s">
        <v>640</v>
      </c>
      <c r="I450" s="1">
        <v>120</v>
      </c>
      <c r="J450" s="1" t="s">
        <v>238</v>
      </c>
      <c r="K450" s="1">
        <v>4</v>
      </c>
      <c r="L450" s="1">
        <f t="shared" ref="L450:L513" si="7">I450*5</f>
        <v>600</v>
      </c>
      <c r="M450" s="1" t="s">
        <v>38</v>
      </c>
      <c r="N450" s="1"/>
      <c r="O450" s="12" t="str">
        <f>IF($J450=Sheet2!$A$2, ROW(), "")</f>
        <v/>
      </c>
      <c r="Q450" s="23" t="s">
        <v>2431</v>
      </c>
    </row>
    <row r="451" spans="1:17" ht="14" customHeight="1" x14ac:dyDescent="0.3">
      <c r="A451" s="1" t="s">
        <v>643</v>
      </c>
      <c r="B451" s="1">
        <v>24</v>
      </c>
      <c r="C451" s="1" t="s">
        <v>644</v>
      </c>
      <c r="D451" s="1">
        <v>196</v>
      </c>
      <c r="E451" s="1">
        <v>73</v>
      </c>
      <c r="F451" s="1">
        <v>143</v>
      </c>
      <c r="G451" s="1">
        <v>150</v>
      </c>
      <c r="H451" s="1" t="s">
        <v>260</v>
      </c>
      <c r="I451" s="1">
        <v>140</v>
      </c>
      <c r="J451" s="1" t="s">
        <v>238</v>
      </c>
      <c r="K451" s="1">
        <v>4</v>
      </c>
      <c r="L451" s="1">
        <f t="shared" si="7"/>
        <v>700</v>
      </c>
      <c r="M451" s="1" t="s">
        <v>38</v>
      </c>
      <c r="N451" s="1"/>
      <c r="O451" s="12" t="str">
        <f>IF($J451=Sheet2!$A$2, ROW(), "")</f>
        <v/>
      </c>
      <c r="Q451" s="23" t="s">
        <v>2432</v>
      </c>
    </row>
    <row r="452" spans="1:17" ht="14" customHeight="1" x14ac:dyDescent="0.3">
      <c r="A452" s="1" t="s">
        <v>645</v>
      </c>
      <c r="B452" s="1">
        <v>24</v>
      </c>
      <c r="C452" s="1" t="s">
        <v>642</v>
      </c>
      <c r="D452" s="1">
        <v>189</v>
      </c>
      <c r="E452" s="1">
        <v>66</v>
      </c>
      <c r="F452" s="1">
        <v>128</v>
      </c>
      <c r="G452" s="1">
        <v>148</v>
      </c>
      <c r="H452" s="1" t="s">
        <v>317</v>
      </c>
      <c r="I452" s="1">
        <v>180</v>
      </c>
      <c r="J452" s="1" t="s">
        <v>238</v>
      </c>
      <c r="K452" s="1">
        <v>4</v>
      </c>
      <c r="L452" s="1">
        <f t="shared" si="7"/>
        <v>900</v>
      </c>
      <c r="M452" s="1" t="s">
        <v>38</v>
      </c>
      <c r="N452" s="1"/>
      <c r="O452" s="12" t="str">
        <f>IF($J452=Sheet2!$A$2, ROW(), "")</f>
        <v/>
      </c>
      <c r="Q452" s="23" t="s">
        <v>2433</v>
      </c>
    </row>
    <row r="453" spans="1:17" ht="14" customHeight="1" x14ac:dyDescent="0.3">
      <c r="A453" s="1" t="s">
        <v>646</v>
      </c>
      <c r="B453" s="1">
        <v>25</v>
      </c>
      <c r="C453" s="1" t="s">
        <v>647</v>
      </c>
      <c r="D453" s="1">
        <v>181</v>
      </c>
      <c r="E453" s="1">
        <v>71</v>
      </c>
      <c r="F453" s="1">
        <v>120</v>
      </c>
      <c r="G453" s="1">
        <v>150</v>
      </c>
      <c r="H453" s="1" t="s">
        <v>648</v>
      </c>
      <c r="I453" s="1">
        <v>220</v>
      </c>
      <c r="J453" s="1" t="s">
        <v>1735</v>
      </c>
      <c r="K453" s="1">
        <v>5</v>
      </c>
      <c r="L453" s="1">
        <f t="shared" si="7"/>
        <v>1100</v>
      </c>
      <c r="M453" s="1" t="s">
        <v>38</v>
      </c>
      <c r="N453" s="1"/>
      <c r="O453" s="12" t="str">
        <f>IF($J453=Sheet2!$A$2, ROW(), "")</f>
        <v/>
      </c>
      <c r="Q453" s="23" t="s">
        <v>2434</v>
      </c>
    </row>
    <row r="454" spans="1:17" ht="14" customHeight="1" x14ac:dyDescent="0.3">
      <c r="A454" s="1" t="s">
        <v>649</v>
      </c>
      <c r="B454" s="1">
        <v>32</v>
      </c>
      <c r="C454" s="1" t="s">
        <v>563</v>
      </c>
      <c r="D454" s="1">
        <v>174</v>
      </c>
      <c r="E454" s="1">
        <v>77</v>
      </c>
      <c r="F454" s="1">
        <v>94</v>
      </c>
      <c r="G454" s="1">
        <v>104</v>
      </c>
      <c r="H454" s="1" t="s">
        <v>326</v>
      </c>
      <c r="I454" s="1">
        <v>100</v>
      </c>
      <c r="J454" s="1" t="s">
        <v>1735</v>
      </c>
      <c r="K454" s="1">
        <v>4</v>
      </c>
      <c r="L454" s="1">
        <f t="shared" si="7"/>
        <v>500</v>
      </c>
      <c r="M454" s="1" t="s">
        <v>38</v>
      </c>
      <c r="N454" s="1"/>
      <c r="O454" s="12" t="str">
        <f>IF($J454=Sheet2!$A$2, ROW(), "")</f>
        <v/>
      </c>
      <c r="Q454" s="23" t="s">
        <v>2435</v>
      </c>
    </row>
    <row r="455" spans="1:17" ht="14" customHeight="1" x14ac:dyDescent="0.3">
      <c r="A455" s="1" t="s">
        <v>650</v>
      </c>
      <c r="B455" s="1">
        <v>30</v>
      </c>
      <c r="C455" s="1" t="s">
        <v>563</v>
      </c>
      <c r="D455" s="1">
        <v>171</v>
      </c>
      <c r="E455" s="1">
        <v>77</v>
      </c>
      <c r="F455" s="1">
        <v>96</v>
      </c>
      <c r="G455" s="1">
        <v>116</v>
      </c>
      <c r="H455" s="1" t="s">
        <v>651</v>
      </c>
      <c r="I455" s="1">
        <v>100</v>
      </c>
      <c r="J455" s="1" t="s">
        <v>108</v>
      </c>
      <c r="K455" s="1">
        <v>4</v>
      </c>
      <c r="L455" s="1">
        <f t="shared" si="7"/>
        <v>500</v>
      </c>
      <c r="M455" s="1" t="s">
        <v>38</v>
      </c>
      <c r="N455" s="1"/>
      <c r="O455" s="12" t="str">
        <f>IF($J455=Sheet2!$A$2, ROW(), "")</f>
        <v/>
      </c>
      <c r="Q455" s="23" t="s">
        <v>2436</v>
      </c>
    </row>
    <row r="456" spans="1:17" ht="14" customHeight="1" x14ac:dyDescent="0.3">
      <c r="A456" s="1" t="s">
        <v>652</v>
      </c>
      <c r="B456" s="1">
        <v>29</v>
      </c>
      <c r="C456" s="1" t="s">
        <v>563</v>
      </c>
      <c r="D456" s="1">
        <v>188</v>
      </c>
      <c r="E456" s="1">
        <v>75</v>
      </c>
      <c r="F456" s="1">
        <v>88</v>
      </c>
      <c r="G456" s="1">
        <v>102</v>
      </c>
      <c r="H456" s="1" t="s">
        <v>5</v>
      </c>
      <c r="I456" s="1">
        <v>24</v>
      </c>
      <c r="J456" s="1" t="s">
        <v>225</v>
      </c>
      <c r="K456" s="1">
        <v>4</v>
      </c>
      <c r="L456" s="1">
        <f t="shared" si="7"/>
        <v>120</v>
      </c>
      <c r="M456" s="1" t="s">
        <v>38</v>
      </c>
      <c r="N456" s="1"/>
      <c r="O456" s="12" t="str">
        <f>IF($J456=Sheet2!$A$2, ROW(), "")</f>
        <v/>
      </c>
      <c r="Q456" s="23" t="s">
        <v>2437</v>
      </c>
    </row>
    <row r="457" spans="1:17" ht="14" customHeight="1" x14ac:dyDescent="0.3">
      <c r="A457" s="1" t="s">
        <v>653</v>
      </c>
      <c r="B457" s="1">
        <v>29</v>
      </c>
      <c r="C457" s="1" t="s">
        <v>563</v>
      </c>
      <c r="D457" s="1">
        <v>182</v>
      </c>
      <c r="E457" s="1">
        <v>82</v>
      </c>
      <c r="F457" s="1">
        <v>92</v>
      </c>
      <c r="G457" s="1">
        <v>110</v>
      </c>
      <c r="H457" s="1" t="s">
        <v>654</v>
      </c>
      <c r="I457" s="1">
        <v>24</v>
      </c>
      <c r="J457" s="1" t="s">
        <v>225</v>
      </c>
      <c r="K457" s="1">
        <v>4</v>
      </c>
      <c r="L457" s="1">
        <f t="shared" si="7"/>
        <v>120</v>
      </c>
      <c r="M457" s="1" t="s">
        <v>38</v>
      </c>
      <c r="N457" s="1"/>
      <c r="O457" s="12" t="str">
        <f>IF($J457=Sheet2!$A$2, ROW(), "")</f>
        <v/>
      </c>
      <c r="Q457" s="23" t="s">
        <v>2438</v>
      </c>
    </row>
    <row r="458" spans="1:17" ht="14" customHeight="1" x14ac:dyDescent="0.3">
      <c r="A458" s="1" t="s">
        <v>655</v>
      </c>
      <c r="B458" s="1">
        <v>32</v>
      </c>
      <c r="C458" s="1" t="s">
        <v>563</v>
      </c>
      <c r="D458" s="1">
        <v>177</v>
      </c>
      <c r="E458" s="1">
        <v>75</v>
      </c>
      <c r="F458" s="1">
        <v>88</v>
      </c>
      <c r="G458" s="1">
        <v>104</v>
      </c>
      <c r="H458" s="1" t="s">
        <v>656</v>
      </c>
      <c r="I458" s="1">
        <v>80</v>
      </c>
      <c r="J458" s="1" t="s">
        <v>37</v>
      </c>
      <c r="K458" s="1">
        <v>3</v>
      </c>
      <c r="L458" s="1">
        <f t="shared" si="7"/>
        <v>400</v>
      </c>
      <c r="M458" s="1" t="s">
        <v>38</v>
      </c>
      <c r="N458" s="1"/>
      <c r="O458" s="12" t="str">
        <f>IF($J458=Sheet2!$A$2, ROW(), "")</f>
        <v/>
      </c>
      <c r="Q458" s="23" t="s">
        <v>2439</v>
      </c>
    </row>
    <row r="459" spans="1:17" ht="14" customHeight="1" x14ac:dyDescent="0.3">
      <c r="A459" s="1" t="s">
        <v>657</v>
      </c>
      <c r="B459" s="1">
        <v>34</v>
      </c>
      <c r="C459" s="1" t="s">
        <v>342</v>
      </c>
      <c r="D459" s="1">
        <v>178</v>
      </c>
      <c r="E459" s="1">
        <v>160</v>
      </c>
      <c r="F459" s="1">
        <v>115</v>
      </c>
      <c r="G459" s="1">
        <v>120</v>
      </c>
      <c r="H459" s="1" t="s">
        <v>545</v>
      </c>
      <c r="I459" s="1">
        <v>60</v>
      </c>
      <c r="J459" s="1" t="s">
        <v>1939</v>
      </c>
      <c r="K459" s="1">
        <v>6</v>
      </c>
      <c r="L459" s="1">
        <f t="shared" si="7"/>
        <v>300</v>
      </c>
      <c r="M459" s="1" t="s">
        <v>38</v>
      </c>
      <c r="N459" s="1"/>
      <c r="O459" s="12" t="str">
        <f>IF($J459=Sheet2!$A$2, ROW(), "")</f>
        <v/>
      </c>
      <c r="Q459" s="23" t="s">
        <v>2440</v>
      </c>
    </row>
    <row r="460" spans="1:17" ht="14" customHeight="1" x14ac:dyDescent="0.3">
      <c r="A460" s="1" t="s">
        <v>658</v>
      </c>
      <c r="B460" s="1">
        <v>27</v>
      </c>
      <c r="C460" s="1" t="s">
        <v>563</v>
      </c>
      <c r="D460" s="1">
        <v>177</v>
      </c>
      <c r="E460" s="1">
        <v>76</v>
      </c>
      <c r="F460" s="1">
        <v>98</v>
      </c>
      <c r="G460" s="1">
        <v>108</v>
      </c>
      <c r="H460" s="1" t="s">
        <v>260</v>
      </c>
      <c r="I460" s="1">
        <v>80</v>
      </c>
      <c r="J460" s="1" t="s">
        <v>1735</v>
      </c>
      <c r="K460" s="1">
        <v>4</v>
      </c>
      <c r="L460" s="1">
        <f t="shared" si="7"/>
        <v>400</v>
      </c>
      <c r="M460" s="1" t="s">
        <v>38</v>
      </c>
      <c r="N460" s="1"/>
      <c r="O460" s="12" t="str">
        <f>IF($J460=Sheet2!$A$2, ROW(), "")</f>
        <v/>
      </c>
      <c r="Q460" s="23" t="s">
        <v>2441</v>
      </c>
    </row>
    <row r="461" spans="1:17" ht="14" customHeight="1" x14ac:dyDescent="0.3">
      <c r="A461" s="1" t="s">
        <v>659</v>
      </c>
      <c r="B461" s="1">
        <v>28</v>
      </c>
      <c r="C461" s="1" t="s">
        <v>266</v>
      </c>
      <c r="D461" s="1">
        <v>175</v>
      </c>
      <c r="E461" s="1">
        <v>67</v>
      </c>
      <c r="F461" s="1">
        <v>74</v>
      </c>
      <c r="G461" s="1">
        <v>80</v>
      </c>
      <c r="H461" s="1" t="s">
        <v>357</v>
      </c>
      <c r="I461" s="1">
        <v>24</v>
      </c>
      <c r="J461" s="1" t="s">
        <v>233</v>
      </c>
      <c r="K461" s="1">
        <v>3</v>
      </c>
      <c r="L461" s="1">
        <f t="shared" si="7"/>
        <v>120</v>
      </c>
      <c r="M461" s="1" t="s">
        <v>38</v>
      </c>
      <c r="N461" s="1"/>
      <c r="O461" s="12" t="str">
        <f>IF($J461=Sheet2!$A$2, ROW(), "")</f>
        <v/>
      </c>
      <c r="Q461" s="23" t="s">
        <v>2442</v>
      </c>
    </row>
    <row r="462" spans="1:17" ht="14" customHeight="1" x14ac:dyDescent="0.3">
      <c r="A462" s="1" t="s">
        <v>660</v>
      </c>
      <c r="B462" s="1">
        <v>28</v>
      </c>
      <c r="C462" s="1" t="s">
        <v>661</v>
      </c>
      <c r="D462" s="1">
        <v>191</v>
      </c>
      <c r="E462" s="1">
        <v>78</v>
      </c>
      <c r="F462" s="1">
        <v>120</v>
      </c>
      <c r="G462" s="1">
        <v>120</v>
      </c>
      <c r="H462" s="1" t="s">
        <v>662</v>
      </c>
      <c r="I462" s="1">
        <v>120</v>
      </c>
      <c r="J462" s="1" t="s">
        <v>1736</v>
      </c>
      <c r="K462" s="1">
        <v>6</v>
      </c>
      <c r="L462" s="1">
        <f t="shared" si="7"/>
        <v>600</v>
      </c>
      <c r="M462" s="1" t="s">
        <v>38</v>
      </c>
      <c r="N462" s="1"/>
      <c r="O462" s="12" t="str">
        <f>IF($J462=Sheet2!$A$2, ROW(), "")</f>
        <v/>
      </c>
      <c r="Q462" s="23" t="s">
        <v>2443</v>
      </c>
    </row>
    <row r="463" spans="1:17" ht="14" customHeight="1" x14ac:dyDescent="0.3">
      <c r="A463" s="1" t="s">
        <v>663</v>
      </c>
      <c r="B463" s="1">
        <v>31</v>
      </c>
      <c r="C463" s="1" t="s">
        <v>287</v>
      </c>
      <c r="D463" s="1">
        <v>184</v>
      </c>
      <c r="E463" s="1">
        <v>80</v>
      </c>
      <c r="F463" s="1">
        <v>100</v>
      </c>
      <c r="G463" s="1">
        <v>126</v>
      </c>
      <c r="H463" s="1" t="s">
        <v>664</v>
      </c>
      <c r="I463" s="1">
        <v>50</v>
      </c>
      <c r="J463" s="1" t="s">
        <v>248</v>
      </c>
      <c r="K463" s="1">
        <v>5</v>
      </c>
      <c r="L463" s="1">
        <f t="shared" si="7"/>
        <v>250</v>
      </c>
      <c r="M463" s="1" t="s">
        <v>38</v>
      </c>
      <c r="N463" s="1"/>
      <c r="O463" s="12">
        <f>IF($J463=Sheet2!$A$2, ROW(), "")</f>
        <v>463</v>
      </c>
      <c r="Q463" s="23" t="s">
        <v>2444</v>
      </c>
    </row>
    <row r="464" spans="1:17" ht="14" customHeight="1" x14ac:dyDescent="0.3">
      <c r="A464" s="1" t="s">
        <v>665</v>
      </c>
      <c r="B464" s="1">
        <v>26</v>
      </c>
      <c r="C464" s="1" t="s">
        <v>647</v>
      </c>
      <c r="D464" s="1">
        <v>188</v>
      </c>
      <c r="E464" s="1">
        <v>80</v>
      </c>
      <c r="F464" s="1">
        <v>100</v>
      </c>
      <c r="G464" s="1">
        <v>100</v>
      </c>
      <c r="H464" s="1" t="s">
        <v>666</v>
      </c>
      <c r="I464" s="1">
        <v>45</v>
      </c>
      <c r="J464" s="1" t="s">
        <v>238</v>
      </c>
      <c r="K464" s="1">
        <v>4</v>
      </c>
      <c r="L464" s="1">
        <f t="shared" si="7"/>
        <v>225</v>
      </c>
      <c r="M464" s="1" t="s">
        <v>38</v>
      </c>
      <c r="N464" s="1"/>
      <c r="O464" s="12" t="str">
        <f>IF($J464=Sheet2!$A$2, ROW(), "")</f>
        <v/>
      </c>
      <c r="Q464" s="23" t="s">
        <v>2445</v>
      </c>
    </row>
    <row r="465" spans="1:17" ht="14" customHeight="1" x14ac:dyDescent="0.3">
      <c r="A465" s="1" t="s">
        <v>667</v>
      </c>
      <c r="B465" s="1">
        <v>26</v>
      </c>
      <c r="C465" s="1" t="s">
        <v>668</v>
      </c>
      <c r="D465" s="1">
        <v>196</v>
      </c>
      <c r="E465" s="1">
        <v>77</v>
      </c>
      <c r="F465" s="1">
        <v>125</v>
      </c>
      <c r="G465" s="1">
        <v>150</v>
      </c>
      <c r="H465" s="1" t="s">
        <v>1</v>
      </c>
      <c r="I465" s="1">
        <v>24</v>
      </c>
      <c r="J465" s="1" t="s">
        <v>1918</v>
      </c>
      <c r="K465" s="1">
        <v>3</v>
      </c>
      <c r="L465" s="1">
        <f t="shared" si="7"/>
        <v>120</v>
      </c>
      <c r="M465" s="1" t="s">
        <v>38</v>
      </c>
      <c r="N465" s="1"/>
      <c r="O465" s="12" t="str">
        <f>IF($J465=Sheet2!$A$2, ROW(), "")</f>
        <v/>
      </c>
      <c r="Q465" s="23" t="s">
        <v>2446</v>
      </c>
    </row>
    <row r="466" spans="1:17" ht="14" customHeight="1" x14ac:dyDescent="0.3">
      <c r="A466" s="1" t="s">
        <v>669</v>
      </c>
      <c r="B466" s="1">
        <v>30</v>
      </c>
      <c r="C466" s="1" t="s">
        <v>670</v>
      </c>
      <c r="D466" s="1">
        <v>183</v>
      </c>
      <c r="E466" s="1">
        <v>74</v>
      </c>
      <c r="F466" s="1">
        <v>92</v>
      </c>
      <c r="G466" s="1">
        <v>120</v>
      </c>
      <c r="H466" s="1" t="s">
        <v>671</v>
      </c>
      <c r="I466" s="1">
        <v>24</v>
      </c>
      <c r="J466" s="1" t="s">
        <v>225</v>
      </c>
      <c r="K466" s="1">
        <v>4</v>
      </c>
      <c r="L466" s="1">
        <f t="shared" si="7"/>
        <v>120</v>
      </c>
      <c r="M466" s="1" t="s">
        <v>38</v>
      </c>
      <c r="N466" s="1"/>
      <c r="O466" s="12" t="str">
        <f>IF($J466=Sheet2!$A$2, ROW(), "")</f>
        <v/>
      </c>
      <c r="Q466" s="23" t="s">
        <v>2447</v>
      </c>
    </row>
    <row r="467" spans="1:17" ht="14" customHeight="1" x14ac:dyDescent="0.3">
      <c r="A467" s="1" t="s">
        <v>672</v>
      </c>
      <c r="B467" s="1">
        <v>26</v>
      </c>
      <c r="C467" s="1" t="s">
        <v>230</v>
      </c>
      <c r="D467" s="1">
        <v>192</v>
      </c>
      <c r="E467" s="1">
        <v>80</v>
      </c>
      <c r="F467" s="1">
        <v>120</v>
      </c>
      <c r="G467" s="1">
        <v>144</v>
      </c>
      <c r="H467" s="1" t="s">
        <v>317</v>
      </c>
      <c r="I467" s="1">
        <v>160</v>
      </c>
      <c r="J467" s="1" t="s">
        <v>1735</v>
      </c>
      <c r="K467" s="1">
        <v>4</v>
      </c>
      <c r="L467" s="1">
        <f t="shared" si="7"/>
        <v>800</v>
      </c>
      <c r="M467" s="1" t="s">
        <v>38</v>
      </c>
      <c r="N467" s="1"/>
      <c r="O467" s="12" t="str">
        <f>IF($J467=Sheet2!$A$2, ROW(), "")</f>
        <v/>
      </c>
      <c r="Q467" s="23" t="s">
        <v>2448</v>
      </c>
    </row>
    <row r="468" spans="1:17" ht="14" customHeight="1" x14ac:dyDescent="0.3">
      <c r="A468" s="1" t="s">
        <v>673</v>
      </c>
      <c r="B468" s="1">
        <v>30</v>
      </c>
      <c r="C468" s="1" t="s">
        <v>563</v>
      </c>
      <c r="D468" s="1">
        <v>178</v>
      </c>
      <c r="E468" s="1">
        <v>76</v>
      </c>
      <c r="F468" s="1">
        <v>88</v>
      </c>
      <c r="G468" s="1">
        <v>110</v>
      </c>
      <c r="H468" s="1" t="s">
        <v>674</v>
      </c>
      <c r="I468" s="1">
        <v>50</v>
      </c>
      <c r="J468" s="1" t="s">
        <v>1659</v>
      </c>
      <c r="K468" s="1">
        <v>3</v>
      </c>
      <c r="L468" s="1">
        <f t="shared" si="7"/>
        <v>250</v>
      </c>
      <c r="M468" s="1" t="s">
        <v>38</v>
      </c>
      <c r="N468" s="1"/>
      <c r="O468" s="12" t="str">
        <f>IF($J468=Sheet2!$A$2, ROW(), "")</f>
        <v/>
      </c>
      <c r="Q468" s="23" t="s">
        <v>2449</v>
      </c>
    </row>
    <row r="469" spans="1:17" ht="14" customHeight="1" x14ac:dyDescent="0.3">
      <c r="A469" s="1" t="s">
        <v>675</v>
      </c>
      <c r="B469" s="1">
        <v>28</v>
      </c>
      <c r="C469" s="1" t="s">
        <v>676</v>
      </c>
      <c r="D469" s="1">
        <v>182</v>
      </c>
      <c r="E469" s="1">
        <v>76</v>
      </c>
      <c r="F469" s="1">
        <v>105</v>
      </c>
      <c r="G469" s="1">
        <v>115</v>
      </c>
      <c r="H469" s="1" t="s">
        <v>677</v>
      </c>
      <c r="I469" s="1">
        <v>30</v>
      </c>
      <c r="J469" s="1" t="s">
        <v>609</v>
      </c>
      <c r="K469" s="1">
        <v>5</v>
      </c>
      <c r="L469" s="1">
        <f t="shared" si="7"/>
        <v>150</v>
      </c>
      <c r="M469" s="1" t="s">
        <v>38</v>
      </c>
      <c r="N469" s="1"/>
      <c r="O469" s="12" t="str">
        <f>IF($J469=Sheet2!$A$2, ROW(), "")</f>
        <v/>
      </c>
      <c r="Q469" s="23" t="s">
        <v>2450</v>
      </c>
    </row>
    <row r="470" spans="1:17" ht="14" customHeight="1" x14ac:dyDescent="0.3">
      <c r="A470" s="1" t="s">
        <v>678</v>
      </c>
      <c r="B470" s="1">
        <v>26</v>
      </c>
      <c r="C470" s="1" t="s">
        <v>679</v>
      </c>
      <c r="D470" s="1">
        <v>182</v>
      </c>
      <c r="E470" s="1">
        <v>75</v>
      </c>
      <c r="F470" s="1">
        <v>109</v>
      </c>
      <c r="G470" s="1">
        <v>138</v>
      </c>
      <c r="H470" s="1" t="s">
        <v>263</v>
      </c>
      <c r="I470" s="1">
        <v>120</v>
      </c>
      <c r="J470" s="1" t="s">
        <v>108</v>
      </c>
      <c r="K470" s="1">
        <v>5</v>
      </c>
      <c r="L470" s="1">
        <f t="shared" si="7"/>
        <v>600</v>
      </c>
      <c r="M470" s="1" t="s">
        <v>38</v>
      </c>
      <c r="N470" s="1"/>
      <c r="O470" s="12" t="str">
        <f>IF($J470=Sheet2!$A$2, ROW(), "")</f>
        <v/>
      </c>
      <c r="Q470" s="23" t="s">
        <v>2451</v>
      </c>
    </row>
    <row r="471" spans="1:17" ht="14" customHeight="1" x14ac:dyDescent="0.3">
      <c r="A471" s="1" t="s">
        <v>680</v>
      </c>
      <c r="B471" s="1">
        <v>28</v>
      </c>
      <c r="C471" s="1" t="s">
        <v>230</v>
      </c>
      <c r="D471" s="1">
        <v>186</v>
      </c>
      <c r="E471" s="1">
        <v>77</v>
      </c>
      <c r="F471" s="1">
        <v>104</v>
      </c>
      <c r="G471" s="1">
        <v>136</v>
      </c>
      <c r="H471" s="1" t="s">
        <v>260</v>
      </c>
      <c r="I471" s="1">
        <v>24</v>
      </c>
      <c r="J471" s="1" t="s">
        <v>225</v>
      </c>
      <c r="K471" s="1">
        <v>4</v>
      </c>
      <c r="L471" s="1">
        <f t="shared" si="7"/>
        <v>120</v>
      </c>
      <c r="M471" s="1" t="s">
        <v>38</v>
      </c>
      <c r="N471" s="1"/>
      <c r="O471" s="12" t="str">
        <f>IF($J471=Sheet2!$A$2, ROW(), "")</f>
        <v/>
      </c>
      <c r="Q471" s="23" t="s">
        <v>2452</v>
      </c>
    </row>
    <row r="472" spans="1:17" ht="14" customHeight="1" x14ac:dyDescent="0.3">
      <c r="A472" s="1" t="s">
        <v>681</v>
      </c>
      <c r="B472" s="1">
        <v>31</v>
      </c>
      <c r="C472" s="1" t="s">
        <v>230</v>
      </c>
      <c r="D472" s="1">
        <v>180</v>
      </c>
      <c r="E472" s="1">
        <v>87</v>
      </c>
      <c r="F472" s="1">
        <v>112</v>
      </c>
      <c r="G472" s="1">
        <v>126</v>
      </c>
      <c r="H472" s="1" t="s">
        <v>324</v>
      </c>
      <c r="I472" s="1">
        <v>200</v>
      </c>
      <c r="J472" s="1" t="s">
        <v>108</v>
      </c>
      <c r="K472" s="1">
        <v>4</v>
      </c>
      <c r="L472" s="1">
        <f t="shared" si="7"/>
        <v>1000</v>
      </c>
      <c r="M472" s="1" t="s">
        <v>38</v>
      </c>
      <c r="N472" s="1"/>
      <c r="O472" s="12" t="str">
        <f>IF($J472=Sheet2!$A$2, ROW(), "")</f>
        <v/>
      </c>
      <c r="Q472" s="23" t="s">
        <v>2453</v>
      </c>
    </row>
    <row r="473" spans="1:17" ht="14" customHeight="1" x14ac:dyDescent="0.3">
      <c r="A473" s="1" t="s">
        <v>682</v>
      </c>
      <c r="B473" s="1">
        <v>24</v>
      </c>
      <c r="C473" s="1" t="s">
        <v>611</v>
      </c>
      <c r="D473" s="1">
        <v>187</v>
      </c>
      <c r="E473" s="1">
        <v>74</v>
      </c>
      <c r="F473" s="1">
        <v>122</v>
      </c>
      <c r="G473" s="1">
        <v>154</v>
      </c>
      <c r="H473" s="1" t="s">
        <v>326</v>
      </c>
      <c r="I473" s="1">
        <v>120</v>
      </c>
      <c r="J473" s="1" t="s">
        <v>683</v>
      </c>
      <c r="K473" s="1">
        <v>5</v>
      </c>
      <c r="L473" s="1">
        <f t="shared" si="7"/>
        <v>600</v>
      </c>
      <c r="M473" s="1" t="s">
        <v>38</v>
      </c>
      <c r="N473" s="1"/>
      <c r="O473" s="12" t="str">
        <f>IF($J473=Sheet2!$A$2, ROW(), "")</f>
        <v/>
      </c>
      <c r="Q473" s="23" t="s">
        <v>2454</v>
      </c>
    </row>
    <row r="474" spans="1:17" ht="14" customHeight="1" x14ac:dyDescent="0.3">
      <c r="A474" s="1" t="s">
        <v>684</v>
      </c>
      <c r="B474" s="1">
        <v>27</v>
      </c>
      <c r="C474" s="1" t="s">
        <v>230</v>
      </c>
      <c r="D474" s="1">
        <v>183</v>
      </c>
      <c r="E474" s="1">
        <v>78</v>
      </c>
      <c r="F474" s="1">
        <v>117</v>
      </c>
      <c r="G474" s="1">
        <v>128</v>
      </c>
      <c r="H474" s="1" t="s">
        <v>357</v>
      </c>
      <c r="I474" s="1">
        <v>50</v>
      </c>
      <c r="J474" s="1" t="s">
        <v>1891</v>
      </c>
      <c r="K474" s="1">
        <v>5</v>
      </c>
      <c r="L474" s="1">
        <f t="shared" si="7"/>
        <v>250</v>
      </c>
      <c r="M474" s="1" t="s">
        <v>38</v>
      </c>
      <c r="N474" s="1"/>
      <c r="O474" s="12" t="str">
        <f>IF($J474=Sheet2!$A$2, ROW(), "")</f>
        <v/>
      </c>
      <c r="Q474" s="23" t="s">
        <v>2455</v>
      </c>
    </row>
    <row r="475" spans="1:17" ht="14" customHeight="1" x14ac:dyDescent="0.3">
      <c r="A475" s="1" t="s">
        <v>685</v>
      </c>
      <c r="B475" s="1">
        <v>29</v>
      </c>
      <c r="C475" s="1" t="s">
        <v>563</v>
      </c>
      <c r="D475" s="1">
        <v>188</v>
      </c>
      <c r="E475" s="1">
        <v>75</v>
      </c>
      <c r="F475" s="1">
        <v>94</v>
      </c>
      <c r="G475" s="1">
        <v>116</v>
      </c>
      <c r="H475" s="1" t="s">
        <v>686</v>
      </c>
      <c r="I475" s="1">
        <v>24</v>
      </c>
      <c r="J475" s="1" t="s">
        <v>225</v>
      </c>
      <c r="K475" s="1">
        <v>4</v>
      </c>
      <c r="L475" s="1">
        <f t="shared" si="7"/>
        <v>120</v>
      </c>
      <c r="M475" s="1" t="s">
        <v>38</v>
      </c>
      <c r="N475" s="1"/>
      <c r="O475" s="12" t="str">
        <f>IF($J475=Sheet2!$A$2, ROW(), "")</f>
        <v/>
      </c>
      <c r="Q475" s="23" t="s">
        <v>2456</v>
      </c>
    </row>
    <row r="476" spans="1:17" ht="14" customHeight="1" x14ac:dyDescent="0.3">
      <c r="A476" s="1" t="s">
        <v>687</v>
      </c>
      <c r="B476" s="1">
        <v>29</v>
      </c>
      <c r="C476" s="1" t="s">
        <v>563</v>
      </c>
      <c r="D476" s="1">
        <v>188</v>
      </c>
      <c r="E476" s="1">
        <v>84</v>
      </c>
      <c r="F476" s="1">
        <v>88</v>
      </c>
      <c r="G476" s="1">
        <v>108</v>
      </c>
      <c r="H476" s="1" t="s">
        <v>5</v>
      </c>
      <c r="I476" s="1">
        <v>24</v>
      </c>
      <c r="J476" s="1" t="s">
        <v>225</v>
      </c>
      <c r="K476" s="1">
        <v>4</v>
      </c>
      <c r="L476" s="1">
        <f t="shared" si="7"/>
        <v>120</v>
      </c>
      <c r="M476" s="1" t="s">
        <v>38</v>
      </c>
      <c r="N476" s="1"/>
      <c r="O476" s="12" t="str">
        <f>IF($J476=Sheet2!$A$2, ROW(), "")</f>
        <v/>
      </c>
      <c r="Q476" s="23" t="s">
        <v>2457</v>
      </c>
    </row>
    <row r="477" spans="1:17" ht="14" customHeight="1" x14ac:dyDescent="0.3">
      <c r="A477" s="1" t="s">
        <v>688</v>
      </c>
      <c r="B477" s="1">
        <v>31</v>
      </c>
      <c r="C477" s="1" t="s">
        <v>563</v>
      </c>
      <c r="D477" s="1">
        <v>182</v>
      </c>
      <c r="E477" s="1">
        <v>74</v>
      </c>
      <c r="F477" s="1">
        <v>96</v>
      </c>
      <c r="G477" s="1">
        <v>108</v>
      </c>
      <c r="H477" s="1" t="s">
        <v>251</v>
      </c>
      <c r="I477" s="1">
        <v>24</v>
      </c>
      <c r="J477" s="1" t="s">
        <v>689</v>
      </c>
      <c r="K477" s="1">
        <v>5</v>
      </c>
      <c r="L477" s="1">
        <f t="shared" si="7"/>
        <v>120</v>
      </c>
      <c r="M477" s="1" t="s">
        <v>38</v>
      </c>
      <c r="N477" s="1"/>
      <c r="O477" s="12" t="str">
        <f>IF($J477=Sheet2!$A$2, ROW(), "")</f>
        <v/>
      </c>
      <c r="Q477" s="23" t="s">
        <v>2458</v>
      </c>
    </row>
    <row r="478" spans="1:17" ht="14" customHeight="1" x14ac:dyDescent="0.3">
      <c r="A478" s="1" t="s">
        <v>690</v>
      </c>
      <c r="B478" s="1">
        <v>35</v>
      </c>
      <c r="C478" s="1" t="s">
        <v>230</v>
      </c>
      <c r="D478" s="1">
        <v>199</v>
      </c>
      <c r="E478" s="1">
        <v>76</v>
      </c>
      <c r="F478" s="1">
        <v>104</v>
      </c>
      <c r="G478" s="1">
        <v>110</v>
      </c>
      <c r="H478" s="1" t="s">
        <v>1</v>
      </c>
      <c r="I478" s="1">
        <v>24</v>
      </c>
      <c r="J478" s="1" t="s">
        <v>1783</v>
      </c>
      <c r="K478" s="1">
        <v>5.5</v>
      </c>
      <c r="L478" s="1">
        <f t="shared" si="7"/>
        <v>120</v>
      </c>
      <c r="M478" s="1" t="s">
        <v>1825</v>
      </c>
      <c r="N478" s="1"/>
      <c r="O478" s="12" t="str">
        <f>IF($J478=Sheet2!$A$2, ROW(), "")</f>
        <v/>
      </c>
      <c r="Q478" s="23" t="s">
        <v>2459</v>
      </c>
    </row>
    <row r="479" spans="1:17" ht="14" customHeight="1" x14ac:dyDescent="0.3">
      <c r="A479" s="1" t="s">
        <v>691</v>
      </c>
      <c r="B479" s="1">
        <v>26</v>
      </c>
      <c r="C479" s="1" t="s">
        <v>642</v>
      </c>
      <c r="D479" s="1">
        <v>181</v>
      </c>
      <c r="E479" s="1">
        <v>75</v>
      </c>
      <c r="F479" s="1">
        <v>122</v>
      </c>
      <c r="G479" s="1">
        <v>150</v>
      </c>
      <c r="H479" s="1" t="s">
        <v>324</v>
      </c>
      <c r="I479" s="1">
        <v>140</v>
      </c>
      <c r="J479" s="1" t="s">
        <v>238</v>
      </c>
      <c r="K479" s="1">
        <v>4</v>
      </c>
      <c r="L479" s="1">
        <f t="shared" si="7"/>
        <v>700</v>
      </c>
      <c r="M479" s="1" t="s">
        <v>38</v>
      </c>
      <c r="N479" s="1"/>
      <c r="O479" s="12" t="str">
        <f>IF($J479=Sheet2!$A$2, ROW(), "")</f>
        <v/>
      </c>
      <c r="Q479" s="23" t="s">
        <v>2460</v>
      </c>
    </row>
    <row r="480" spans="1:17" ht="14" customHeight="1" x14ac:dyDescent="0.3">
      <c r="A480" s="1" t="s">
        <v>692</v>
      </c>
      <c r="B480" s="1">
        <v>38</v>
      </c>
      <c r="C480" s="1" t="s">
        <v>563</v>
      </c>
      <c r="D480" s="1">
        <v>188</v>
      </c>
      <c r="E480" s="1">
        <v>78</v>
      </c>
      <c r="F480" s="1">
        <v>94</v>
      </c>
      <c r="G480" s="1">
        <v>98</v>
      </c>
      <c r="H480" s="1" t="s">
        <v>260</v>
      </c>
      <c r="I480" s="1">
        <v>80</v>
      </c>
      <c r="J480" s="1" t="s">
        <v>207</v>
      </c>
      <c r="K480" s="1">
        <v>4</v>
      </c>
      <c r="L480" s="1">
        <f t="shared" si="7"/>
        <v>400</v>
      </c>
      <c r="M480" s="1" t="s">
        <v>38</v>
      </c>
      <c r="N480" s="1"/>
      <c r="O480" s="12" t="str">
        <f>IF($J480=Sheet2!$A$2, ROW(), "")</f>
        <v/>
      </c>
      <c r="Q480" s="23" t="s">
        <v>2461</v>
      </c>
    </row>
    <row r="481" spans="1:17" ht="14" customHeight="1" x14ac:dyDescent="0.3">
      <c r="A481" s="1" t="s">
        <v>693</v>
      </c>
      <c r="B481" s="1">
        <v>41</v>
      </c>
      <c r="C481" s="1" t="s">
        <v>563</v>
      </c>
      <c r="D481" s="1">
        <v>177</v>
      </c>
      <c r="E481" s="1">
        <v>76</v>
      </c>
      <c r="F481" s="1">
        <v>92</v>
      </c>
      <c r="G481" s="1">
        <v>114</v>
      </c>
      <c r="H481" s="1" t="s">
        <v>247</v>
      </c>
      <c r="I481" s="1">
        <v>80</v>
      </c>
      <c r="J481" s="1" t="s">
        <v>207</v>
      </c>
      <c r="K481" s="1">
        <v>4</v>
      </c>
      <c r="L481" s="1">
        <f t="shared" si="7"/>
        <v>400</v>
      </c>
      <c r="M481" s="1" t="s">
        <v>38</v>
      </c>
      <c r="N481" s="1"/>
      <c r="O481" s="12" t="str">
        <f>IF($J481=Sheet2!$A$2, ROW(), "")</f>
        <v/>
      </c>
      <c r="Q481" s="23" t="s">
        <v>2462</v>
      </c>
    </row>
    <row r="482" spans="1:17" ht="14" customHeight="1" x14ac:dyDescent="0.3">
      <c r="A482" s="1" t="s">
        <v>694</v>
      </c>
      <c r="B482" s="1">
        <v>30</v>
      </c>
      <c r="C482" s="1" t="s">
        <v>563</v>
      </c>
      <c r="D482" s="1">
        <v>176</v>
      </c>
      <c r="E482" s="1">
        <v>76</v>
      </c>
      <c r="F482" s="1">
        <v>90</v>
      </c>
      <c r="G482" s="1">
        <v>106</v>
      </c>
      <c r="H482" s="1" t="s">
        <v>695</v>
      </c>
      <c r="I482" s="1">
        <v>24</v>
      </c>
      <c r="J482" s="1" t="s">
        <v>225</v>
      </c>
      <c r="K482" s="1">
        <v>4</v>
      </c>
      <c r="L482" s="1">
        <f t="shared" si="7"/>
        <v>120</v>
      </c>
      <c r="M482" s="1" t="s">
        <v>38</v>
      </c>
      <c r="N482" s="1"/>
      <c r="O482" s="12" t="str">
        <f>IF($J482=Sheet2!$A$2, ROW(), "")</f>
        <v/>
      </c>
      <c r="Q482" s="23" t="s">
        <v>2463</v>
      </c>
    </row>
    <row r="483" spans="1:17" ht="14" customHeight="1" x14ac:dyDescent="0.3">
      <c r="A483" s="1" t="s">
        <v>696</v>
      </c>
      <c r="B483" s="1">
        <v>31</v>
      </c>
      <c r="C483" s="1" t="s">
        <v>563</v>
      </c>
      <c r="D483" s="1">
        <v>183</v>
      </c>
      <c r="E483" s="1">
        <v>72</v>
      </c>
      <c r="F483" s="1">
        <v>90</v>
      </c>
      <c r="G483" s="1">
        <v>112</v>
      </c>
      <c r="H483" s="1" t="s">
        <v>697</v>
      </c>
      <c r="I483" s="1">
        <v>24</v>
      </c>
      <c r="J483" s="1" t="s">
        <v>225</v>
      </c>
      <c r="K483" s="1">
        <v>4</v>
      </c>
      <c r="L483" s="1">
        <f t="shared" si="7"/>
        <v>120</v>
      </c>
      <c r="M483" s="1" t="s">
        <v>38</v>
      </c>
      <c r="N483" s="1"/>
      <c r="O483" s="12" t="str">
        <f>IF($J483=Sheet2!$A$2, ROW(), "")</f>
        <v/>
      </c>
      <c r="Q483" s="23" t="s">
        <v>2464</v>
      </c>
    </row>
    <row r="484" spans="1:17" ht="14" customHeight="1" x14ac:dyDescent="0.3">
      <c r="A484" s="1" t="s">
        <v>698</v>
      </c>
      <c r="B484" s="1">
        <v>27</v>
      </c>
      <c r="C484" s="1" t="s">
        <v>699</v>
      </c>
      <c r="D484" s="1">
        <v>184</v>
      </c>
      <c r="E484" s="1">
        <v>81</v>
      </c>
      <c r="F484" s="1">
        <v>125</v>
      </c>
      <c r="G484" s="1">
        <v>140</v>
      </c>
      <c r="H484" s="1" t="s">
        <v>357</v>
      </c>
      <c r="I484" s="1">
        <v>120</v>
      </c>
      <c r="J484" s="1" t="s">
        <v>683</v>
      </c>
      <c r="K484" s="1">
        <v>5</v>
      </c>
      <c r="L484" s="1">
        <f t="shared" si="7"/>
        <v>600</v>
      </c>
      <c r="M484" s="1" t="s">
        <v>38</v>
      </c>
      <c r="N484" s="1"/>
      <c r="O484" s="12" t="str">
        <f>IF($J484=Sheet2!$A$2, ROW(), "")</f>
        <v/>
      </c>
      <c r="Q484" s="23" t="s">
        <v>2465</v>
      </c>
    </row>
    <row r="485" spans="1:17" ht="14" customHeight="1" x14ac:dyDescent="0.3">
      <c r="A485" s="1" t="s">
        <v>700</v>
      </c>
      <c r="B485" s="1">
        <v>38</v>
      </c>
      <c r="C485" s="1" t="s">
        <v>287</v>
      </c>
      <c r="D485" s="1">
        <v>192</v>
      </c>
      <c r="E485" s="1">
        <v>74</v>
      </c>
      <c r="F485" s="1">
        <v>102</v>
      </c>
      <c r="G485" s="1">
        <v>116</v>
      </c>
      <c r="H485" s="1" t="s">
        <v>1</v>
      </c>
      <c r="I485" s="1">
        <v>120</v>
      </c>
      <c r="J485" s="1" t="s">
        <v>207</v>
      </c>
      <c r="K485" s="1">
        <v>3</v>
      </c>
      <c r="L485" s="1">
        <f t="shared" si="7"/>
        <v>600</v>
      </c>
      <c r="M485" s="1" t="s">
        <v>38</v>
      </c>
      <c r="N485" s="1"/>
      <c r="O485" s="12" t="str">
        <f>IF($J485=Sheet2!$A$2, ROW(), "")</f>
        <v/>
      </c>
      <c r="Q485" s="23" t="s">
        <v>2466</v>
      </c>
    </row>
    <row r="486" spans="1:17" ht="14" customHeight="1" x14ac:dyDescent="0.3">
      <c r="A486" s="1" t="s">
        <v>701</v>
      </c>
      <c r="B486" s="1">
        <v>36</v>
      </c>
      <c r="C486" s="1" t="s">
        <v>563</v>
      </c>
      <c r="D486" s="1">
        <v>185</v>
      </c>
      <c r="E486" s="1">
        <v>68</v>
      </c>
      <c r="F486" s="1">
        <v>94</v>
      </c>
      <c r="G486" s="1">
        <v>96</v>
      </c>
      <c r="H486" s="1" t="s">
        <v>317</v>
      </c>
      <c r="I486" s="1">
        <v>80</v>
      </c>
      <c r="J486" s="1" t="s">
        <v>207</v>
      </c>
      <c r="K486" s="1">
        <v>3</v>
      </c>
      <c r="L486" s="1">
        <f t="shared" si="7"/>
        <v>400</v>
      </c>
      <c r="M486" s="1" t="s">
        <v>38</v>
      </c>
      <c r="N486" s="1"/>
      <c r="O486" s="12" t="str">
        <f>IF($J486=Sheet2!$A$2, ROW(), "")</f>
        <v/>
      </c>
      <c r="Q486" s="23" t="s">
        <v>2467</v>
      </c>
    </row>
    <row r="487" spans="1:17" ht="14" customHeight="1" x14ac:dyDescent="0.3">
      <c r="A487" s="1" t="s">
        <v>702</v>
      </c>
      <c r="B487" s="1">
        <v>31</v>
      </c>
      <c r="C487" s="1" t="s">
        <v>563</v>
      </c>
      <c r="D487" s="1">
        <v>190</v>
      </c>
      <c r="E487" s="1">
        <v>77</v>
      </c>
      <c r="F487" s="1">
        <v>96</v>
      </c>
      <c r="G487" s="1">
        <v>108</v>
      </c>
      <c r="H487" s="1" t="s">
        <v>317</v>
      </c>
      <c r="I487" s="1">
        <v>80</v>
      </c>
      <c r="J487" s="1" t="s">
        <v>327</v>
      </c>
      <c r="K487" s="1">
        <v>3</v>
      </c>
      <c r="L487" s="1">
        <f t="shared" si="7"/>
        <v>400</v>
      </c>
      <c r="M487" s="1" t="s">
        <v>38</v>
      </c>
      <c r="N487" s="1"/>
      <c r="O487" s="12" t="str">
        <f>IF($J487=Sheet2!$A$2, ROW(), "")</f>
        <v/>
      </c>
      <c r="Q487" s="23" t="s">
        <v>2468</v>
      </c>
    </row>
    <row r="488" spans="1:17" ht="14" customHeight="1" x14ac:dyDescent="0.3">
      <c r="A488" s="1" t="s">
        <v>703</v>
      </c>
      <c r="B488" s="1">
        <v>35</v>
      </c>
      <c r="C488" s="1" t="s">
        <v>563</v>
      </c>
      <c r="D488" s="1">
        <v>182</v>
      </c>
      <c r="E488" s="1">
        <v>77</v>
      </c>
      <c r="F488" s="1">
        <v>98</v>
      </c>
      <c r="G488" s="1">
        <v>116</v>
      </c>
      <c r="H488" s="1" t="s">
        <v>277</v>
      </c>
      <c r="I488" s="1">
        <v>80</v>
      </c>
      <c r="J488" s="1" t="s">
        <v>207</v>
      </c>
      <c r="K488" s="1">
        <v>5</v>
      </c>
      <c r="L488" s="1">
        <f t="shared" si="7"/>
        <v>400</v>
      </c>
      <c r="M488" s="1" t="s">
        <v>38</v>
      </c>
      <c r="N488" s="1"/>
      <c r="O488" s="12" t="str">
        <f>IF($J488=Sheet2!$A$2, ROW(), "")</f>
        <v/>
      </c>
      <c r="Q488" s="23" t="s">
        <v>2469</v>
      </c>
    </row>
    <row r="489" spans="1:17" ht="14" customHeight="1" x14ac:dyDescent="0.3">
      <c r="A489" s="1" t="s">
        <v>704</v>
      </c>
      <c r="B489" s="1">
        <v>29</v>
      </c>
      <c r="C489" s="1" t="s">
        <v>705</v>
      </c>
      <c r="D489" s="1">
        <v>187</v>
      </c>
      <c r="E489" s="1">
        <v>85</v>
      </c>
      <c r="F489" s="1">
        <v>115</v>
      </c>
      <c r="G489" s="1">
        <v>136</v>
      </c>
      <c r="H489" s="1" t="s">
        <v>260</v>
      </c>
      <c r="I489" s="1">
        <v>180</v>
      </c>
      <c r="J489" s="1" t="s">
        <v>1948</v>
      </c>
      <c r="K489" s="1">
        <v>5</v>
      </c>
      <c r="L489" s="1">
        <f t="shared" si="7"/>
        <v>900</v>
      </c>
      <c r="M489" s="1" t="s">
        <v>38</v>
      </c>
      <c r="N489" s="1"/>
      <c r="O489" s="12" t="str">
        <f>IF($J489=Sheet2!$A$2, ROW(), "")</f>
        <v/>
      </c>
      <c r="Q489" s="23" t="s">
        <v>2470</v>
      </c>
    </row>
    <row r="490" spans="1:17" ht="14" customHeight="1" x14ac:dyDescent="0.3">
      <c r="A490" s="1" t="s">
        <v>706</v>
      </c>
      <c r="B490" s="1">
        <v>27</v>
      </c>
      <c r="C490" s="1" t="s">
        <v>679</v>
      </c>
      <c r="D490" s="1">
        <v>200</v>
      </c>
      <c r="E490" s="1">
        <v>74</v>
      </c>
      <c r="F490" s="1">
        <v>130</v>
      </c>
      <c r="G490" s="1">
        <v>156</v>
      </c>
      <c r="H490" s="1" t="s">
        <v>1</v>
      </c>
      <c r="I490" s="1">
        <v>180</v>
      </c>
      <c r="J490" s="1" t="s">
        <v>1717</v>
      </c>
      <c r="K490" s="1">
        <v>5</v>
      </c>
      <c r="L490" s="1">
        <f t="shared" si="7"/>
        <v>900</v>
      </c>
      <c r="M490" s="1" t="s">
        <v>38</v>
      </c>
      <c r="N490" s="1"/>
      <c r="O490" s="12" t="str">
        <f>IF($J490=Sheet2!$A$2, ROW(), "")</f>
        <v/>
      </c>
      <c r="Q490" s="23" t="s">
        <v>2471</v>
      </c>
    </row>
    <row r="491" spans="1:17" ht="14" customHeight="1" x14ac:dyDescent="0.3">
      <c r="A491" s="1" t="s">
        <v>707</v>
      </c>
      <c r="B491" s="1">
        <v>35</v>
      </c>
      <c r="C491" s="1" t="s">
        <v>708</v>
      </c>
      <c r="D491" s="1">
        <v>187</v>
      </c>
      <c r="E491" s="1">
        <v>82</v>
      </c>
      <c r="F491" s="1">
        <v>106</v>
      </c>
      <c r="G491" s="1">
        <v>126</v>
      </c>
      <c r="H491" s="1" t="s">
        <v>709</v>
      </c>
      <c r="I491" s="1">
        <v>140</v>
      </c>
      <c r="J491" s="1" t="s">
        <v>1735</v>
      </c>
      <c r="K491" s="1">
        <v>4</v>
      </c>
      <c r="L491" s="1">
        <f t="shared" si="7"/>
        <v>700</v>
      </c>
      <c r="M491" s="1" t="s">
        <v>38</v>
      </c>
      <c r="N491" s="1"/>
      <c r="O491" s="12" t="str">
        <f>IF($J491=Sheet2!$A$2, ROW(), "")</f>
        <v/>
      </c>
      <c r="Q491" s="23" t="s">
        <v>2472</v>
      </c>
    </row>
    <row r="492" spans="1:17" ht="14" customHeight="1" x14ac:dyDescent="0.3">
      <c r="A492" s="1" t="s">
        <v>710</v>
      </c>
      <c r="B492" s="1">
        <v>25</v>
      </c>
      <c r="C492" s="1" t="s">
        <v>711</v>
      </c>
      <c r="D492" s="1">
        <v>182</v>
      </c>
      <c r="E492" s="1">
        <v>76</v>
      </c>
      <c r="F492" s="1">
        <v>111</v>
      </c>
      <c r="G492" s="1">
        <v>124</v>
      </c>
      <c r="H492" s="1" t="s">
        <v>712</v>
      </c>
      <c r="I492" s="1">
        <v>100</v>
      </c>
      <c r="J492" s="1" t="s">
        <v>1735</v>
      </c>
      <c r="K492" s="1">
        <v>4</v>
      </c>
      <c r="L492" s="1">
        <f t="shared" si="7"/>
        <v>500</v>
      </c>
      <c r="M492" s="1" t="s">
        <v>38</v>
      </c>
      <c r="N492" s="1"/>
      <c r="O492" s="12" t="str">
        <f>IF($J492=Sheet2!$A$2, ROW(), "")</f>
        <v/>
      </c>
      <c r="Q492" s="23" t="s">
        <v>2473</v>
      </c>
    </row>
    <row r="493" spans="1:17" ht="14" customHeight="1" x14ac:dyDescent="0.3">
      <c r="A493" s="1" t="s">
        <v>713</v>
      </c>
      <c r="B493" s="1">
        <v>27</v>
      </c>
      <c r="C493" s="1" t="s">
        <v>714</v>
      </c>
      <c r="D493" s="1">
        <v>189</v>
      </c>
      <c r="E493" s="1">
        <v>76</v>
      </c>
      <c r="F493" s="1">
        <v>120</v>
      </c>
      <c r="G493" s="1">
        <v>120</v>
      </c>
      <c r="H493" s="1" t="s">
        <v>715</v>
      </c>
      <c r="I493" s="1">
        <v>80</v>
      </c>
      <c r="J493" s="1" t="s">
        <v>561</v>
      </c>
      <c r="K493" s="1">
        <v>5</v>
      </c>
      <c r="L493" s="1">
        <f t="shared" si="7"/>
        <v>400</v>
      </c>
      <c r="M493" s="1" t="s">
        <v>38</v>
      </c>
      <c r="N493" s="1"/>
      <c r="O493" s="12" t="str">
        <f>IF($J493=Sheet2!$A$2, ROW(), "")</f>
        <v/>
      </c>
      <c r="Q493" s="23" t="s">
        <v>2474</v>
      </c>
    </row>
    <row r="494" spans="1:17" ht="14" customHeight="1" x14ac:dyDescent="0.3">
      <c r="A494" s="1" t="s">
        <v>716</v>
      </c>
      <c r="B494" s="1">
        <v>39</v>
      </c>
      <c r="C494" s="1" t="s">
        <v>717</v>
      </c>
      <c r="D494" s="1">
        <v>185</v>
      </c>
      <c r="E494" s="1">
        <v>76</v>
      </c>
      <c r="F494" s="1">
        <v>105</v>
      </c>
      <c r="G494" s="1">
        <v>136</v>
      </c>
      <c r="H494" s="1" t="s">
        <v>260</v>
      </c>
      <c r="I494" s="1">
        <v>120</v>
      </c>
      <c r="J494" s="1" t="s">
        <v>11</v>
      </c>
      <c r="K494" s="1">
        <v>3</v>
      </c>
      <c r="L494" s="1">
        <f t="shared" si="7"/>
        <v>600</v>
      </c>
      <c r="M494" s="1" t="s">
        <v>38</v>
      </c>
      <c r="N494" s="1"/>
      <c r="O494" s="12" t="str">
        <f>IF($J494=Sheet2!$A$2, ROW(), "")</f>
        <v/>
      </c>
      <c r="Q494" s="23" t="s">
        <v>2475</v>
      </c>
    </row>
    <row r="495" spans="1:17" ht="14" customHeight="1" x14ac:dyDescent="0.3">
      <c r="A495" s="1" t="s">
        <v>718</v>
      </c>
      <c r="B495" s="1">
        <v>34</v>
      </c>
      <c r="C495" s="1" t="s">
        <v>563</v>
      </c>
      <c r="D495" s="1">
        <v>180</v>
      </c>
      <c r="E495" s="1">
        <v>80</v>
      </c>
      <c r="F495" s="1">
        <v>104</v>
      </c>
      <c r="G495" s="1">
        <v>118</v>
      </c>
      <c r="H495" s="1" t="s">
        <v>260</v>
      </c>
      <c r="I495" s="1">
        <v>80</v>
      </c>
      <c r="J495" s="1" t="s">
        <v>1735</v>
      </c>
      <c r="K495" s="1">
        <v>4</v>
      </c>
      <c r="L495" s="1">
        <f t="shared" si="7"/>
        <v>400</v>
      </c>
      <c r="M495" s="1" t="s">
        <v>38</v>
      </c>
      <c r="N495" s="1"/>
      <c r="O495" s="12" t="str">
        <f>IF($J495=Sheet2!$A$2, ROW(), "")</f>
        <v/>
      </c>
      <c r="Q495" s="23" t="s">
        <v>2476</v>
      </c>
    </row>
    <row r="496" spans="1:17" ht="14" customHeight="1" x14ac:dyDescent="0.3">
      <c r="A496" s="1" t="s">
        <v>719</v>
      </c>
      <c r="B496" s="1">
        <v>26</v>
      </c>
      <c r="C496" s="1" t="s">
        <v>285</v>
      </c>
      <c r="D496" s="1">
        <v>196</v>
      </c>
      <c r="E496" s="1">
        <v>74</v>
      </c>
      <c r="F496" s="1">
        <v>128</v>
      </c>
      <c r="G496" s="1">
        <v>146</v>
      </c>
      <c r="H496" s="1" t="s">
        <v>1</v>
      </c>
      <c r="I496" s="1">
        <v>35</v>
      </c>
      <c r="J496" s="1" t="s">
        <v>1848</v>
      </c>
      <c r="K496" s="1">
        <v>5</v>
      </c>
      <c r="L496" s="1">
        <f t="shared" si="7"/>
        <v>175</v>
      </c>
      <c r="M496" s="1" t="s">
        <v>38</v>
      </c>
      <c r="N496" s="1"/>
      <c r="O496" s="12" t="str">
        <f>IF($J496=Sheet2!$A$2, ROW(), "")</f>
        <v/>
      </c>
      <c r="Q496" s="23" t="s">
        <v>2477</v>
      </c>
    </row>
    <row r="497" spans="1:17" ht="14" customHeight="1" x14ac:dyDescent="0.3">
      <c r="A497" s="1" t="s">
        <v>720</v>
      </c>
      <c r="B497" s="1">
        <v>31</v>
      </c>
      <c r="C497" s="1" t="s">
        <v>563</v>
      </c>
      <c r="D497" s="1">
        <v>195</v>
      </c>
      <c r="E497" s="1">
        <v>78</v>
      </c>
      <c r="F497" s="1">
        <v>96</v>
      </c>
      <c r="G497" s="1">
        <v>114</v>
      </c>
      <c r="H497" s="1" t="s">
        <v>1</v>
      </c>
      <c r="I497" s="1">
        <v>100</v>
      </c>
      <c r="J497" s="1" t="s">
        <v>303</v>
      </c>
      <c r="K497" s="1">
        <v>3</v>
      </c>
      <c r="L497" s="1">
        <f t="shared" si="7"/>
        <v>500</v>
      </c>
      <c r="M497" s="1" t="s">
        <v>38</v>
      </c>
      <c r="N497" s="1"/>
      <c r="O497" s="12" t="str">
        <f>IF($J497=Sheet2!$A$2, ROW(), "")</f>
        <v/>
      </c>
      <c r="Q497" s="23" t="s">
        <v>2478</v>
      </c>
    </row>
    <row r="498" spans="1:17" ht="14" customHeight="1" x14ac:dyDescent="0.3">
      <c r="A498" s="1" t="s">
        <v>721</v>
      </c>
      <c r="B498" s="1">
        <v>35</v>
      </c>
      <c r="C498" s="1" t="s">
        <v>563</v>
      </c>
      <c r="D498" s="1">
        <v>196</v>
      </c>
      <c r="E498" s="1">
        <v>78</v>
      </c>
      <c r="F498" s="1">
        <v>102</v>
      </c>
      <c r="G498" s="1">
        <v>112</v>
      </c>
      <c r="H498" s="1" t="s">
        <v>1</v>
      </c>
      <c r="I498" s="1">
        <v>120</v>
      </c>
      <c r="J498" s="1" t="s">
        <v>207</v>
      </c>
      <c r="K498" s="1">
        <v>3</v>
      </c>
      <c r="L498" s="1">
        <f t="shared" si="7"/>
        <v>600</v>
      </c>
      <c r="M498" s="1" t="s">
        <v>38</v>
      </c>
      <c r="N498" s="1"/>
      <c r="O498" s="12" t="str">
        <f>IF($J498=Sheet2!$A$2, ROW(), "")</f>
        <v/>
      </c>
      <c r="Q498" s="23" t="s">
        <v>2479</v>
      </c>
    </row>
    <row r="499" spans="1:17" ht="14" customHeight="1" x14ac:dyDescent="0.3">
      <c r="A499" s="1" t="s">
        <v>722</v>
      </c>
      <c r="B499" s="1">
        <v>29</v>
      </c>
      <c r="C499" s="1" t="s">
        <v>510</v>
      </c>
      <c r="D499" s="1">
        <v>186</v>
      </c>
      <c r="E499" s="1">
        <v>74</v>
      </c>
      <c r="F499" s="1">
        <v>112</v>
      </c>
      <c r="G499" s="1">
        <v>128</v>
      </c>
      <c r="H499" s="1" t="s">
        <v>332</v>
      </c>
      <c r="I499" s="1">
        <v>30</v>
      </c>
      <c r="J499" s="1" t="s">
        <v>1918</v>
      </c>
      <c r="K499" s="1">
        <v>3</v>
      </c>
      <c r="L499" s="1">
        <f t="shared" si="7"/>
        <v>150</v>
      </c>
      <c r="M499" s="1" t="s">
        <v>38</v>
      </c>
      <c r="N499" s="1"/>
      <c r="O499" s="12" t="str">
        <f>IF($J499=Sheet2!$A$2, ROW(), "")</f>
        <v/>
      </c>
      <c r="Q499" s="23" t="s">
        <v>2480</v>
      </c>
    </row>
    <row r="500" spans="1:17" ht="14" customHeight="1" x14ac:dyDescent="0.3">
      <c r="A500" s="1" t="s">
        <v>723</v>
      </c>
      <c r="B500" s="1">
        <v>29</v>
      </c>
      <c r="C500" s="1" t="s">
        <v>611</v>
      </c>
      <c r="D500" s="1">
        <v>184</v>
      </c>
      <c r="E500" s="1">
        <v>76</v>
      </c>
      <c r="F500" s="1">
        <v>112</v>
      </c>
      <c r="G500" s="1">
        <v>140</v>
      </c>
      <c r="H500" s="1" t="s">
        <v>724</v>
      </c>
      <c r="I500" s="1">
        <v>30</v>
      </c>
      <c r="J500" s="1" t="s">
        <v>1918</v>
      </c>
      <c r="K500" s="1">
        <v>5</v>
      </c>
      <c r="L500" s="1">
        <f t="shared" si="7"/>
        <v>150</v>
      </c>
      <c r="M500" s="1" t="s">
        <v>38</v>
      </c>
      <c r="N500" s="1"/>
      <c r="O500" s="12" t="str">
        <f>IF($J500=Sheet2!$A$2, ROW(), "")</f>
        <v/>
      </c>
      <c r="Q500" s="23" t="s">
        <v>2481</v>
      </c>
    </row>
    <row r="501" spans="1:17" ht="14" customHeight="1" x14ac:dyDescent="0.3">
      <c r="A501" s="1" t="s">
        <v>725</v>
      </c>
      <c r="B501" s="1">
        <v>32</v>
      </c>
      <c r="C501" s="1" t="s">
        <v>726</v>
      </c>
      <c r="D501" s="1">
        <v>185</v>
      </c>
      <c r="E501" s="1">
        <v>80</v>
      </c>
      <c r="F501" s="1">
        <v>108</v>
      </c>
      <c r="G501" s="1">
        <v>128</v>
      </c>
      <c r="H501" s="1" t="s">
        <v>727</v>
      </c>
      <c r="I501" s="1">
        <v>120</v>
      </c>
      <c r="J501" s="1" t="s">
        <v>225</v>
      </c>
      <c r="K501" s="1">
        <v>4</v>
      </c>
      <c r="L501" s="1">
        <f t="shared" si="7"/>
        <v>600</v>
      </c>
      <c r="M501" s="1" t="s">
        <v>38</v>
      </c>
      <c r="N501" s="1"/>
      <c r="O501" s="12" t="str">
        <f>IF($J501=Sheet2!$A$2, ROW(), "")</f>
        <v/>
      </c>
      <c r="Q501" s="23" t="s">
        <v>2482</v>
      </c>
    </row>
    <row r="502" spans="1:17" ht="14" customHeight="1" x14ac:dyDescent="0.3">
      <c r="A502" s="1" t="s">
        <v>728</v>
      </c>
      <c r="B502" s="1">
        <v>22</v>
      </c>
      <c r="C502" s="1" t="s">
        <v>499</v>
      </c>
      <c r="D502" s="1">
        <v>192</v>
      </c>
      <c r="E502" s="1">
        <v>85</v>
      </c>
      <c r="F502" s="1">
        <v>125</v>
      </c>
      <c r="G502" s="1">
        <v>140</v>
      </c>
      <c r="H502" s="1" t="s">
        <v>3335</v>
      </c>
      <c r="I502" s="1">
        <v>200</v>
      </c>
      <c r="J502" s="1" t="s">
        <v>1841</v>
      </c>
      <c r="K502" s="1">
        <v>6</v>
      </c>
      <c r="L502" s="1">
        <f t="shared" si="7"/>
        <v>1000</v>
      </c>
      <c r="M502" s="1" t="s">
        <v>38</v>
      </c>
      <c r="N502" s="1"/>
      <c r="O502" s="12" t="str">
        <f>IF($J502=Sheet2!$A$2, ROW(), "")</f>
        <v/>
      </c>
      <c r="Q502" s="23" t="s">
        <v>2483</v>
      </c>
    </row>
    <row r="503" spans="1:17" ht="14" customHeight="1" x14ac:dyDescent="0.3">
      <c r="A503" s="1" t="s">
        <v>729</v>
      </c>
      <c r="B503" s="1">
        <v>32</v>
      </c>
      <c r="C503" s="1" t="s">
        <v>730</v>
      </c>
      <c r="D503" s="1">
        <v>180</v>
      </c>
      <c r="E503" s="1">
        <v>68</v>
      </c>
      <c r="F503" s="1">
        <v>114</v>
      </c>
      <c r="G503" s="1">
        <v>128</v>
      </c>
      <c r="H503" s="1" t="s">
        <v>260</v>
      </c>
      <c r="I503" s="1">
        <v>60</v>
      </c>
      <c r="J503" s="1" t="s">
        <v>268</v>
      </c>
      <c r="K503" s="1">
        <v>5</v>
      </c>
      <c r="L503" s="1">
        <f t="shared" si="7"/>
        <v>300</v>
      </c>
      <c r="M503" s="1" t="s">
        <v>38</v>
      </c>
      <c r="N503" s="1"/>
      <c r="O503" s="12" t="str">
        <f>IF($J503=Sheet2!$A$2, ROW(), "")</f>
        <v/>
      </c>
      <c r="Q503" s="23" t="s">
        <v>2484</v>
      </c>
    </row>
    <row r="504" spans="1:17" ht="14" customHeight="1" x14ac:dyDescent="0.3">
      <c r="A504" s="1" t="s">
        <v>731</v>
      </c>
      <c r="B504" s="1">
        <v>35</v>
      </c>
      <c r="C504" s="1" t="s">
        <v>732</v>
      </c>
      <c r="D504" s="1">
        <v>180</v>
      </c>
      <c r="E504" s="1">
        <v>73</v>
      </c>
      <c r="F504" s="1">
        <v>102</v>
      </c>
      <c r="G504" s="1">
        <v>116</v>
      </c>
      <c r="H504" s="1" t="s">
        <v>247</v>
      </c>
      <c r="I504" s="1">
        <v>60</v>
      </c>
      <c r="J504" s="1" t="s">
        <v>1735</v>
      </c>
      <c r="K504" s="1">
        <v>4</v>
      </c>
      <c r="L504" s="1">
        <f t="shared" si="7"/>
        <v>300</v>
      </c>
      <c r="M504" s="1" t="s">
        <v>38</v>
      </c>
      <c r="N504" s="1"/>
      <c r="O504" s="12" t="str">
        <f>IF($J504=Sheet2!$A$2, ROW(), "")</f>
        <v/>
      </c>
      <c r="Q504" s="23" t="s">
        <v>2485</v>
      </c>
    </row>
    <row r="505" spans="1:17" ht="14" customHeight="1" x14ac:dyDescent="0.3">
      <c r="A505" s="1" t="s">
        <v>733</v>
      </c>
      <c r="B505" s="1">
        <v>29</v>
      </c>
      <c r="C505" s="1" t="s">
        <v>734</v>
      </c>
      <c r="D505" s="1">
        <v>168</v>
      </c>
      <c r="E505" s="1">
        <v>68</v>
      </c>
      <c r="F505" s="1">
        <v>114</v>
      </c>
      <c r="G505" s="1">
        <v>122</v>
      </c>
      <c r="H505" s="1" t="s">
        <v>735</v>
      </c>
      <c r="I505" s="1">
        <v>80</v>
      </c>
      <c r="J505" s="1" t="s">
        <v>1718</v>
      </c>
      <c r="K505" s="1">
        <v>5</v>
      </c>
      <c r="L505" s="1">
        <f t="shared" si="7"/>
        <v>400</v>
      </c>
      <c r="M505" s="1" t="s">
        <v>38</v>
      </c>
      <c r="N505" s="1"/>
      <c r="O505" s="12" t="str">
        <f>IF($J505=Sheet2!$A$2, ROW(), "")</f>
        <v/>
      </c>
      <c r="Q505" s="23" t="s">
        <v>2486</v>
      </c>
    </row>
    <row r="506" spans="1:17" ht="14" customHeight="1" x14ac:dyDescent="0.3">
      <c r="A506" s="1" t="s">
        <v>736</v>
      </c>
      <c r="B506" s="1">
        <v>35</v>
      </c>
      <c r="C506" s="1" t="s">
        <v>287</v>
      </c>
      <c r="D506" s="1">
        <v>185</v>
      </c>
      <c r="E506" s="1">
        <v>76</v>
      </c>
      <c r="F506" s="1">
        <v>110</v>
      </c>
      <c r="G506" s="1">
        <v>136</v>
      </c>
      <c r="H506" s="1" t="s">
        <v>251</v>
      </c>
      <c r="I506" s="1">
        <v>180</v>
      </c>
      <c r="J506" s="1" t="s">
        <v>3246</v>
      </c>
      <c r="K506" s="1">
        <v>5.5</v>
      </c>
      <c r="L506" s="1">
        <f t="shared" si="7"/>
        <v>900</v>
      </c>
      <c r="M506" s="1" t="s">
        <v>38</v>
      </c>
      <c r="N506" s="1"/>
      <c r="O506" s="12" t="str">
        <f>IF($J506=Sheet2!$A$2, ROW(), "")</f>
        <v/>
      </c>
      <c r="Q506" s="23" t="s">
        <v>2487</v>
      </c>
    </row>
    <row r="507" spans="1:17" ht="14" customHeight="1" x14ac:dyDescent="0.3">
      <c r="A507" s="1" t="s">
        <v>738</v>
      </c>
      <c r="B507" s="1">
        <v>32</v>
      </c>
      <c r="C507" s="1" t="s">
        <v>734</v>
      </c>
      <c r="D507" s="1">
        <v>168</v>
      </c>
      <c r="E507" s="1">
        <v>60</v>
      </c>
      <c r="F507" s="1">
        <v>112</v>
      </c>
      <c r="G507" s="1">
        <v>134</v>
      </c>
      <c r="H507" s="1" t="s">
        <v>739</v>
      </c>
      <c r="I507" s="1">
        <v>60</v>
      </c>
      <c r="J507" s="1" t="s">
        <v>1718</v>
      </c>
      <c r="K507" s="1">
        <v>5</v>
      </c>
      <c r="L507" s="1">
        <f t="shared" si="7"/>
        <v>300</v>
      </c>
      <c r="M507" s="1" t="s">
        <v>38</v>
      </c>
      <c r="N507" s="1"/>
      <c r="O507" s="12" t="str">
        <f>IF($J507=Sheet2!$A$2, ROW(), "")</f>
        <v/>
      </c>
      <c r="Q507" s="23" t="s">
        <v>2488</v>
      </c>
    </row>
    <row r="508" spans="1:17" ht="14" customHeight="1" x14ac:dyDescent="0.3">
      <c r="A508" s="1" t="s">
        <v>740</v>
      </c>
      <c r="B508" s="1">
        <v>36</v>
      </c>
      <c r="C508" s="1" t="s">
        <v>287</v>
      </c>
      <c r="D508" s="1">
        <v>178</v>
      </c>
      <c r="E508" s="1">
        <v>77</v>
      </c>
      <c r="F508" s="1">
        <v>104</v>
      </c>
      <c r="G508" s="1">
        <v>126</v>
      </c>
      <c r="H508" s="1" t="s">
        <v>357</v>
      </c>
      <c r="I508" s="1">
        <v>180</v>
      </c>
      <c r="J508" s="1" t="s">
        <v>207</v>
      </c>
      <c r="K508" s="1">
        <v>4.5</v>
      </c>
      <c r="L508" s="1">
        <f t="shared" si="7"/>
        <v>900</v>
      </c>
      <c r="M508" s="1" t="s">
        <v>38</v>
      </c>
      <c r="N508" s="1"/>
      <c r="O508" s="12" t="str">
        <f>IF($J508=Sheet2!$A$2, ROW(), "")</f>
        <v/>
      </c>
      <c r="Q508" s="23" t="s">
        <v>2489</v>
      </c>
    </row>
    <row r="509" spans="1:17" ht="14" customHeight="1" x14ac:dyDescent="0.3">
      <c r="A509" s="1" t="s">
        <v>741</v>
      </c>
      <c r="B509" s="1">
        <v>22</v>
      </c>
      <c r="C509" s="1" t="s">
        <v>563</v>
      </c>
      <c r="D509" s="1">
        <v>182</v>
      </c>
      <c r="E509" s="1">
        <v>78</v>
      </c>
      <c r="F509" s="1">
        <v>132</v>
      </c>
      <c r="G509" s="1">
        <v>132</v>
      </c>
      <c r="H509" s="1" t="s">
        <v>357</v>
      </c>
      <c r="I509" s="1">
        <v>24</v>
      </c>
      <c r="J509" s="1" t="s">
        <v>248</v>
      </c>
      <c r="K509" s="1">
        <v>7</v>
      </c>
      <c r="L509" s="1">
        <f t="shared" si="7"/>
        <v>120</v>
      </c>
      <c r="M509" s="1" t="s">
        <v>38</v>
      </c>
      <c r="N509" s="1"/>
      <c r="O509" s="12">
        <f>IF($J509=Sheet2!$A$2, ROW(), "")</f>
        <v>509</v>
      </c>
      <c r="Q509" s="23" t="s">
        <v>2490</v>
      </c>
    </row>
    <row r="510" spans="1:17" ht="14" customHeight="1" x14ac:dyDescent="0.3">
      <c r="A510" s="1" t="s">
        <v>742</v>
      </c>
      <c r="B510" s="1">
        <v>22</v>
      </c>
      <c r="C510" s="1" t="s">
        <v>295</v>
      </c>
      <c r="D510" s="1">
        <v>186</v>
      </c>
      <c r="E510" s="1">
        <v>76</v>
      </c>
      <c r="F510" s="1">
        <v>130</v>
      </c>
      <c r="G510" s="1">
        <v>130</v>
      </c>
      <c r="H510" s="1" t="s">
        <v>743</v>
      </c>
      <c r="I510" s="1">
        <v>50</v>
      </c>
      <c r="J510" s="1" t="s">
        <v>315</v>
      </c>
      <c r="K510" s="1">
        <v>5</v>
      </c>
      <c r="L510" s="1">
        <f t="shared" si="7"/>
        <v>250</v>
      </c>
      <c r="M510" s="1" t="s">
        <v>98</v>
      </c>
      <c r="N510" s="1"/>
      <c r="O510" s="12" t="str">
        <f>IF($J510=Sheet2!$A$2, ROW(), "")</f>
        <v/>
      </c>
      <c r="Q510" s="23" t="s">
        <v>2491</v>
      </c>
    </row>
    <row r="511" spans="1:17" ht="14" customHeight="1" x14ac:dyDescent="0.3">
      <c r="A511" s="1" t="s">
        <v>744</v>
      </c>
      <c r="B511" s="1">
        <v>21</v>
      </c>
      <c r="C511" s="1" t="s">
        <v>745</v>
      </c>
      <c r="D511" s="1">
        <v>167</v>
      </c>
      <c r="E511" s="1">
        <v>63</v>
      </c>
      <c r="F511" s="1">
        <v>129</v>
      </c>
      <c r="G511" s="1">
        <v>140</v>
      </c>
      <c r="H511" s="1" t="s">
        <v>746</v>
      </c>
      <c r="I511" s="1">
        <v>100</v>
      </c>
      <c r="J511" s="1" t="s">
        <v>1717</v>
      </c>
      <c r="K511" s="1">
        <v>7</v>
      </c>
      <c r="L511" s="1">
        <f t="shared" si="7"/>
        <v>500</v>
      </c>
      <c r="M511" s="1" t="s">
        <v>38</v>
      </c>
      <c r="N511" s="1"/>
      <c r="O511" s="12" t="str">
        <f>IF($J511=Sheet2!$A$2, ROW(), "")</f>
        <v/>
      </c>
      <c r="Q511" s="23" t="s">
        <v>2492</v>
      </c>
    </row>
    <row r="512" spans="1:17" ht="14" customHeight="1" x14ac:dyDescent="0.3">
      <c r="A512" s="1" t="s">
        <v>747</v>
      </c>
      <c r="B512" s="1">
        <v>21</v>
      </c>
      <c r="C512" s="1" t="s">
        <v>748</v>
      </c>
      <c r="D512" s="1">
        <v>191</v>
      </c>
      <c r="E512" s="1">
        <v>78</v>
      </c>
      <c r="F512" s="1">
        <v>123</v>
      </c>
      <c r="G512" s="1">
        <v>123</v>
      </c>
      <c r="H512" s="1" t="s">
        <v>1</v>
      </c>
      <c r="I512" s="1">
        <v>70</v>
      </c>
      <c r="J512" s="1" t="s">
        <v>111</v>
      </c>
      <c r="K512" s="1">
        <v>5</v>
      </c>
      <c r="L512" s="1">
        <f t="shared" si="7"/>
        <v>350</v>
      </c>
      <c r="M512" s="1" t="s">
        <v>38</v>
      </c>
      <c r="N512" s="1"/>
      <c r="O512" s="12" t="str">
        <f>IF($J512=Sheet2!$A$2, ROW(), "")</f>
        <v/>
      </c>
      <c r="Q512" s="23" t="s">
        <v>2493</v>
      </c>
    </row>
    <row r="513" spans="1:17" ht="14" customHeight="1" x14ac:dyDescent="0.3">
      <c r="A513" s="1" t="s">
        <v>749</v>
      </c>
      <c r="B513" s="1">
        <v>21</v>
      </c>
      <c r="C513" s="1" t="s">
        <v>750</v>
      </c>
      <c r="D513" s="1">
        <v>190</v>
      </c>
      <c r="E513" s="1">
        <v>75</v>
      </c>
      <c r="F513" s="1">
        <v>125</v>
      </c>
      <c r="G513" s="1">
        <v>125</v>
      </c>
      <c r="H513" s="1" t="s">
        <v>751</v>
      </c>
      <c r="I513" s="1">
        <v>100</v>
      </c>
      <c r="J513" s="1" t="s">
        <v>1659</v>
      </c>
      <c r="K513" s="1">
        <v>5</v>
      </c>
      <c r="L513" s="1">
        <f t="shared" si="7"/>
        <v>500</v>
      </c>
      <c r="M513" s="1" t="s">
        <v>98</v>
      </c>
      <c r="N513" s="1"/>
      <c r="O513" s="12" t="str">
        <f>IF($J513=Sheet2!$A$2, ROW(), "")</f>
        <v/>
      </c>
      <c r="Q513" s="23" t="s">
        <v>2494</v>
      </c>
    </row>
    <row r="514" spans="1:17" ht="14" customHeight="1" x14ac:dyDescent="0.3">
      <c r="A514" s="1" t="s">
        <v>752</v>
      </c>
      <c r="B514" s="1">
        <v>20</v>
      </c>
      <c r="C514" s="1" t="s">
        <v>0</v>
      </c>
      <c r="D514" s="1">
        <v>176</v>
      </c>
      <c r="E514" s="1">
        <v>75</v>
      </c>
      <c r="F514" s="1">
        <v>120</v>
      </c>
      <c r="G514" s="1">
        <v>120</v>
      </c>
      <c r="H514" s="1" t="s">
        <v>247</v>
      </c>
      <c r="I514" s="1">
        <v>100</v>
      </c>
      <c r="J514" s="1" t="s">
        <v>1659</v>
      </c>
      <c r="K514" s="1">
        <v>5</v>
      </c>
      <c r="L514" s="1">
        <f t="shared" ref="L514:L577" si="8">I514*5</f>
        <v>500</v>
      </c>
      <c r="M514" s="1" t="s">
        <v>98</v>
      </c>
      <c r="N514" s="1"/>
      <c r="O514" s="12" t="str">
        <f>IF($J514=Sheet2!$A$2, ROW(), "")</f>
        <v/>
      </c>
      <c r="Q514" s="23" t="s">
        <v>2495</v>
      </c>
    </row>
    <row r="515" spans="1:17" ht="14" customHeight="1" x14ac:dyDescent="0.3">
      <c r="A515" s="1" t="s">
        <v>753</v>
      </c>
      <c r="B515" s="1">
        <v>23</v>
      </c>
      <c r="C515" s="1" t="s">
        <v>0</v>
      </c>
      <c r="D515" s="1">
        <v>176</v>
      </c>
      <c r="E515" s="1">
        <v>78</v>
      </c>
      <c r="F515" s="1">
        <v>115</v>
      </c>
      <c r="G515" s="1">
        <v>115</v>
      </c>
      <c r="H515" s="1" t="s">
        <v>247</v>
      </c>
      <c r="I515" s="1">
        <v>24</v>
      </c>
      <c r="J515" s="1" t="s">
        <v>111</v>
      </c>
      <c r="K515" s="1">
        <v>5</v>
      </c>
      <c r="L515" s="1">
        <f t="shared" si="8"/>
        <v>120</v>
      </c>
      <c r="M515" s="1" t="s">
        <v>98</v>
      </c>
      <c r="N515" s="1"/>
      <c r="O515" s="12" t="str">
        <f>IF($J515=Sheet2!$A$2, ROW(), "")</f>
        <v/>
      </c>
      <c r="Q515" s="23" t="s">
        <v>2496</v>
      </c>
    </row>
    <row r="516" spans="1:17" ht="14" customHeight="1" x14ac:dyDescent="0.3">
      <c r="A516" s="1" t="s">
        <v>754</v>
      </c>
      <c r="B516" s="1">
        <v>21</v>
      </c>
      <c r="C516" s="1" t="s">
        <v>755</v>
      </c>
      <c r="D516" s="1">
        <v>183</v>
      </c>
      <c r="E516" s="1">
        <v>86</v>
      </c>
      <c r="F516" s="1">
        <v>108</v>
      </c>
      <c r="G516" s="1">
        <v>108</v>
      </c>
      <c r="H516" s="1" t="s">
        <v>260</v>
      </c>
      <c r="I516" s="1">
        <v>24</v>
      </c>
      <c r="J516" s="1" t="s">
        <v>111</v>
      </c>
      <c r="K516" s="1">
        <v>5</v>
      </c>
      <c r="L516" s="1">
        <f t="shared" si="8"/>
        <v>120</v>
      </c>
      <c r="M516" s="1" t="s">
        <v>98</v>
      </c>
      <c r="N516" s="1"/>
      <c r="O516" s="12" t="str">
        <f>IF($J516=Sheet2!$A$2, ROW(), "")</f>
        <v/>
      </c>
      <c r="Q516" s="23" t="s">
        <v>2497</v>
      </c>
    </row>
    <row r="517" spans="1:17" ht="14" customHeight="1" x14ac:dyDescent="0.3">
      <c r="A517" s="1" t="s">
        <v>756</v>
      </c>
      <c r="B517" s="1">
        <v>31</v>
      </c>
      <c r="C517" s="1" t="s">
        <v>287</v>
      </c>
      <c r="D517" s="1">
        <v>184</v>
      </c>
      <c r="E517" s="1">
        <v>75</v>
      </c>
      <c r="F517" s="1">
        <v>104</v>
      </c>
      <c r="G517" s="1">
        <v>130</v>
      </c>
      <c r="H517" s="1" t="s">
        <v>260</v>
      </c>
      <c r="I517" s="1">
        <v>200</v>
      </c>
      <c r="J517" s="1" t="s">
        <v>238</v>
      </c>
      <c r="K517" s="1">
        <v>4</v>
      </c>
      <c r="L517" s="1">
        <f t="shared" si="8"/>
        <v>1000</v>
      </c>
      <c r="M517" s="1" t="s">
        <v>38</v>
      </c>
      <c r="N517" s="1"/>
      <c r="O517" s="12" t="str">
        <f>IF($J517=Sheet2!$A$2, ROW(), "")</f>
        <v/>
      </c>
      <c r="Q517" s="23" t="s">
        <v>2498</v>
      </c>
    </row>
    <row r="518" spans="1:17" ht="14" customHeight="1" x14ac:dyDescent="0.3">
      <c r="A518" s="1" t="s">
        <v>757</v>
      </c>
      <c r="B518" s="1">
        <v>31</v>
      </c>
      <c r="C518" s="1" t="s">
        <v>563</v>
      </c>
      <c r="D518" s="1">
        <v>180</v>
      </c>
      <c r="E518" s="1">
        <v>72</v>
      </c>
      <c r="F518" s="1">
        <v>94</v>
      </c>
      <c r="G518" s="1">
        <v>104</v>
      </c>
      <c r="H518" s="1" t="s">
        <v>758</v>
      </c>
      <c r="I518" s="1">
        <v>120</v>
      </c>
      <c r="J518" s="1" t="s">
        <v>1718</v>
      </c>
      <c r="K518" s="1">
        <v>4.5</v>
      </c>
      <c r="L518" s="1">
        <f t="shared" si="8"/>
        <v>600</v>
      </c>
      <c r="M518" s="1" t="s">
        <v>38</v>
      </c>
      <c r="N518" s="1"/>
      <c r="O518" s="12" t="str">
        <f>IF($J518=Sheet2!$A$2, ROW(), "")</f>
        <v/>
      </c>
      <c r="Q518" s="23" t="s">
        <v>2499</v>
      </c>
    </row>
    <row r="519" spans="1:17" ht="14" customHeight="1" x14ac:dyDescent="0.3">
      <c r="A519" s="1" t="s">
        <v>759</v>
      </c>
      <c r="B519" s="1">
        <v>32</v>
      </c>
      <c r="C519" s="1" t="s">
        <v>563</v>
      </c>
      <c r="D519" s="1">
        <v>180</v>
      </c>
      <c r="E519" s="1">
        <v>72</v>
      </c>
      <c r="F519" s="1">
        <v>90</v>
      </c>
      <c r="G519" s="1">
        <v>104</v>
      </c>
      <c r="H519" s="1" t="s">
        <v>1</v>
      </c>
      <c r="I519" s="1">
        <v>100</v>
      </c>
      <c r="J519" s="1" t="s">
        <v>1718</v>
      </c>
      <c r="K519" s="1">
        <v>4.5</v>
      </c>
      <c r="L519" s="1">
        <f t="shared" si="8"/>
        <v>500</v>
      </c>
      <c r="M519" s="1" t="s">
        <v>38</v>
      </c>
      <c r="N519" s="1"/>
      <c r="O519" s="12" t="str">
        <f>IF($J519=Sheet2!$A$2, ROW(), "")</f>
        <v/>
      </c>
      <c r="Q519" s="23" t="s">
        <v>2500</v>
      </c>
    </row>
    <row r="520" spans="1:17" ht="14" customHeight="1" x14ac:dyDescent="0.3">
      <c r="A520" s="1" t="s">
        <v>760</v>
      </c>
      <c r="B520" s="1">
        <v>30</v>
      </c>
      <c r="C520" s="1" t="s">
        <v>563</v>
      </c>
      <c r="D520" s="1">
        <v>186</v>
      </c>
      <c r="E520" s="1">
        <v>74</v>
      </c>
      <c r="F520" s="1">
        <v>84</v>
      </c>
      <c r="G520" s="1">
        <v>104</v>
      </c>
      <c r="H520" s="1" t="s">
        <v>761</v>
      </c>
      <c r="I520" s="1">
        <v>100</v>
      </c>
      <c r="J520" s="1" t="s">
        <v>1762</v>
      </c>
      <c r="K520" s="1">
        <v>4.5</v>
      </c>
      <c r="L520" s="1">
        <f t="shared" si="8"/>
        <v>500</v>
      </c>
      <c r="M520" s="1" t="s">
        <v>38</v>
      </c>
      <c r="N520" s="1"/>
      <c r="O520" s="12" t="str">
        <f>IF($J520=Sheet2!$A$2, ROW(), "")</f>
        <v/>
      </c>
      <c r="Q520" s="23" t="s">
        <v>2501</v>
      </c>
    </row>
    <row r="521" spans="1:17" ht="14" customHeight="1" x14ac:dyDescent="0.3">
      <c r="A521" s="1" t="s">
        <v>762</v>
      </c>
      <c r="B521" s="1">
        <v>41</v>
      </c>
      <c r="C521" s="1" t="s">
        <v>563</v>
      </c>
      <c r="D521" s="1">
        <v>183</v>
      </c>
      <c r="E521" s="1">
        <v>76</v>
      </c>
      <c r="F521" s="1">
        <v>94</v>
      </c>
      <c r="G521" s="1">
        <v>106</v>
      </c>
      <c r="H521" s="1" t="s">
        <v>763</v>
      </c>
      <c r="I521" s="1">
        <v>100</v>
      </c>
      <c r="J521" s="1" t="s">
        <v>207</v>
      </c>
      <c r="K521" s="1">
        <v>4.5</v>
      </c>
      <c r="L521" s="1">
        <f t="shared" si="8"/>
        <v>500</v>
      </c>
      <c r="M521" s="1" t="s">
        <v>38</v>
      </c>
      <c r="N521" s="1"/>
      <c r="O521" s="12" t="str">
        <f>IF($J521=Sheet2!$A$2, ROW(), "")</f>
        <v/>
      </c>
      <c r="Q521" s="23" t="s">
        <v>2502</v>
      </c>
    </row>
    <row r="522" spans="1:17" ht="14" customHeight="1" x14ac:dyDescent="0.3">
      <c r="A522" s="1" t="s">
        <v>764</v>
      </c>
      <c r="B522" s="1">
        <v>32</v>
      </c>
      <c r="C522" s="1" t="s">
        <v>563</v>
      </c>
      <c r="D522" s="1">
        <v>184</v>
      </c>
      <c r="E522" s="1">
        <v>70</v>
      </c>
      <c r="F522" s="1">
        <v>94</v>
      </c>
      <c r="G522" s="1">
        <v>104</v>
      </c>
      <c r="H522" s="1" t="s">
        <v>630</v>
      </c>
      <c r="I522" s="1">
        <v>100</v>
      </c>
      <c r="J522" s="1" t="s">
        <v>1762</v>
      </c>
      <c r="K522" s="1">
        <v>4.5</v>
      </c>
      <c r="L522" s="1">
        <f t="shared" si="8"/>
        <v>500</v>
      </c>
      <c r="M522" s="1" t="s">
        <v>38</v>
      </c>
      <c r="N522" s="1"/>
      <c r="O522" s="12" t="str">
        <f>IF($J522=Sheet2!$A$2, ROW(), "")</f>
        <v/>
      </c>
      <c r="Q522" s="23" t="s">
        <v>2503</v>
      </c>
    </row>
    <row r="523" spans="1:17" ht="14" customHeight="1" x14ac:dyDescent="0.3">
      <c r="A523" s="1" t="s">
        <v>765</v>
      </c>
      <c r="B523" s="1">
        <v>29</v>
      </c>
      <c r="C523" s="1" t="s">
        <v>563</v>
      </c>
      <c r="D523" s="1">
        <v>179</v>
      </c>
      <c r="E523" s="1">
        <v>73</v>
      </c>
      <c r="F523" s="1">
        <v>92</v>
      </c>
      <c r="G523" s="1">
        <v>114</v>
      </c>
      <c r="H523" s="1" t="s">
        <v>766</v>
      </c>
      <c r="I523" s="1">
        <v>100</v>
      </c>
      <c r="J523" s="1" t="s">
        <v>1762</v>
      </c>
      <c r="K523" s="1">
        <v>4.5</v>
      </c>
      <c r="L523" s="1">
        <f t="shared" si="8"/>
        <v>500</v>
      </c>
      <c r="M523" s="1" t="s">
        <v>38</v>
      </c>
      <c r="N523" s="1"/>
      <c r="O523" s="12" t="str">
        <f>IF($J523=Sheet2!$A$2, ROW(), "")</f>
        <v/>
      </c>
      <c r="Q523" s="23" t="s">
        <v>2504</v>
      </c>
    </row>
    <row r="524" spans="1:17" ht="14" customHeight="1" x14ac:dyDescent="0.3">
      <c r="A524" s="1" t="s">
        <v>767</v>
      </c>
      <c r="B524" s="1">
        <v>36</v>
      </c>
      <c r="C524" s="1" t="s">
        <v>230</v>
      </c>
      <c r="D524" s="1">
        <v>183</v>
      </c>
      <c r="E524" s="1">
        <v>80</v>
      </c>
      <c r="F524" s="1">
        <v>105</v>
      </c>
      <c r="G524" s="1">
        <v>139</v>
      </c>
      <c r="H524" s="1" t="s">
        <v>247</v>
      </c>
      <c r="I524" s="1">
        <v>24</v>
      </c>
      <c r="J524" s="1" t="s">
        <v>1783</v>
      </c>
      <c r="K524" s="1">
        <v>5.5</v>
      </c>
      <c r="L524" s="1">
        <f t="shared" si="8"/>
        <v>120</v>
      </c>
      <c r="M524" s="1" t="s">
        <v>98</v>
      </c>
      <c r="N524" s="1"/>
      <c r="O524" s="12" t="str">
        <f>IF($J524=Sheet2!$A$2, ROW(), "")</f>
        <v/>
      </c>
      <c r="Q524" s="23" t="s">
        <v>2505</v>
      </c>
    </row>
    <row r="525" spans="1:17" ht="14" customHeight="1" x14ac:dyDescent="0.3">
      <c r="A525" s="1" t="s">
        <v>768</v>
      </c>
      <c r="B525" s="1">
        <v>26</v>
      </c>
      <c r="C525" s="1" t="s">
        <v>769</v>
      </c>
      <c r="D525" s="1">
        <v>171</v>
      </c>
      <c r="E525" s="1">
        <v>76</v>
      </c>
      <c r="F525" s="1">
        <v>139</v>
      </c>
      <c r="G525" s="1">
        <v>147</v>
      </c>
      <c r="H525" s="1" t="s">
        <v>770</v>
      </c>
      <c r="I525" s="1">
        <v>220</v>
      </c>
      <c r="J525" s="1" t="s">
        <v>238</v>
      </c>
      <c r="K525" s="1">
        <v>5</v>
      </c>
      <c r="L525" s="1">
        <f t="shared" si="8"/>
        <v>1100</v>
      </c>
      <c r="M525" s="1" t="s">
        <v>98</v>
      </c>
      <c r="N525" s="1"/>
      <c r="O525" s="12" t="str">
        <f>IF($J525=Sheet2!$A$2, ROW(), "")</f>
        <v/>
      </c>
      <c r="Q525" s="23" t="s">
        <v>2506</v>
      </c>
    </row>
    <row r="526" spans="1:17" ht="14" customHeight="1" x14ac:dyDescent="0.3">
      <c r="A526" s="1" t="s">
        <v>771</v>
      </c>
      <c r="B526" s="1">
        <v>34</v>
      </c>
      <c r="C526" s="1" t="s">
        <v>287</v>
      </c>
      <c r="D526" s="1">
        <v>184</v>
      </c>
      <c r="E526" s="1">
        <v>79</v>
      </c>
      <c r="F526" s="1">
        <v>115</v>
      </c>
      <c r="G526" s="1">
        <v>132</v>
      </c>
      <c r="H526" s="1" t="s">
        <v>524</v>
      </c>
      <c r="I526" s="1">
        <v>200</v>
      </c>
      <c r="J526" s="1" t="s">
        <v>248</v>
      </c>
      <c r="K526" s="1">
        <v>5</v>
      </c>
      <c r="L526" s="1">
        <f t="shared" si="8"/>
        <v>1000</v>
      </c>
      <c r="M526" s="1" t="s">
        <v>38</v>
      </c>
      <c r="N526" s="1"/>
      <c r="O526" s="12">
        <f>IF($J526=Sheet2!$A$2, ROW(), "")</f>
        <v>526</v>
      </c>
      <c r="Q526" s="23" t="s">
        <v>2507</v>
      </c>
    </row>
    <row r="527" spans="1:17" ht="14" customHeight="1" x14ac:dyDescent="0.3">
      <c r="A527" s="1" t="s">
        <v>772</v>
      </c>
      <c r="B527" s="1">
        <v>27</v>
      </c>
      <c r="C527" s="1" t="s">
        <v>287</v>
      </c>
      <c r="D527" s="1">
        <v>188</v>
      </c>
      <c r="E527" s="1">
        <v>78</v>
      </c>
      <c r="F527" s="1">
        <v>116</v>
      </c>
      <c r="G527" s="1">
        <v>128</v>
      </c>
      <c r="H527" s="1" t="s">
        <v>260</v>
      </c>
      <c r="I527" s="1">
        <v>180</v>
      </c>
      <c r="J527" s="1" t="s">
        <v>225</v>
      </c>
      <c r="K527" s="1">
        <v>5</v>
      </c>
      <c r="L527" s="1">
        <f t="shared" si="8"/>
        <v>900</v>
      </c>
      <c r="M527" s="1" t="s">
        <v>38</v>
      </c>
      <c r="N527" s="1"/>
      <c r="O527" s="12" t="str">
        <f>IF($J527=Sheet2!$A$2, ROW(), "")</f>
        <v/>
      </c>
      <c r="Q527" s="23" t="s">
        <v>2508</v>
      </c>
    </row>
    <row r="528" spans="1:17" ht="14" customHeight="1" x14ac:dyDescent="0.3">
      <c r="A528" s="1" t="s">
        <v>773</v>
      </c>
      <c r="B528" s="1">
        <v>23</v>
      </c>
      <c r="C528" s="1" t="s">
        <v>774</v>
      </c>
      <c r="D528" s="1">
        <v>182</v>
      </c>
      <c r="E528" s="1">
        <v>74</v>
      </c>
      <c r="F528" s="1">
        <v>128</v>
      </c>
      <c r="G528" s="1">
        <v>140</v>
      </c>
      <c r="H528" s="1" t="s">
        <v>357</v>
      </c>
      <c r="I528" s="1">
        <v>35</v>
      </c>
      <c r="J528" s="1" t="s">
        <v>1848</v>
      </c>
      <c r="K528" s="1">
        <v>5</v>
      </c>
      <c r="L528" s="1">
        <f t="shared" si="8"/>
        <v>175</v>
      </c>
      <c r="M528" s="1" t="s">
        <v>38</v>
      </c>
      <c r="N528" s="1"/>
      <c r="O528" s="12" t="str">
        <f>IF($J528=Sheet2!$A$2, ROW(), "")</f>
        <v/>
      </c>
      <c r="Q528" s="23" t="s">
        <v>2509</v>
      </c>
    </row>
    <row r="529" spans="1:17" ht="14" customHeight="1" x14ac:dyDescent="0.3">
      <c r="A529" s="1" t="s">
        <v>775</v>
      </c>
      <c r="B529" s="1">
        <v>31</v>
      </c>
      <c r="C529" s="1" t="s">
        <v>611</v>
      </c>
      <c r="D529" s="1">
        <v>170</v>
      </c>
      <c r="E529" s="1">
        <v>68</v>
      </c>
      <c r="F529" s="1">
        <v>110</v>
      </c>
      <c r="G529" s="1">
        <v>142</v>
      </c>
      <c r="H529" s="1" t="s">
        <v>761</v>
      </c>
      <c r="I529" s="1">
        <v>200</v>
      </c>
      <c r="J529" s="1" t="s">
        <v>238</v>
      </c>
      <c r="K529" s="1">
        <v>3.5</v>
      </c>
      <c r="L529" s="1">
        <f t="shared" si="8"/>
        <v>1000</v>
      </c>
      <c r="M529" s="1" t="s">
        <v>38</v>
      </c>
      <c r="N529" s="1"/>
      <c r="O529" s="12" t="str">
        <f>IF($J529=Sheet2!$A$2, ROW(), "")</f>
        <v/>
      </c>
      <c r="Q529" s="23" t="s">
        <v>2510</v>
      </c>
    </row>
    <row r="530" spans="1:17" ht="14" customHeight="1" x14ac:dyDescent="0.3">
      <c r="A530" s="1" t="s">
        <v>776</v>
      </c>
      <c r="B530" s="1">
        <v>21</v>
      </c>
      <c r="C530" s="1" t="s">
        <v>287</v>
      </c>
      <c r="D530" s="1">
        <v>183</v>
      </c>
      <c r="E530" s="1">
        <v>74</v>
      </c>
      <c r="F530" s="1">
        <v>129</v>
      </c>
      <c r="G530" s="1">
        <v>139</v>
      </c>
      <c r="H530" s="1" t="s">
        <v>777</v>
      </c>
      <c r="I530" s="1">
        <v>500</v>
      </c>
      <c r="J530" s="1" t="s">
        <v>327</v>
      </c>
      <c r="K530" s="1">
        <v>6</v>
      </c>
      <c r="L530" s="1">
        <f t="shared" si="8"/>
        <v>2500</v>
      </c>
      <c r="M530" s="1" t="s">
        <v>38</v>
      </c>
      <c r="N530" s="1"/>
      <c r="O530" s="12" t="str">
        <f>IF($J530=Sheet2!$A$2, ROW(), "")</f>
        <v/>
      </c>
      <c r="Q530" s="23" t="s">
        <v>2511</v>
      </c>
    </row>
    <row r="531" spans="1:17" ht="14" customHeight="1" x14ac:dyDescent="0.3">
      <c r="A531" s="1" t="s">
        <v>778</v>
      </c>
      <c r="B531" s="1">
        <v>22</v>
      </c>
      <c r="C531" s="1" t="s">
        <v>287</v>
      </c>
      <c r="D531" s="1">
        <v>174</v>
      </c>
      <c r="E531" s="1">
        <v>74</v>
      </c>
      <c r="F531" s="1">
        <v>124</v>
      </c>
      <c r="G531" s="1">
        <v>124</v>
      </c>
      <c r="H531" s="1" t="s">
        <v>779</v>
      </c>
      <c r="I531" s="1">
        <v>70</v>
      </c>
      <c r="J531" s="1" t="s">
        <v>683</v>
      </c>
      <c r="K531" s="1">
        <v>5</v>
      </c>
      <c r="L531" s="1">
        <f t="shared" si="8"/>
        <v>350</v>
      </c>
      <c r="M531" s="1" t="s">
        <v>38</v>
      </c>
      <c r="N531" s="1"/>
      <c r="O531" s="12" t="str">
        <f>IF($J531=Sheet2!$A$2, ROW(), "")</f>
        <v/>
      </c>
      <c r="Q531" s="23" t="s">
        <v>2512</v>
      </c>
    </row>
    <row r="532" spans="1:17" ht="14" customHeight="1" x14ac:dyDescent="0.3">
      <c r="A532" s="1" t="s">
        <v>780</v>
      </c>
      <c r="B532" s="1">
        <v>22</v>
      </c>
      <c r="C532" s="1" t="s">
        <v>287</v>
      </c>
      <c r="D532" s="1">
        <v>183</v>
      </c>
      <c r="E532" s="1">
        <v>76</v>
      </c>
      <c r="F532" s="1">
        <v>119</v>
      </c>
      <c r="G532" s="1">
        <v>119</v>
      </c>
      <c r="H532" s="1" t="s">
        <v>781</v>
      </c>
      <c r="I532" s="1">
        <v>300</v>
      </c>
      <c r="J532" s="1" t="s">
        <v>1752</v>
      </c>
      <c r="K532" s="1">
        <v>5</v>
      </c>
      <c r="L532" s="1">
        <f t="shared" si="8"/>
        <v>1500</v>
      </c>
      <c r="M532" s="1" t="s">
        <v>38</v>
      </c>
      <c r="N532" s="1"/>
      <c r="O532" s="12" t="str">
        <f>IF($J532=Sheet2!$A$2, ROW(), "")</f>
        <v/>
      </c>
      <c r="Q532" s="23" t="s">
        <v>2513</v>
      </c>
    </row>
    <row r="533" spans="1:17" ht="14" customHeight="1" x14ac:dyDescent="0.3">
      <c r="A533" s="1" t="s">
        <v>782</v>
      </c>
      <c r="B533" s="1">
        <v>24</v>
      </c>
      <c r="C533" s="1" t="s">
        <v>287</v>
      </c>
      <c r="D533" s="1">
        <v>182</v>
      </c>
      <c r="E533" s="1">
        <v>78</v>
      </c>
      <c r="F533" s="1">
        <v>119</v>
      </c>
      <c r="G533" s="1">
        <v>119</v>
      </c>
      <c r="H533" s="1" t="s">
        <v>783</v>
      </c>
      <c r="I533" s="1">
        <v>100</v>
      </c>
      <c r="J533" s="1" t="s">
        <v>1866</v>
      </c>
      <c r="K533" s="1">
        <v>6</v>
      </c>
      <c r="L533" s="1">
        <f t="shared" si="8"/>
        <v>500</v>
      </c>
      <c r="M533" s="1" t="s">
        <v>38</v>
      </c>
      <c r="N533" s="1"/>
      <c r="O533" s="12" t="str">
        <f>IF($J533=Sheet2!$A$2, ROW(), "")</f>
        <v/>
      </c>
      <c r="Q533" s="23" t="s">
        <v>2514</v>
      </c>
    </row>
    <row r="534" spans="1:17" ht="14" customHeight="1" x14ac:dyDescent="0.3">
      <c r="A534" s="1" t="s">
        <v>784</v>
      </c>
      <c r="B534" s="1">
        <v>24</v>
      </c>
      <c r="C534" s="1" t="s">
        <v>287</v>
      </c>
      <c r="D534" s="1">
        <v>175</v>
      </c>
      <c r="E534" s="1">
        <v>67</v>
      </c>
      <c r="F534" s="1">
        <v>79</v>
      </c>
      <c r="G534" s="1">
        <v>96</v>
      </c>
      <c r="H534" s="1" t="s">
        <v>247</v>
      </c>
      <c r="I534" s="1">
        <v>20</v>
      </c>
      <c r="J534" s="1" t="s">
        <v>1735</v>
      </c>
      <c r="K534" s="1">
        <v>4</v>
      </c>
      <c r="L534" s="1">
        <f t="shared" si="8"/>
        <v>100</v>
      </c>
      <c r="M534" s="1" t="s">
        <v>38</v>
      </c>
      <c r="N534" s="1"/>
      <c r="O534" s="12" t="str">
        <f>IF($J534=Sheet2!$A$2, ROW(), "")</f>
        <v/>
      </c>
      <c r="Q534" s="23" t="s">
        <v>2515</v>
      </c>
    </row>
    <row r="535" spans="1:17" ht="14" customHeight="1" x14ac:dyDescent="0.3">
      <c r="A535" s="1" t="s">
        <v>785</v>
      </c>
      <c r="B535" s="1">
        <v>30</v>
      </c>
      <c r="C535" s="1" t="s">
        <v>287</v>
      </c>
      <c r="D535" s="1">
        <v>188</v>
      </c>
      <c r="E535" s="1">
        <v>79</v>
      </c>
      <c r="F535" s="1">
        <v>93</v>
      </c>
      <c r="G535" s="1">
        <v>105</v>
      </c>
      <c r="H535" s="1" t="s">
        <v>1</v>
      </c>
      <c r="I535" s="1">
        <v>180</v>
      </c>
      <c r="J535" s="1" t="s">
        <v>108</v>
      </c>
      <c r="K535" s="1">
        <v>4</v>
      </c>
      <c r="L535" s="1">
        <f t="shared" si="8"/>
        <v>900</v>
      </c>
      <c r="M535" s="1" t="s">
        <v>38</v>
      </c>
      <c r="N535" s="1"/>
      <c r="O535" s="12" t="str">
        <f>IF($J535=Sheet2!$A$2, ROW(), "")</f>
        <v/>
      </c>
      <c r="Q535" s="23" t="s">
        <v>2516</v>
      </c>
    </row>
    <row r="536" spans="1:17" ht="14" customHeight="1" x14ac:dyDescent="0.3">
      <c r="A536" s="1" t="s">
        <v>786</v>
      </c>
      <c r="B536" s="1">
        <v>19</v>
      </c>
      <c r="C536" s="1" t="s">
        <v>287</v>
      </c>
      <c r="D536" s="1">
        <v>171</v>
      </c>
      <c r="E536" s="1">
        <v>65</v>
      </c>
      <c r="F536" s="1">
        <v>118</v>
      </c>
      <c r="G536" s="1">
        <v>129</v>
      </c>
      <c r="H536" s="1" t="s">
        <v>787</v>
      </c>
      <c r="I536" s="1">
        <v>100</v>
      </c>
      <c r="J536" s="1" t="s">
        <v>1848</v>
      </c>
      <c r="K536" s="1">
        <v>5</v>
      </c>
      <c r="L536" s="1">
        <f t="shared" si="8"/>
        <v>500</v>
      </c>
      <c r="M536" s="1" t="s">
        <v>38</v>
      </c>
      <c r="N536" s="1"/>
      <c r="O536" s="12" t="str">
        <f>IF($J536=Sheet2!$A$2, ROW(), "")</f>
        <v/>
      </c>
      <c r="Q536" s="23" t="s">
        <v>2517</v>
      </c>
    </row>
    <row r="537" spans="1:17" ht="14" customHeight="1" x14ac:dyDescent="0.3">
      <c r="A537" s="1" t="s">
        <v>788</v>
      </c>
      <c r="B537" s="1">
        <v>25</v>
      </c>
      <c r="C537" s="1" t="s">
        <v>287</v>
      </c>
      <c r="D537" s="1">
        <v>173</v>
      </c>
      <c r="E537" s="1">
        <v>73</v>
      </c>
      <c r="F537" s="1">
        <v>127</v>
      </c>
      <c r="G537" s="1">
        <v>127</v>
      </c>
      <c r="H537" s="1" t="s">
        <v>789</v>
      </c>
      <c r="I537" s="1">
        <v>45</v>
      </c>
      <c r="J537" s="1" t="s">
        <v>1854</v>
      </c>
      <c r="K537" s="1">
        <v>6</v>
      </c>
      <c r="L537" s="1">
        <f t="shared" si="8"/>
        <v>225</v>
      </c>
      <c r="M537" s="1" t="s">
        <v>38</v>
      </c>
      <c r="N537" s="1"/>
      <c r="O537" s="12" t="str">
        <f>IF($J537=Sheet2!$A$2, ROW(), "")</f>
        <v/>
      </c>
      <c r="Q537" s="23" t="s">
        <v>2518</v>
      </c>
    </row>
    <row r="538" spans="1:17" ht="14" customHeight="1" x14ac:dyDescent="0.3">
      <c r="A538" s="1" t="s">
        <v>790</v>
      </c>
      <c r="B538" s="1">
        <v>24</v>
      </c>
      <c r="C538" s="1" t="s">
        <v>287</v>
      </c>
      <c r="D538" s="1">
        <v>179</v>
      </c>
      <c r="E538" s="1">
        <v>75</v>
      </c>
      <c r="F538" s="1">
        <v>105</v>
      </c>
      <c r="G538" s="1">
        <v>109</v>
      </c>
      <c r="H538" s="1" t="s">
        <v>791</v>
      </c>
      <c r="I538" s="1">
        <v>150</v>
      </c>
      <c r="J538" s="1" t="s">
        <v>91</v>
      </c>
      <c r="K538" s="1"/>
      <c r="L538" s="1">
        <f t="shared" si="8"/>
        <v>750</v>
      </c>
      <c r="M538" s="1"/>
      <c r="N538" s="1"/>
      <c r="O538" s="12" t="str">
        <f>IF($J538=Sheet2!$A$2, ROW(), "")</f>
        <v/>
      </c>
      <c r="Q538" s="23" t="s">
        <v>2519</v>
      </c>
    </row>
    <row r="539" spans="1:17" ht="14" customHeight="1" x14ac:dyDescent="0.3">
      <c r="A539" s="1" t="s">
        <v>792</v>
      </c>
      <c r="B539" s="1">
        <v>22</v>
      </c>
      <c r="C539" s="1" t="s">
        <v>287</v>
      </c>
      <c r="D539" s="1">
        <v>183</v>
      </c>
      <c r="E539" s="1">
        <v>78</v>
      </c>
      <c r="F539" s="1">
        <v>125</v>
      </c>
      <c r="G539" s="1">
        <v>134</v>
      </c>
      <c r="H539" s="1" t="s">
        <v>260</v>
      </c>
      <c r="I539" s="1">
        <v>90</v>
      </c>
      <c r="J539" s="1" t="s">
        <v>1736</v>
      </c>
      <c r="K539" s="1">
        <v>7</v>
      </c>
      <c r="L539" s="1">
        <f t="shared" si="8"/>
        <v>450</v>
      </c>
      <c r="M539" s="1" t="s">
        <v>38</v>
      </c>
      <c r="N539" s="1"/>
      <c r="O539" s="12" t="str">
        <f>IF($J539=Sheet2!$A$2, ROW(), "")</f>
        <v/>
      </c>
      <c r="Q539" s="23" t="s">
        <v>2520</v>
      </c>
    </row>
    <row r="540" spans="1:17" ht="14" customHeight="1" x14ac:dyDescent="0.3">
      <c r="A540" s="1" t="s">
        <v>793</v>
      </c>
      <c r="B540" s="1">
        <v>24</v>
      </c>
      <c r="C540" s="1" t="s">
        <v>287</v>
      </c>
      <c r="D540" s="1">
        <v>188</v>
      </c>
      <c r="E540" s="1">
        <v>86</v>
      </c>
      <c r="F540" s="1">
        <v>118</v>
      </c>
      <c r="G540" s="1">
        <v>118</v>
      </c>
      <c r="H540" s="1" t="s">
        <v>260</v>
      </c>
      <c r="I540" s="1">
        <v>200</v>
      </c>
      <c r="J540" s="1" t="s">
        <v>1659</v>
      </c>
      <c r="K540" s="1">
        <v>5</v>
      </c>
      <c r="L540" s="1">
        <f t="shared" si="8"/>
        <v>1000</v>
      </c>
      <c r="M540" s="1" t="s">
        <v>38</v>
      </c>
      <c r="N540" s="1"/>
      <c r="O540" s="12" t="str">
        <f>IF($J540=Sheet2!$A$2, ROW(), "")</f>
        <v/>
      </c>
      <c r="Q540" s="23" t="s">
        <v>2521</v>
      </c>
    </row>
    <row r="541" spans="1:17" ht="14" customHeight="1" x14ac:dyDescent="0.3">
      <c r="A541" s="1" t="s">
        <v>794</v>
      </c>
      <c r="B541" s="1">
        <v>31</v>
      </c>
      <c r="C541" s="1" t="s">
        <v>287</v>
      </c>
      <c r="D541" s="1">
        <v>180</v>
      </c>
      <c r="E541" s="1">
        <v>76</v>
      </c>
      <c r="F541" s="1">
        <v>96</v>
      </c>
      <c r="G541" s="1">
        <v>108</v>
      </c>
      <c r="H541" s="1" t="s">
        <v>795</v>
      </c>
      <c r="I541" s="1">
        <v>80</v>
      </c>
      <c r="J541" s="1" t="s">
        <v>1762</v>
      </c>
      <c r="K541" s="1">
        <v>4</v>
      </c>
      <c r="L541" s="1">
        <f t="shared" si="8"/>
        <v>400</v>
      </c>
      <c r="M541" s="1" t="s">
        <v>38</v>
      </c>
      <c r="N541" s="1"/>
      <c r="O541" s="12" t="str">
        <f>IF($J541=Sheet2!$A$2, ROW(), "")</f>
        <v/>
      </c>
      <c r="Q541" s="23" t="s">
        <v>2522</v>
      </c>
    </row>
    <row r="542" spans="1:17" ht="14" customHeight="1" x14ac:dyDescent="0.3">
      <c r="A542" s="1" t="s">
        <v>796</v>
      </c>
      <c r="B542" s="1">
        <v>28</v>
      </c>
      <c r="C542" s="1" t="s">
        <v>287</v>
      </c>
      <c r="D542" s="1">
        <v>188</v>
      </c>
      <c r="E542" s="1">
        <v>76</v>
      </c>
      <c r="F542" s="1">
        <v>90</v>
      </c>
      <c r="G542" s="1">
        <v>115</v>
      </c>
      <c r="H542" s="1" t="s">
        <v>571</v>
      </c>
      <c r="I542" s="1">
        <v>150</v>
      </c>
      <c r="J542" s="1" t="s">
        <v>1735</v>
      </c>
      <c r="K542" s="1">
        <v>4</v>
      </c>
      <c r="L542" s="1">
        <f t="shared" si="8"/>
        <v>750</v>
      </c>
      <c r="M542" s="1" t="s">
        <v>38</v>
      </c>
      <c r="N542" s="1"/>
      <c r="O542" s="12" t="str">
        <f>IF($J542=Sheet2!$A$2, ROW(), "")</f>
        <v/>
      </c>
      <c r="Q542" s="23" t="s">
        <v>2523</v>
      </c>
    </row>
    <row r="543" spans="1:17" ht="14" customHeight="1" x14ac:dyDescent="0.3">
      <c r="A543" s="1" t="s">
        <v>797</v>
      </c>
      <c r="B543" s="1">
        <v>30</v>
      </c>
      <c r="C543" s="1" t="s">
        <v>287</v>
      </c>
      <c r="D543" s="1">
        <v>190</v>
      </c>
      <c r="E543" s="1">
        <v>87</v>
      </c>
      <c r="F543" s="1">
        <v>90</v>
      </c>
      <c r="G543" s="1">
        <v>104</v>
      </c>
      <c r="H543" s="1" t="s">
        <v>317</v>
      </c>
      <c r="I543" s="1">
        <v>45</v>
      </c>
      <c r="J543" s="1" t="s">
        <v>1735</v>
      </c>
      <c r="K543" s="1">
        <v>4</v>
      </c>
      <c r="L543" s="1">
        <f t="shared" si="8"/>
        <v>225</v>
      </c>
      <c r="M543" s="1" t="s">
        <v>38</v>
      </c>
      <c r="N543" s="1"/>
      <c r="O543" s="12" t="str">
        <f>IF($J543=Sheet2!$A$2, ROW(), "")</f>
        <v/>
      </c>
      <c r="Q543" s="23" t="s">
        <v>2524</v>
      </c>
    </row>
    <row r="544" spans="1:17" ht="14" customHeight="1" x14ac:dyDescent="0.3">
      <c r="A544" s="1" t="s">
        <v>798</v>
      </c>
      <c r="B544" s="1">
        <v>35</v>
      </c>
      <c r="C544" s="1" t="s">
        <v>287</v>
      </c>
      <c r="D544" s="1">
        <v>185</v>
      </c>
      <c r="E544" s="1">
        <v>80</v>
      </c>
      <c r="F544" s="1">
        <v>106</v>
      </c>
      <c r="G544" s="1">
        <v>133</v>
      </c>
      <c r="H544" s="1" t="s">
        <v>799</v>
      </c>
      <c r="I544" s="1">
        <v>200</v>
      </c>
      <c r="J544" s="1" t="s">
        <v>1735</v>
      </c>
      <c r="K544" s="1">
        <v>4</v>
      </c>
      <c r="L544" s="1">
        <f t="shared" si="8"/>
        <v>1000</v>
      </c>
      <c r="M544" s="1" t="s">
        <v>38</v>
      </c>
      <c r="N544" s="1"/>
      <c r="O544" s="12" t="str">
        <f>IF($J544=Sheet2!$A$2, ROW(), "")</f>
        <v/>
      </c>
      <c r="Q544" s="23" t="s">
        <v>2525</v>
      </c>
    </row>
    <row r="545" spans="1:17" ht="14" customHeight="1" x14ac:dyDescent="0.3">
      <c r="A545" s="1" t="s">
        <v>800</v>
      </c>
      <c r="B545" s="1">
        <v>32</v>
      </c>
      <c r="C545" s="1" t="s">
        <v>287</v>
      </c>
      <c r="D545" s="1">
        <v>188</v>
      </c>
      <c r="E545" s="1">
        <v>76</v>
      </c>
      <c r="F545" s="1">
        <v>89</v>
      </c>
      <c r="G545" s="1">
        <v>101</v>
      </c>
      <c r="H545" s="1" t="s">
        <v>801</v>
      </c>
      <c r="I545" s="1">
        <v>140</v>
      </c>
      <c r="J545" s="1" t="s">
        <v>1762</v>
      </c>
      <c r="K545" s="1">
        <v>4</v>
      </c>
      <c r="L545" s="1">
        <f t="shared" si="8"/>
        <v>700</v>
      </c>
      <c r="M545" s="1" t="s">
        <v>98</v>
      </c>
      <c r="N545" s="1"/>
      <c r="O545" s="12" t="str">
        <f>IF($J545=Sheet2!$A$2, ROW(), "")</f>
        <v/>
      </c>
      <c r="Q545" s="23" t="s">
        <v>2526</v>
      </c>
    </row>
    <row r="546" spans="1:17" ht="14" customHeight="1" x14ac:dyDescent="0.3">
      <c r="A546" s="1" t="s">
        <v>802</v>
      </c>
      <c r="B546" s="1">
        <v>23</v>
      </c>
      <c r="C546" s="1" t="s">
        <v>287</v>
      </c>
      <c r="D546" s="1">
        <v>177</v>
      </c>
      <c r="E546" s="1">
        <v>74</v>
      </c>
      <c r="F546" s="1">
        <v>90</v>
      </c>
      <c r="G546" s="1">
        <v>114</v>
      </c>
      <c r="H546" s="1" t="s">
        <v>260</v>
      </c>
      <c r="I546" s="1">
        <v>24</v>
      </c>
      <c r="J546" s="1" t="s">
        <v>520</v>
      </c>
      <c r="K546" s="1">
        <v>5</v>
      </c>
      <c r="L546" s="1">
        <f t="shared" si="8"/>
        <v>120</v>
      </c>
      <c r="M546" s="1" t="s">
        <v>38</v>
      </c>
      <c r="N546" s="1"/>
      <c r="O546" s="12" t="str">
        <f>IF($J546=Sheet2!$A$2, ROW(), "")</f>
        <v/>
      </c>
      <c r="Q546" s="23" t="s">
        <v>2527</v>
      </c>
    </row>
    <row r="547" spans="1:17" ht="14" customHeight="1" x14ac:dyDescent="0.3">
      <c r="A547" s="1" t="s">
        <v>803</v>
      </c>
      <c r="B547" s="1">
        <v>38</v>
      </c>
      <c r="C547" s="1" t="s">
        <v>287</v>
      </c>
      <c r="D547" s="1">
        <v>190</v>
      </c>
      <c r="E547" s="1">
        <v>80</v>
      </c>
      <c r="F547" s="1">
        <v>94</v>
      </c>
      <c r="G547" s="1">
        <v>96</v>
      </c>
      <c r="H547" s="1" t="s">
        <v>260</v>
      </c>
      <c r="I547" s="1">
        <v>80</v>
      </c>
      <c r="J547" s="1" t="s">
        <v>207</v>
      </c>
      <c r="K547" s="1">
        <v>4</v>
      </c>
      <c r="L547" s="1">
        <f t="shared" si="8"/>
        <v>400</v>
      </c>
      <c r="M547" s="1" t="s">
        <v>38</v>
      </c>
      <c r="N547" s="1"/>
      <c r="O547" s="12" t="str">
        <f>IF($J547=Sheet2!$A$2, ROW(), "")</f>
        <v/>
      </c>
      <c r="Q547" s="23" t="s">
        <v>2528</v>
      </c>
    </row>
    <row r="548" spans="1:17" ht="14" customHeight="1" x14ac:dyDescent="0.3">
      <c r="A548" s="1" t="s">
        <v>804</v>
      </c>
      <c r="B548" s="1">
        <v>23</v>
      </c>
      <c r="C548" s="1" t="s">
        <v>287</v>
      </c>
      <c r="D548" s="1">
        <v>186</v>
      </c>
      <c r="E548" s="1">
        <v>73</v>
      </c>
      <c r="F548" s="1">
        <v>108</v>
      </c>
      <c r="G548" s="1">
        <v>129</v>
      </c>
      <c r="H548" s="1" t="s">
        <v>1</v>
      </c>
      <c r="I548" s="1">
        <v>40</v>
      </c>
      <c r="J548" s="1" t="s">
        <v>1939</v>
      </c>
      <c r="K548" s="1">
        <v>6</v>
      </c>
      <c r="L548" s="1">
        <f t="shared" si="8"/>
        <v>200</v>
      </c>
      <c r="M548" s="1" t="s">
        <v>38</v>
      </c>
      <c r="N548" s="1"/>
      <c r="O548" s="12" t="str">
        <f>IF($J548=Sheet2!$A$2, ROW(), "")</f>
        <v/>
      </c>
      <c r="Q548" s="23" t="s">
        <v>2529</v>
      </c>
    </row>
    <row r="549" spans="1:17" ht="14" customHeight="1" x14ac:dyDescent="0.3">
      <c r="A549" s="1" t="s">
        <v>805</v>
      </c>
      <c r="B549" s="1">
        <v>22</v>
      </c>
      <c r="C549" s="1" t="s">
        <v>287</v>
      </c>
      <c r="D549" s="1">
        <v>200</v>
      </c>
      <c r="E549" s="1">
        <v>78</v>
      </c>
      <c r="F549" s="1">
        <v>117</v>
      </c>
      <c r="G549" s="1">
        <v>120</v>
      </c>
      <c r="H549" s="1" t="s">
        <v>1</v>
      </c>
      <c r="I549" s="1">
        <v>100</v>
      </c>
      <c r="J549" s="1" t="s">
        <v>561</v>
      </c>
      <c r="K549" s="1">
        <v>5</v>
      </c>
      <c r="L549" s="1">
        <f t="shared" si="8"/>
        <v>500</v>
      </c>
      <c r="M549" s="1" t="s">
        <v>38</v>
      </c>
      <c r="N549" s="1"/>
      <c r="O549" s="12" t="str">
        <f>IF($J549=Sheet2!$A$2, ROW(), "")</f>
        <v/>
      </c>
      <c r="Q549" s="23" t="s">
        <v>2530</v>
      </c>
    </row>
    <row r="550" spans="1:17" ht="14" customHeight="1" x14ac:dyDescent="0.3">
      <c r="A550" s="1" t="s">
        <v>806</v>
      </c>
      <c r="B550" s="1">
        <v>25</v>
      </c>
      <c r="C550" s="1" t="s">
        <v>287</v>
      </c>
      <c r="D550" s="1">
        <v>190</v>
      </c>
      <c r="E550" s="1">
        <v>75</v>
      </c>
      <c r="F550" s="1">
        <v>109</v>
      </c>
      <c r="G550" s="1">
        <v>123</v>
      </c>
      <c r="H550" s="1" t="s">
        <v>317</v>
      </c>
      <c r="I550" s="1">
        <v>300</v>
      </c>
      <c r="J550" s="1" t="s">
        <v>37</v>
      </c>
      <c r="K550" s="1">
        <v>5</v>
      </c>
      <c r="L550" s="1">
        <f t="shared" si="8"/>
        <v>1500</v>
      </c>
      <c r="M550" s="1" t="s">
        <v>38</v>
      </c>
      <c r="N550" s="1"/>
      <c r="O550" s="12" t="str">
        <f>IF($J550=Sheet2!$A$2, ROW(), "")</f>
        <v/>
      </c>
      <c r="Q550" s="23" t="s">
        <v>2531</v>
      </c>
    </row>
    <row r="551" spans="1:17" ht="14" customHeight="1" x14ac:dyDescent="0.3">
      <c r="A551" s="1" t="s">
        <v>807</v>
      </c>
      <c r="B551" s="1">
        <v>23</v>
      </c>
      <c r="C551" s="1" t="s">
        <v>287</v>
      </c>
      <c r="D551" s="1">
        <v>175</v>
      </c>
      <c r="E551" s="1">
        <v>77</v>
      </c>
      <c r="F551" s="1">
        <v>80</v>
      </c>
      <c r="G551" s="1">
        <v>80</v>
      </c>
      <c r="H551" s="1" t="s">
        <v>260</v>
      </c>
      <c r="I551" s="1">
        <v>0</v>
      </c>
      <c r="J551" s="1" t="s">
        <v>238</v>
      </c>
      <c r="K551" s="1">
        <v>0</v>
      </c>
      <c r="L551" s="1">
        <f t="shared" si="8"/>
        <v>0</v>
      </c>
      <c r="M551" s="1" t="s">
        <v>38</v>
      </c>
      <c r="N551" s="1"/>
      <c r="O551" s="12" t="str">
        <f>IF($J551=Sheet2!$A$2, ROW(), "")</f>
        <v/>
      </c>
      <c r="Q551" s="23" t="s">
        <v>2532</v>
      </c>
    </row>
    <row r="552" spans="1:17" ht="14" customHeight="1" x14ac:dyDescent="0.3">
      <c r="A552" s="1" t="s">
        <v>808</v>
      </c>
      <c r="B552" s="1">
        <v>23</v>
      </c>
      <c r="C552" s="1" t="s">
        <v>287</v>
      </c>
      <c r="D552" s="1">
        <v>178</v>
      </c>
      <c r="E552" s="1">
        <v>76</v>
      </c>
      <c r="F552" s="1">
        <v>70</v>
      </c>
      <c r="G552" s="1">
        <v>80</v>
      </c>
      <c r="H552" s="1" t="s">
        <v>357</v>
      </c>
      <c r="I552" s="1">
        <v>24</v>
      </c>
      <c r="J552" s="1" t="s">
        <v>520</v>
      </c>
      <c r="K552" s="1">
        <v>5</v>
      </c>
      <c r="L552" s="1">
        <f t="shared" si="8"/>
        <v>120</v>
      </c>
      <c r="M552" s="1" t="s">
        <v>38</v>
      </c>
      <c r="N552" s="1"/>
      <c r="O552" s="12" t="str">
        <f>IF($J552=Sheet2!$A$2, ROW(), "")</f>
        <v/>
      </c>
      <c r="Q552" s="23" t="s">
        <v>2533</v>
      </c>
    </row>
    <row r="553" spans="1:17" ht="14" customHeight="1" x14ac:dyDescent="0.3">
      <c r="A553" s="1" t="s">
        <v>809</v>
      </c>
      <c r="B553" s="1">
        <v>23</v>
      </c>
      <c r="C553" s="1" t="s">
        <v>287</v>
      </c>
      <c r="D553" s="1">
        <v>178</v>
      </c>
      <c r="E553" s="1">
        <v>66</v>
      </c>
      <c r="F553" s="1">
        <v>56</v>
      </c>
      <c r="G553" s="1">
        <v>60</v>
      </c>
      <c r="H553" s="1" t="s">
        <v>810</v>
      </c>
      <c r="I553" s="1">
        <v>24</v>
      </c>
      <c r="J553" s="1" t="s">
        <v>520</v>
      </c>
      <c r="K553" s="1">
        <v>5</v>
      </c>
      <c r="L553" s="1">
        <f t="shared" si="8"/>
        <v>120</v>
      </c>
      <c r="M553" s="1" t="s">
        <v>38</v>
      </c>
      <c r="N553" s="1"/>
      <c r="O553" s="12" t="str">
        <f>IF($J553=Sheet2!$A$2, ROW(), "")</f>
        <v/>
      </c>
      <c r="Q553" s="23" t="s">
        <v>2534</v>
      </c>
    </row>
    <row r="554" spans="1:17" ht="14" customHeight="1" x14ac:dyDescent="0.3">
      <c r="A554" s="1" t="s">
        <v>811</v>
      </c>
      <c r="B554" s="1">
        <v>20</v>
      </c>
      <c r="C554" s="1" t="s">
        <v>287</v>
      </c>
      <c r="D554" s="1">
        <v>189</v>
      </c>
      <c r="E554" s="1">
        <v>76</v>
      </c>
      <c r="F554" s="1">
        <v>72</v>
      </c>
      <c r="G554" s="1">
        <v>80</v>
      </c>
      <c r="H554" s="1" t="s">
        <v>1</v>
      </c>
      <c r="I554" s="1">
        <v>24</v>
      </c>
      <c r="J554" s="1" t="s">
        <v>520</v>
      </c>
      <c r="K554" s="1">
        <v>5</v>
      </c>
      <c r="L554" s="1">
        <f t="shared" si="8"/>
        <v>120</v>
      </c>
      <c r="M554" s="1" t="s">
        <v>38</v>
      </c>
      <c r="N554" s="1"/>
      <c r="O554" s="12" t="str">
        <f>IF($J554=Sheet2!$A$2, ROW(), "")</f>
        <v/>
      </c>
      <c r="Q554" s="23" t="s">
        <v>2535</v>
      </c>
    </row>
    <row r="555" spans="1:17" ht="14" customHeight="1" x14ac:dyDescent="0.3">
      <c r="A555" s="1" t="s">
        <v>812</v>
      </c>
      <c r="B555" s="1">
        <v>42</v>
      </c>
      <c r="C555" s="1" t="s">
        <v>287</v>
      </c>
      <c r="D555" s="1">
        <v>185</v>
      </c>
      <c r="E555" s="1">
        <v>76</v>
      </c>
      <c r="F555" s="1">
        <v>68</v>
      </c>
      <c r="G555" s="1">
        <v>116</v>
      </c>
      <c r="H555" s="1" t="s">
        <v>770</v>
      </c>
      <c r="I555" s="1">
        <v>40</v>
      </c>
      <c r="J555" s="1" t="s">
        <v>207</v>
      </c>
      <c r="K555" s="1">
        <v>4</v>
      </c>
      <c r="L555" s="1">
        <f t="shared" si="8"/>
        <v>200</v>
      </c>
      <c r="M555" s="1" t="s">
        <v>38</v>
      </c>
      <c r="N555" s="1"/>
      <c r="O555" s="12" t="str">
        <f>IF($J555=Sheet2!$A$2, ROW(), "")</f>
        <v/>
      </c>
      <c r="Q555" s="23" t="s">
        <v>2536</v>
      </c>
    </row>
    <row r="556" spans="1:17" ht="14" customHeight="1" x14ac:dyDescent="0.3">
      <c r="A556" s="1" t="s">
        <v>813</v>
      </c>
      <c r="B556" s="1">
        <v>29</v>
      </c>
      <c r="C556" s="1" t="s">
        <v>287</v>
      </c>
      <c r="D556" s="1">
        <v>181</v>
      </c>
      <c r="E556" s="1">
        <v>75</v>
      </c>
      <c r="F556" s="1">
        <v>110</v>
      </c>
      <c r="G556" s="1">
        <v>121</v>
      </c>
      <c r="H556" s="1" t="s">
        <v>709</v>
      </c>
      <c r="I556" s="1">
        <v>100</v>
      </c>
      <c r="J556" s="1" t="s">
        <v>1735</v>
      </c>
      <c r="K556" s="1">
        <v>4</v>
      </c>
      <c r="L556" s="1">
        <f t="shared" si="8"/>
        <v>500</v>
      </c>
      <c r="M556" s="1" t="s">
        <v>38</v>
      </c>
      <c r="N556" s="1"/>
      <c r="O556" s="12" t="str">
        <f>IF($J556=Sheet2!$A$2, ROW(), "")</f>
        <v/>
      </c>
      <c r="Q556" s="23" t="s">
        <v>2537</v>
      </c>
    </row>
    <row r="557" spans="1:17" ht="14" customHeight="1" x14ac:dyDescent="0.3">
      <c r="A557" s="1" t="s">
        <v>814</v>
      </c>
      <c r="B557" s="1">
        <v>18</v>
      </c>
      <c r="C557" s="1" t="s">
        <v>815</v>
      </c>
      <c r="D557" s="1">
        <v>176</v>
      </c>
      <c r="E557" s="1">
        <v>74</v>
      </c>
      <c r="F557" s="1">
        <v>131</v>
      </c>
      <c r="G557" s="1">
        <v>180</v>
      </c>
      <c r="H557" s="1" t="s">
        <v>816</v>
      </c>
      <c r="I557" s="1">
        <v>400</v>
      </c>
      <c r="J557" s="1" t="s">
        <v>238</v>
      </c>
      <c r="K557" s="1">
        <v>4</v>
      </c>
      <c r="L557" s="1">
        <f t="shared" si="8"/>
        <v>2000</v>
      </c>
      <c r="M557" s="1" t="s">
        <v>38</v>
      </c>
      <c r="N557" s="1"/>
      <c r="O557" s="12" t="str">
        <f>IF($J557=Sheet2!$A$2, ROW(), "")</f>
        <v/>
      </c>
      <c r="Q557" s="23" t="s">
        <v>2538</v>
      </c>
    </row>
    <row r="558" spans="1:17" ht="14" customHeight="1" x14ac:dyDescent="0.3">
      <c r="A558" s="1" t="s">
        <v>817</v>
      </c>
      <c r="B558" s="1">
        <v>25</v>
      </c>
      <c r="C558" s="1" t="s">
        <v>287</v>
      </c>
      <c r="D558" s="1">
        <v>176</v>
      </c>
      <c r="E558" s="1">
        <v>74</v>
      </c>
      <c r="F558" s="1">
        <v>126</v>
      </c>
      <c r="G558" s="1">
        <v>126</v>
      </c>
      <c r="H558" s="1" t="s">
        <v>818</v>
      </c>
      <c r="I558" s="1">
        <v>120</v>
      </c>
      <c r="J558" s="1" t="s">
        <v>1720</v>
      </c>
      <c r="K558" s="1">
        <v>5</v>
      </c>
      <c r="L558" s="1">
        <f t="shared" si="8"/>
        <v>600</v>
      </c>
      <c r="M558" s="1" t="s">
        <v>38</v>
      </c>
      <c r="N558" s="1"/>
      <c r="O558" s="12" t="str">
        <f>IF($J558=Sheet2!$A$2, ROW(), "")</f>
        <v/>
      </c>
      <c r="Q558" s="23" t="s">
        <v>2539</v>
      </c>
    </row>
    <row r="559" spans="1:17" ht="14" customHeight="1" x14ac:dyDescent="0.3">
      <c r="A559" s="1" t="s">
        <v>819</v>
      </c>
      <c r="B559" s="1">
        <v>25</v>
      </c>
      <c r="C559" s="1" t="s">
        <v>287</v>
      </c>
      <c r="D559" s="1">
        <v>182</v>
      </c>
      <c r="E559" s="1">
        <v>72</v>
      </c>
      <c r="F559" s="1">
        <v>134</v>
      </c>
      <c r="G559" s="1">
        <v>134</v>
      </c>
      <c r="H559" s="1" t="s">
        <v>820</v>
      </c>
      <c r="I559" s="1">
        <v>200</v>
      </c>
      <c r="J559" s="1" t="s">
        <v>1721</v>
      </c>
      <c r="K559" s="1">
        <v>6</v>
      </c>
      <c r="L559" s="1">
        <f t="shared" si="8"/>
        <v>1000</v>
      </c>
      <c r="M559" s="1" t="s">
        <v>38</v>
      </c>
      <c r="N559" s="1"/>
      <c r="O559" s="12" t="str">
        <f>IF($J559=Sheet2!$A$2, ROW(), "")</f>
        <v/>
      </c>
      <c r="Q559" s="23" t="s">
        <v>2540</v>
      </c>
    </row>
    <row r="560" spans="1:17" ht="14" customHeight="1" x14ac:dyDescent="0.3">
      <c r="A560" s="1" t="s">
        <v>821</v>
      </c>
      <c r="B560" s="1">
        <v>24</v>
      </c>
      <c r="C560" s="1" t="s">
        <v>822</v>
      </c>
      <c r="D560" s="1">
        <v>195</v>
      </c>
      <c r="E560" s="1">
        <v>74</v>
      </c>
      <c r="F560" s="1">
        <v>136</v>
      </c>
      <c r="G560" s="1">
        <v>160</v>
      </c>
      <c r="H560" s="1" t="s">
        <v>1</v>
      </c>
      <c r="I560" s="1">
        <v>80</v>
      </c>
      <c r="J560" s="1" t="s">
        <v>264</v>
      </c>
      <c r="K560" s="1">
        <v>5</v>
      </c>
      <c r="L560" s="1">
        <f t="shared" si="8"/>
        <v>400</v>
      </c>
      <c r="M560" s="1" t="s">
        <v>38</v>
      </c>
      <c r="N560" s="1"/>
      <c r="O560" s="12" t="str">
        <f>IF($J560=Sheet2!$A$2, ROW(), "")</f>
        <v/>
      </c>
      <c r="Q560" s="23" t="s">
        <v>2541</v>
      </c>
    </row>
    <row r="561" spans="1:17" ht="14" customHeight="1" x14ac:dyDescent="0.3">
      <c r="A561" s="1" t="s">
        <v>823</v>
      </c>
      <c r="B561" s="1">
        <v>35</v>
      </c>
      <c r="C561" s="1" t="s">
        <v>287</v>
      </c>
      <c r="D561" s="1">
        <v>180</v>
      </c>
      <c r="E561" s="1">
        <v>75</v>
      </c>
      <c r="F561" s="1">
        <v>116</v>
      </c>
      <c r="G561" s="1">
        <v>134</v>
      </c>
      <c r="H561" s="1" t="s">
        <v>824</v>
      </c>
      <c r="I561" s="1">
        <v>200</v>
      </c>
      <c r="J561" s="1" t="s">
        <v>207</v>
      </c>
      <c r="K561" s="1">
        <v>4</v>
      </c>
      <c r="L561" s="1">
        <f t="shared" si="8"/>
        <v>1000</v>
      </c>
      <c r="M561" s="1" t="s">
        <v>38</v>
      </c>
      <c r="N561" s="1"/>
      <c r="O561" s="12" t="str">
        <f>IF($J561=Sheet2!$A$2, ROW(), "")</f>
        <v/>
      </c>
      <c r="Q561" s="23" t="s">
        <v>2542</v>
      </c>
    </row>
    <row r="562" spans="1:17" ht="14" customHeight="1" x14ac:dyDescent="0.3">
      <c r="A562" s="1" t="s">
        <v>825</v>
      </c>
      <c r="B562" s="1">
        <v>30</v>
      </c>
      <c r="C562" s="1" t="s">
        <v>826</v>
      </c>
      <c r="D562" s="1">
        <v>189</v>
      </c>
      <c r="E562" s="1">
        <v>78</v>
      </c>
      <c r="F562" s="1">
        <v>116</v>
      </c>
      <c r="G562" s="1">
        <v>120</v>
      </c>
      <c r="H562" s="1" t="s">
        <v>827</v>
      </c>
      <c r="I562" s="1">
        <v>180</v>
      </c>
      <c r="J562" s="1" t="s">
        <v>1735</v>
      </c>
      <c r="K562" s="1">
        <v>4</v>
      </c>
      <c r="L562" s="1">
        <f t="shared" si="8"/>
        <v>900</v>
      </c>
      <c r="M562" s="1" t="s">
        <v>38</v>
      </c>
      <c r="N562" s="1"/>
      <c r="O562" s="12" t="str">
        <f>IF($J562=Sheet2!$A$2, ROW(), "")</f>
        <v/>
      </c>
      <c r="Q562" s="23" t="s">
        <v>2543</v>
      </c>
    </row>
    <row r="563" spans="1:17" ht="14" customHeight="1" x14ac:dyDescent="0.3">
      <c r="A563" s="1" t="s">
        <v>828</v>
      </c>
      <c r="B563" s="1">
        <v>29</v>
      </c>
      <c r="C563" s="1" t="s">
        <v>287</v>
      </c>
      <c r="D563" s="1">
        <v>187</v>
      </c>
      <c r="E563" s="1">
        <v>78</v>
      </c>
      <c r="F563" s="1">
        <v>116</v>
      </c>
      <c r="G563" s="1">
        <v>122</v>
      </c>
      <c r="H563" s="1" t="s">
        <v>820</v>
      </c>
      <c r="I563" s="1">
        <v>200</v>
      </c>
      <c r="J563" s="1" t="s">
        <v>268</v>
      </c>
      <c r="K563" s="1">
        <v>5</v>
      </c>
      <c r="L563" s="1">
        <f t="shared" si="8"/>
        <v>1000</v>
      </c>
      <c r="M563" s="1" t="s">
        <v>38</v>
      </c>
      <c r="N563" s="1"/>
      <c r="O563" s="12" t="str">
        <f>IF($J563=Sheet2!$A$2, ROW(), "")</f>
        <v/>
      </c>
      <c r="Q563" s="23" t="s">
        <v>2544</v>
      </c>
    </row>
    <row r="564" spans="1:17" ht="14" customHeight="1" x14ac:dyDescent="0.3">
      <c r="A564" s="1" t="s">
        <v>829</v>
      </c>
      <c r="B564" s="1">
        <v>23</v>
      </c>
      <c r="C564" s="1" t="s">
        <v>287</v>
      </c>
      <c r="D564" s="1">
        <v>178</v>
      </c>
      <c r="E564" s="1">
        <v>75</v>
      </c>
      <c r="F564" s="1">
        <v>126</v>
      </c>
      <c r="G564" s="1">
        <v>136</v>
      </c>
      <c r="H564" s="1" t="s">
        <v>247</v>
      </c>
      <c r="I564" s="1">
        <v>120</v>
      </c>
      <c r="J564" s="1" t="s">
        <v>1763</v>
      </c>
      <c r="K564" s="1">
        <v>5</v>
      </c>
      <c r="L564" s="1">
        <f t="shared" si="8"/>
        <v>600</v>
      </c>
      <c r="M564" s="1" t="s">
        <v>38</v>
      </c>
      <c r="N564" s="1"/>
      <c r="O564" s="12">
        <f>IF($J564=Sheet2!$A$2, ROW(), "")</f>
        <v>564</v>
      </c>
      <c r="Q564" s="23" t="s">
        <v>2545</v>
      </c>
    </row>
    <row r="565" spans="1:17" ht="14" customHeight="1" x14ac:dyDescent="0.3">
      <c r="A565" s="1" t="s">
        <v>830</v>
      </c>
      <c r="B565" s="1">
        <v>25</v>
      </c>
      <c r="C565" s="1" t="s">
        <v>574</v>
      </c>
      <c r="D565" s="1">
        <v>176</v>
      </c>
      <c r="E565" s="1">
        <v>76</v>
      </c>
      <c r="F565" s="1">
        <v>136</v>
      </c>
      <c r="G565" s="1">
        <v>136</v>
      </c>
      <c r="H565" s="1" t="s">
        <v>357</v>
      </c>
      <c r="I565" s="1">
        <v>200</v>
      </c>
      <c r="J565" s="1" t="s">
        <v>689</v>
      </c>
      <c r="K565" s="1">
        <v>5</v>
      </c>
      <c r="L565" s="1">
        <f t="shared" si="8"/>
        <v>1000</v>
      </c>
      <c r="M565" s="1" t="s">
        <v>38</v>
      </c>
      <c r="N565" s="1"/>
      <c r="O565" s="12" t="str">
        <f>IF($J565=Sheet2!$A$2, ROW(), "")</f>
        <v/>
      </c>
      <c r="Q565" s="23" t="s">
        <v>2546</v>
      </c>
    </row>
    <row r="566" spans="1:17" ht="14" customHeight="1" x14ac:dyDescent="0.3">
      <c r="A566" s="1" t="s">
        <v>831</v>
      </c>
      <c r="B566" s="1">
        <v>25</v>
      </c>
      <c r="C566" s="1" t="s">
        <v>832</v>
      </c>
      <c r="D566" s="1">
        <v>186</v>
      </c>
      <c r="E566" s="1">
        <v>82</v>
      </c>
      <c r="F566" s="1">
        <v>134</v>
      </c>
      <c r="G566" s="1">
        <v>134</v>
      </c>
      <c r="H566" s="1" t="s">
        <v>247</v>
      </c>
      <c r="I566" s="1">
        <v>200</v>
      </c>
      <c r="J566" s="1" t="s">
        <v>689</v>
      </c>
      <c r="K566" s="1">
        <v>5</v>
      </c>
      <c r="L566" s="1">
        <f t="shared" si="8"/>
        <v>1000</v>
      </c>
      <c r="M566" s="1" t="s">
        <v>38</v>
      </c>
      <c r="N566" s="1"/>
      <c r="O566" s="12" t="str">
        <f>IF($J566=Sheet2!$A$2, ROW(), "")</f>
        <v/>
      </c>
      <c r="Q566" s="23" t="s">
        <v>2547</v>
      </c>
    </row>
    <row r="567" spans="1:17" ht="14" customHeight="1" x14ac:dyDescent="0.3">
      <c r="A567" s="1" t="s">
        <v>833</v>
      </c>
      <c r="B567" s="1">
        <v>27</v>
      </c>
      <c r="C567" s="1" t="s">
        <v>661</v>
      </c>
      <c r="D567" s="1">
        <v>187</v>
      </c>
      <c r="E567" s="1">
        <v>75</v>
      </c>
      <c r="F567" s="1">
        <v>126</v>
      </c>
      <c r="G567" s="1">
        <v>126</v>
      </c>
      <c r="H567" s="1" t="s">
        <v>834</v>
      </c>
      <c r="I567" s="1">
        <v>200</v>
      </c>
      <c r="J567" s="1" t="s">
        <v>835</v>
      </c>
      <c r="K567" s="1">
        <v>5</v>
      </c>
      <c r="L567" s="1">
        <f t="shared" si="8"/>
        <v>1000</v>
      </c>
      <c r="M567" s="1" t="s">
        <v>38</v>
      </c>
      <c r="N567" s="1"/>
      <c r="O567" s="12" t="str">
        <f>IF($J567=Sheet2!$A$2, ROW(), "")</f>
        <v/>
      </c>
      <c r="Q567" s="23" t="s">
        <v>2548</v>
      </c>
    </row>
    <row r="568" spans="1:17" ht="14" customHeight="1" x14ac:dyDescent="0.3">
      <c r="A568" s="1" t="s">
        <v>836</v>
      </c>
      <c r="B568" s="1">
        <v>20</v>
      </c>
      <c r="C568" s="1" t="s">
        <v>241</v>
      </c>
      <c r="D568" s="1">
        <v>186</v>
      </c>
      <c r="E568" s="1">
        <v>74</v>
      </c>
      <c r="F568" s="1">
        <v>142</v>
      </c>
      <c r="G568" s="1">
        <v>180</v>
      </c>
      <c r="H568" s="1" t="s">
        <v>317</v>
      </c>
      <c r="I568" s="1">
        <v>500</v>
      </c>
      <c r="J568" s="1" t="s">
        <v>1762</v>
      </c>
      <c r="K568" s="1">
        <v>7</v>
      </c>
      <c r="L568" s="1">
        <f t="shared" si="8"/>
        <v>2500</v>
      </c>
      <c r="M568" s="1" t="s">
        <v>38</v>
      </c>
      <c r="N568" s="1"/>
      <c r="O568" s="12" t="str">
        <f>IF($J568=Sheet2!$A$2, ROW(), "")</f>
        <v/>
      </c>
      <c r="Q568" s="23" t="s">
        <v>2549</v>
      </c>
    </row>
    <row r="569" spans="1:17" ht="14" customHeight="1" x14ac:dyDescent="0.3">
      <c r="A569" s="1" t="s">
        <v>837</v>
      </c>
      <c r="B569" s="1">
        <v>31</v>
      </c>
      <c r="C569" s="1" t="s">
        <v>246</v>
      </c>
      <c r="D569" s="1">
        <v>180</v>
      </c>
      <c r="E569" s="1">
        <v>75</v>
      </c>
      <c r="F569" s="1">
        <v>116</v>
      </c>
      <c r="G569" s="1">
        <v>122</v>
      </c>
      <c r="H569" s="1" t="s">
        <v>838</v>
      </c>
      <c r="I569" s="1">
        <v>200</v>
      </c>
      <c r="J569" s="1" t="s">
        <v>561</v>
      </c>
      <c r="K569" s="1">
        <v>6</v>
      </c>
      <c r="L569" s="1">
        <f t="shared" si="8"/>
        <v>1000</v>
      </c>
      <c r="M569" s="1" t="s">
        <v>38</v>
      </c>
      <c r="N569" s="1"/>
      <c r="O569" s="12" t="str">
        <f>IF($J569=Sheet2!$A$2, ROW(), "")</f>
        <v/>
      </c>
      <c r="Q569" s="23" t="s">
        <v>2550</v>
      </c>
    </row>
    <row r="570" spans="1:17" ht="14" customHeight="1" x14ac:dyDescent="0.3">
      <c r="A570" s="1" t="s">
        <v>839</v>
      </c>
      <c r="B570" s="1">
        <v>25</v>
      </c>
      <c r="C570" s="1" t="s">
        <v>774</v>
      </c>
      <c r="D570" s="1">
        <v>192</v>
      </c>
      <c r="E570" s="1">
        <v>79</v>
      </c>
      <c r="F570" s="1">
        <v>132</v>
      </c>
      <c r="G570" s="1">
        <v>150</v>
      </c>
      <c r="H570" s="1" t="s">
        <v>260</v>
      </c>
      <c r="I570" s="1">
        <v>200</v>
      </c>
      <c r="J570" s="1" t="s">
        <v>238</v>
      </c>
      <c r="K570" s="1">
        <v>4</v>
      </c>
      <c r="L570" s="1">
        <f t="shared" si="8"/>
        <v>1000</v>
      </c>
      <c r="M570" s="1" t="s">
        <v>38</v>
      </c>
      <c r="N570" s="1"/>
      <c r="O570" s="12" t="str">
        <f>IF($J570=Sheet2!$A$2, ROW(), "")</f>
        <v/>
      </c>
      <c r="Q570" s="23" t="s">
        <v>2551</v>
      </c>
    </row>
    <row r="571" spans="1:17" ht="14" customHeight="1" x14ac:dyDescent="0.3">
      <c r="A571" s="1" t="s">
        <v>840</v>
      </c>
      <c r="B571" s="1">
        <v>31</v>
      </c>
      <c r="C571" s="1" t="s">
        <v>232</v>
      </c>
      <c r="D571" s="1">
        <v>176</v>
      </c>
      <c r="E571" s="1">
        <v>69</v>
      </c>
      <c r="F571" s="1">
        <v>108</v>
      </c>
      <c r="G571" s="1">
        <v>116</v>
      </c>
      <c r="H571" s="1" t="s">
        <v>841</v>
      </c>
      <c r="I571" s="1">
        <v>300</v>
      </c>
      <c r="J571" s="1" t="s">
        <v>238</v>
      </c>
      <c r="K571" s="1">
        <v>4</v>
      </c>
      <c r="L571" s="1">
        <f t="shared" si="8"/>
        <v>1500</v>
      </c>
      <c r="M571" s="1" t="s">
        <v>38</v>
      </c>
      <c r="N571" s="1"/>
      <c r="O571" s="12" t="str">
        <f>IF($J571=Sheet2!$A$2, ROW(), "")</f>
        <v/>
      </c>
      <c r="Q571" s="23" t="s">
        <v>2552</v>
      </c>
    </row>
    <row r="572" spans="1:17" ht="14" customHeight="1" x14ac:dyDescent="0.3">
      <c r="A572" s="1" t="s">
        <v>842</v>
      </c>
      <c r="B572" s="1">
        <v>21</v>
      </c>
      <c r="C572" s="1" t="s">
        <v>843</v>
      </c>
      <c r="D572" s="1">
        <v>180</v>
      </c>
      <c r="E572" s="1">
        <v>75</v>
      </c>
      <c r="F572" s="1">
        <v>138</v>
      </c>
      <c r="G572" s="1">
        <v>180</v>
      </c>
      <c r="H572" s="1" t="s">
        <v>779</v>
      </c>
      <c r="I572" s="1">
        <v>400</v>
      </c>
      <c r="J572" s="1" t="s">
        <v>1762</v>
      </c>
      <c r="K572" s="1">
        <v>5</v>
      </c>
      <c r="L572" s="1">
        <f t="shared" si="8"/>
        <v>2000</v>
      </c>
      <c r="M572" s="1" t="s">
        <v>38</v>
      </c>
      <c r="N572" s="1"/>
      <c r="O572" s="12" t="str">
        <f>IF($J572=Sheet2!$A$2, ROW(), "")</f>
        <v/>
      </c>
      <c r="Q572" s="23" t="s">
        <v>2553</v>
      </c>
    </row>
    <row r="573" spans="1:17" ht="14" customHeight="1" x14ac:dyDescent="0.3">
      <c r="A573" s="1" t="s">
        <v>844</v>
      </c>
      <c r="B573" s="1">
        <v>19</v>
      </c>
      <c r="C573" s="1" t="s">
        <v>287</v>
      </c>
      <c r="D573" s="1">
        <v>178</v>
      </c>
      <c r="E573" s="1">
        <v>76</v>
      </c>
      <c r="F573" s="1">
        <v>120</v>
      </c>
      <c r="G573" s="1">
        <v>120</v>
      </c>
      <c r="H573" s="1" t="s">
        <v>845</v>
      </c>
      <c r="I573" s="1">
        <v>40</v>
      </c>
      <c r="J573" s="1" t="s">
        <v>609</v>
      </c>
      <c r="K573" s="1">
        <v>5</v>
      </c>
      <c r="L573" s="1">
        <f t="shared" si="8"/>
        <v>200</v>
      </c>
      <c r="M573" s="1" t="s">
        <v>38</v>
      </c>
      <c r="N573" s="1"/>
      <c r="O573" s="12" t="str">
        <f>IF($J573=Sheet2!$A$2, ROW(), "")</f>
        <v/>
      </c>
      <c r="Q573" s="23" t="s">
        <v>2554</v>
      </c>
    </row>
    <row r="574" spans="1:17" ht="14" customHeight="1" x14ac:dyDescent="0.3">
      <c r="A574" s="1" t="s">
        <v>846</v>
      </c>
      <c r="B574" s="1">
        <v>38</v>
      </c>
      <c r="C574" s="1" t="s">
        <v>287</v>
      </c>
      <c r="D574" s="1">
        <v>190</v>
      </c>
      <c r="E574" s="1">
        <v>79</v>
      </c>
      <c r="F574" s="1">
        <v>106</v>
      </c>
      <c r="G574" s="1">
        <v>118</v>
      </c>
      <c r="H574" s="1" t="s">
        <v>1</v>
      </c>
      <c r="I574" s="1">
        <v>200</v>
      </c>
      <c r="J574" s="1" t="s">
        <v>207</v>
      </c>
      <c r="K574" s="1">
        <v>4</v>
      </c>
      <c r="L574" s="1">
        <f t="shared" si="8"/>
        <v>1000</v>
      </c>
      <c r="M574" s="1" t="s">
        <v>38</v>
      </c>
      <c r="N574" s="1"/>
      <c r="O574" s="12" t="str">
        <f>IF($J574=Sheet2!$A$2, ROW(), "")</f>
        <v/>
      </c>
      <c r="Q574" s="23" t="s">
        <v>2555</v>
      </c>
    </row>
    <row r="575" spans="1:17" ht="14" customHeight="1" x14ac:dyDescent="0.3">
      <c r="A575" s="1" t="s">
        <v>847</v>
      </c>
      <c r="B575" s="1">
        <v>35</v>
      </c>
      <c r="C575" s="1" t="s">
        <v>246</v>
      </c>
      <c r="D575" s="1">
        <v>175</v>
      </c>
      <c r="E575" s="1">
        <v>75</v>
      </c>
      <c r="F575" s="1">
        <v>118</v>
      </c>
      <c r="G575" s="1">
        <v>132</v>
      </c>
      <c r="H575" s="1" t="s">
        <v>260</v>
      </c>
      <c r="I575" s="1">
        <v>150</v>
      </c>
      <c r="J575" s="1" t="s">
        <v>207</v>
      </c>
      <c r="K575" s="1">
        <v>4</v>
      </c>
      <c r="L575" s="1">
        <f t="shared" si="8"/>
        <v>750</v>
      </c>
      <c r="M575" s="1" t="s">
        <v>38</v>
      </c>
      <c r="N575" s="1"/>
      <c r="O575" s="12" t="str">
        <f>IF($J575=Sheet2!$A$2, ROW(), "")</f>
        <v/>
      </c>
      <c r="Q575" s="23" t="s">
        <v>2556</v>
      </c>
    </row>
    <row r="576" spans="1:17" ht="14" customHeight="1" x14ac:dyDescent="0.3">
      <c r="A576" s="1" t="s">
        <v>848</v>
      </c>
      <c r="B576" s="1">
        <v>34</v>
      </c>
      <c r="C576" s="1" t="s">
        <v>849</v>
      </c>
      <c r="D576" s="1">
        <v>183</v>
      </c>
      <c r="E576" s="1">
        <v>75</v>
      </c>
      <c r="F576" s="1">
        <v>114</v>
      </c>
      <c r="G576" s="1">
        <v>134</v>
      </c>
      <c r="H576" s="1" t="s">
        <v>317</v>
      </c>
      <c r="I576" s="1">
        <v>200</v>
      </c>
      <c r="J576" s="1" t="s">
        <v>207</v>
      </c>
      <c r="K576" s="1">
        <v>4</v>
      </c>
      <c r="L576" s="1">
        <f t="shared" si="8"/>
        <v>1000</v>
      </c>
      <c r="M576" s="1" t="s">
        <v>38</v>
      </c>
      <c r="N576" s="1"/>
      <c r="O576" s="12" t="str">
        <f>IF($J576=Sheet2!$A$2, ROW(), "")</f>
        <v/>
      </c>
      <c r="Q576" s="23" t="s">
        <v>2557</v>
      </c>
    </row>
    <row r="577" spans="1:17" ht="14" customHeight="1" x14ac:dyDescent="0.3">
      <c r="A577" s="1" t="s">
        <v>850</v>
      </c>
      <c r="B577" s="1">
        <v>21</v>
      </c>
      <c r="C577" s="1" t="s">
        <v>298</v>
      </c>
      <c r="D577" s="1">
        <v>190</v>
      </c>
      <c r="E577" s="1">
        <v>80</v>
      </c>
      <c r="F577" s="1">
        <v>139</v>
      </c>
      <c r="G577" s="1">
        <v>150</v>
      </c>
      <c r="H577" s="1" t="s">
        <v>317</v>
      </c>
      <c r="I577" s="1">
        <v>300</v>
      </c>
      <c r="J577" s="1" t="s">
        <v>1717</v>
      </c>
      <c r="K577" s="1">
        <v>6</v>
      </c>
      <c r="L577" s="1">
        <f t="shared" si="8"/>
        <v>1500</v>
      </c>
      <c r="M577" s="1" t="s">
        <v>38</v>
      </c>
      <c r="N577" s="1"/>
      <c r="O577" s="12" t="str">
        <f>IF($J577=Sheet2!$A$2, ROW(), "")</f>
        <v/>
      </c>
      <c r="Q577" s="23" t="s">
        <v>2558</v>
      </c>
    </row>
    <row r="578" spans="1:17" ht="14" customHeight="1" x14ac:dyDescent="0.3">
      <c r="A578" s="1" t="s">
        <v>851</v>
      </c>
      <c r="B578" s="1">
        <v>21</v>
      </c>
      <c r="C578" s="1" t="s">
        <v>312</v>
      </c>
      <c r="D578" s="1">
        <v>187</v>
      </c>
      <c r="E578" s="1">
        <v>86</v>
      </c>
      <c r="F578" s="1">
        <v>139</v>
      </c>
      <c r="G578" s="1">
        <v>160</v>
      </c>
      <c r="H578" s="1" t="s">
        <v>317</v>
      </c>
      <c r="I578" s="1">
        <v>300</v>
      </c>
      <c r="J578" s="1" t="s">
        <v>689</v>
      </c>
      <c r="K578" s="1">
        <v>6</v>
      </c>
      <c r="L578" s="1">
        <f t="shared" ref="L578:L641" si="9">I578*5</f>
        <v>1500</v>
      </c>
      <c r="M578" s="1" t="s">
        <v>38</v>
      </c>
      <c r="N578" s="1"/>
      <c r="O578" s="12" t="str">
        <f>IF($J578=Sheet2!$A$2, ROW(), "")</f>
        <v/>
      </c>
      <c r="Q578" s="23" t="s">
        <v>2559</v>
      </c>
    </row>
    <row r="579" spans="1:17" ht="14" customHeight="1" x14ac:dyDescent="0.3">
      <c r="A579" s="1" t="s">
        <v>852</v>
      </c>
      <c r="B579" s="1">
        <v>22</v>
      </c>
      <c r="C579" s="1" t="s">
        <v>642</v>
      </c>
      <c r="D579" s="1">
        <v>185</v>
      </c>
      <c r="E579" s="1">
        <v>75</v>
      </c>
      <c r="F579" s="1">
        <v>126</v>
      </c>
      <c r="G579" s="1">
        <v>140</v>
      </c>
      <c r="H579" s="1" t="s">
        <v>853</v>
      </c>
      <c r="I579" s="1">
        <v>45</v>
      </c>
      <c r="J579" s="1" t="s">
        <v>1834</v>
      </c>
      <c r="K579" s="1">
        <v>5</v>
      </c>
      <c r="L579" s="1">
        <f t="shared" si="9"/>
        <v>225</v>
      </c>
      <c r="M579" s="1" t="s">
        <v>38</v>
      </c>
      <c r="N579" s="1"/>
      <c r="O579" s="12" t="str">
        <f>IF($J579=Sheet2!$A$2, ROW(), "")</f>
        <v/>
      </c>
      <c r="Q579" s="23" t="s">
        <v>2560</v>
      </c>
    </row>
    <row r="580" spans="1:17" ht="14" customHeight="1" x14ac:dyDescent="0.3">
      <c r="A580" s="1" t="s">
        <v>854</v>
      </c>
      <c r="B580" s="1">
        <v>21</v>
      </c>
      <c r="C580" s="1" t="s">
        <v>0</v>
      </c>
      <c r="D580" s="1">
        <v>201</v>
      </c>
      <c r="E580" s="1">
        <v>78</v>
      </c>
      <c r="F580" s="1">
        <v>132</v>
      </c>
      <c r="G580" s="1">
        <v>133</v>
      </c>
      <c r="H580" s="1" t="s">
        <v>1</v>
      </c>
      <c r="I580" s="1">
        <v>80</v>
      </c>
      <c r="J580" s="1" t="s">
        <v>315</v>
      </c>
      <c r="K580" s="1">
        <v>7</v>
      </c>
      <c r="L580" s="1">
        <f t="shared" si="9"/>
        <v>400</v>
      </c>
      <c r="M580" s="1" t="s">
        <v>98</v>
      </c>
      <c r="N580" s="1"/>
      <c r="O580" s="12" t="str">
        <f>IF($J580=Sheet2!$A$2, ROW(), "")</f>
        <v/>
      </c>
      <c r="Q580" s="23" t="s">
        <v>2561</v>
      </c>
    </row>
    <row r="581" spans="1:17" ht="14" customHeight="1" x14ac:dyDescent="0.3">
      <c r="A581" s="1" t="s">
        <v>855</v>
      </c>
      <c r="B581" s="1">
        <v>19</v>
      </c>
      <c r="C581" s="1" t="s">
        <v>856</v>
      </c>
      <c r="D581" s="1">
        <v>169</v>
      </c>
      <c r="E581" s="1">
        <v>74</v>
      </c>
      <c r="F581" s="1">
        <v>131</v>
      </c>
      <c r="G581" s="1">
        <v>131</v>
      </c>
      <c r="H581" s="1" t="s">
        <v>857</v>
      </c>
      <c r="I581" s="1">
        <v>60</v>
      </c>
      <c r="J581" s="1" t="s">
        <v>315</v>
      </c>
      <c r="K581" s="1">
        <v>6</v>
      </c>
      <c r="L581" s="1">
        <f t="shared" si="9"/>
        <v>300</v>
      </c>
      <c r="M581" s="1" t="s">
        <v>98</v>
      </c>
      <c r="N581" s="1"/>
      <c r="O581" s="12" t="str">
        <f>IF($J581=Sheet2!$A$2, ROW(), "")</f>
        <v/>
      </c>
      <c r="Q581" s="23" t="s">
        <v>2562</v>
      </c>
    </row>
    <row r="582" spans="1:17" ht="14" customHeight="1" x14ac:dyDescent="0.3">
      <c r="A582" s="1" t="s">
        <v>858</v>
      </c>
      <c r="B582" s="1">
        <v>23</v>
      </c>
      <c r="C582" s="1" t="s">
        <v>859</v>
      </c>
      <c r="D582" s="1">
        <v>202</v>
      </c>
      <c r="E582" s="1">
        <v>92</v>
      </c>
      <c r="F582" s="1">
        <v>124</v>
      </c>
      <c r="G582" s="1">
        <v>124</v>
      </c>
      <c r="H582" s="1" t="s">
        <v>260</v>
      </c>
      <c r="I582" s="1">
        <v>100</v>
      </c>
      <c r="J582" s="1" t="s">
        <v>248</v>
      </c>
      <c r="K582" s="1">
        <v>8</v>
      </c>
      <c r="L582" s="1">
        <f t="shared" si="9"/>
        <v>500</v>
      </c>
      <c r="M582" s="1" t="s">
        <v>38</v>
      </c>
      <c r="N582" s="1"/>
      <c r="O582" s="12">
        <f>IF($J582=Sheet2!$A$2, ROW(), "")</f>
        <v>582</v>
      </c>
      <c r="Q582" s="23" t="s">
        <v>2563</v>
      </c>
    </row>
    <row r="583" spans="1:17" ht="14" customHeight="1" x14ac:dyDescent="0.3">
      <c r="A583" s="1" t="s">
        <v>860</v>
      </c>
      <c r="B583" s="1">
        <v>21</v>
      </c>
      <c r="C583" s="1" t="s">
        <v>861</v>
      </c>
      <c r="D583" s="1">
        <v>185</v>
      </c>
      <c r="E583" s="1">
        <v>86</v>
      </c>
      <c r="F583" s="1">
        <v>121</v>
      </c>
      <c r="G583" s="1">
        <v>121</v>
      </c>
      <c r="H583" s="1" t="s">
        <v>317</v>
      </c>
      <c r="I583" s="1">
        <v>24</v>
      </c>
      <c r="J583" s="1" t="s">
        <v>1763</v>
      </c>
      <c r="K583" s="1">
        <v>6</v>
      </c>
      <c r="L583" s="1">
        <f t="shared" si="9"/>
        <v>120</v>
      </c>
      <c r="M583" s="1" t="s">
        <v>98</v>
      </c>
      <c r="N583" s="1"/>
      <c r="O583" s="12">
        <f>IF($J583=Sheet2!$A$2, ROW(), "")</f>
        <v>583</v>
      </c>
      <c r="Q583" s="23" t="s">
        <v>2564</v>
      </c>
    </row>
    <row r="584" spans="1:17" ht="14" customHeight="1" x14ac:dyDescent="0.3">
      <c r="A584" s="1" t="s">
        <v>862</v>
      </c>
      <c r="B584" s="1">
        <v>19</v>
      </c>
      <c r="C584" s="1" t="s">
        <v>863</v>
      </c>
      <c r="D584" s="1">
        <v>167</v>
      </c>
      <c r="E584" s="1">
        <v>73</v>
      </c>
      <c r="F584" s="1">
        <v>121</v>
      </c>
      <c r="G584" s="1">
        <v>121</v>
      </c>
      <c r="H584" s="1" t="s">
        <v>864</v>
      </c>
      <c r="I584" s="1">
        <v>100</v>
      </c>
      <c r="J584" s="1" t="s">
        <v>1718</v>
      </c>
      <c r="K584" s="1">
        <v>5</v>
      </c>
      <c r="L584" s="1">
        <f t="shared" si="9"/>
        <v>500</v>
      </c>
      <c r="M584" s="1" t="s">
        <v>98</v>
      </c>
      <c r="N584" s="1"/>
      <c r="O584" s="12" t="str">
        <f>IF($J584=Sheet2!$A$2, ROW(), "")</f>
        <v/>
      </c>
      <c r="Q584" s="23" t="s">
        <v>2565</v>
      </c>
    </row>
    <row r="585" spans="1:17" ht="14" customHeight="1" x14ac:dyDescent="0.3">
      <c r="A585" s="1" t="s">
        <v>865</v>
      </c>
      <c r="B585" s="1">
        <v>19</v>
      </c>
      <c r="C585" s="1" t="s">
        <v>0</v>
      </c>
      <c r="D585" s="1">
        <v>185</v>
      </c>
      <c r="E585" s="1">
        <v>75</v>
      </c>
      <c r="F585" s="1">
        <v>135</v>
      </c>
      <c r="G585" s="1">
        <v>176</v>
      </c>
      <c r="H585" s="1" t="s">
        <v>866</v>
      </c>
      <c r="I585" s="1">
        <v>120</v>
      </c>
      <c r="J585" s="1" t="s">
        <v>315</v>
      </c>
      <c r="K585" s="1">
        <v>9</v>
      </c>
      <c r="L585" s="1">
        <f t="shared" si="9"/>
        <v>600</v>
      </c>
      <c r="M585" s="1" t="s">
        <v>98</v>
      </c>
      <c r="N585" s="1"/>
      <c r="O585" s="12" t="str">
        <f>IF($J585=Sheet2!$A$2, ROW(), "")</f>
        <v/>
      </c>
      <c r="Q585" s="23" t="s">
        <v>2566</v>
      </c>
    </row>
    <row r="586" spans="1:17" ht="14" customHeight="1" x14ac:dyDescent="0.3">
      <c r="A586" s="1" t="s">
        <v>867</v>
      </c>
      <c r="B586" s="1">
        <v>20</v>
      </c>
      <c r="C586" s="1" t="s">
        <v>0</v>
      </c>
      <c r="D586" s="1">
        <v>187</v>
      </c>
      <c r="E586" s="1">
        <v>78</v>
      </c>
      <c r="F586" s="1">
        <v>124</v>
      </c>
      <c r="G586" s="1">
        <v>124</v>
      </c>
      <c r="H586" s="1" t="s">
        <v>597</v>
      </c>
      <c r="I586" s="1">
        <v>24</v>
      </c>
      <c r="J586" s="1" t="s">
        <v>1763</v>
      </c>
      <c r="K586" s="1">
        <v>5</v>
      </c>
      <c r="L586" s="1">
        <f t="shared" si="9"/>
        <v>120</v>
      </c>
      <c r="M586" s="1" t="s">
        <v>98</v>
      </c>
      <c r="N586" s="1"/>
      <c r="O586" s="12">
        <f>IF($J586=Sheet2!$A$2, ROW(), "")</f>
        <v>586</v>
      </c>
      <c r="Q586" s="23" t="s">
        <v>2567</v>
      </c>
    </row>
    <row r="587" spans="1:17" ht="14" customHeight="1" x14ac:dyDescent="0.3">
      <c r="A587" s="1" t="s">
        <v>868</v>
      </c>
      <c r="B587" s="1">
        <v>22</v>
      </c>
      <c r="C587" s="1" t="s">
        <v>0</v>
      </c>
      <c r="D587" s="1">
        <v>178</v>
      </c>
      <c r="E587" s="1">
        <v>75</v>
      </c>
      <c r="F587" s="1">
        <v>122</v>
      </c>
      <c r="G587" s="1">
        <v>122</v>
      </c>
      <c r="H587" s="1" t="s">
        <v>869</v>
      </c>
      <c r="I587" s="1">
        <v>24</v>
      </c>
      <c r="J587" s="1" t="s">
        <v>1939</v>
      </c>
      <c r="K587" s="1">
        <v>5</v>
      </c>
      <c r="L587" s="1">
        <f t="shared" si="9"/>
        <v>120</v>
      </c>
      <c r="M587" s="1" t="s">
        <v>98</v>
      </c>
      <c r="N587" s="1"/>
      <c r="O587" s="12" t="str">
        <f>IF($J587=Sheet2!$A$2, ROW(), "")</f>
        <v/>
      </c>
      <c r="Q587" s="23" t="s">
        <v>2568</v>
      </c>
    </row>
    <row r="588" spans="1:17" ht="14" customHeight="1" x14ac:dyDescent="0.3">
      <c r="A588" s="1" t="s">
        <v>870</v>
      </c>
      <c r="B588" s="1">
        <v>20</v>
      </c>
      <c r="C588" s="1" t="s">
        <v>0</v>
      </c>
      <c r="D588" s="1">
        <v>184</v>
      </c>
      <c r="E588" s="1">
        <v>76</v>
      </c>
      <c r="F588" s="1">
        <v>124</v>
      </c>
      <c r="G588" s="1">
        <v>124</v>
      </c>
      <c r="H588" s="1" t="s">
        <v>871</v>
      </c>
      <c r="I588" s="1">
        <v>120</v>
      </c>
      <c r="J588" s="1" t="s">
        <v>1854</v>
      </c>
      <c r="K588" s="1">
        <v>6</v>
      </c>
      <c r="L588" s="1">
        <f t="shared" si="9"/>
        <v>600</v>
      </c>
      <c r="M588" s="1" t="s">
        <v>38</v>
      </c>
      <c r="N588" s="1"/>
      <c r="O588" s="12" t="str">
        <f>IF($J588=Sheet2!$A$2, ROW(), "")</f>
        <v/>
      </c>
      <c r="Q588" s="23" t="s">
        <v>2569</v>
      </c>
    </row>
    <row r="589" spans="1:17" ht="14" customHeight="1" x14ac:dyDescent="0.3">
      <c r="A589" s="1" t="s">
        <v>872</v>
      </c>
      <c r="B589" s="1">
        <v>20</v>
      </c>
      <c r="C589" s="1" t="s">
        <v>873</v>
      </c>
      <c r="D589" s="1">
        <v>167</v>
      </c>
      <c r="E589" s="1">
        <v>69</v>
      </c>
      <c r="F589" s="1">
        <v>132</v>
      </c>
      <c r="G589" s="1">
        <v>135</v>
      </c>
      <c r="H589" s="1" t="s">
        <v>874</v>
      </c>
      <c r="I589" s="1">
        <v>120</v>
      </c>
      <c r="J589" s="1" t="s">
        <v>1888</v>
      </c>
      <c r="K589" s="1">
        <v>5</v>
      </c>
      <c r="L589" s="1">
        <f t="shared" si="9"/>
        <v>600</v>
      </c>
      <c r="M589" s="1" t="s">
        <v>38</v>
      </c>
      <c r="N589" s="1"/>
      <c r="O589" s="12" t="str">
        <f>IF($J589=Sheet2!$A$2, ROW(), "")</f>
        <v/>
      </c>
      <c r="Q589" s="23" t="s">
        <v>2570</v>
      </c>
    </row>
    <row r="590" spans="1:17" ht="14" customHeight="1" x14ac:dyDescent="0.3">
      <c r="A590" s="1" t="s">
        <v>875</v>
      </c>
      <c r="B590" s="1">
        <v>23</v>
      </c>
      <c r="C590" s="1" t="s">
        <v>876</v>
      </c>
      <c r="D590" s="1">
        <v>178</v>
      </c>
      <c r="E590" s="1">
        <v>67</v>
      </c>
      <c r="F590" s="1">
        <v>126</v>
      </c>
      <c r="G590" s="1">
        <v>126</v>
      </c>
      <c r="H590" s="1" t="s">
        <v>877</v>
      </c>
      <c r="I590" s="1">
        <v>24</v>
      </c>
      <c r="J590" s="1" t="s">
        <v>1717</v>
      </c>
      <c r="K590" s="1">
        <v>7</v>
      </c>
      <c r="L590" s="1">
        <f t="shared" si="9"/>
        <v>120</v>
      </c>
      <c r="M590" s="1" t="s">
        <v>98</v>
      </c>
      <c r="N590" s="1"/>
      <c r="O590" s="12" t="str">
        <f>IF($J590=Sheet2!$A$2, ROW(), "")</f>
        <v/>
      </c>
      <c r="Q590" s="23" t="s">
        <v>2571</v>
      </c>
    </row>
    <row r="591" spans="1:17" ht="14" customHeight="1" x14ac:dyDescent="0.3">
      <c r="A591" s="1" t="s">
        <v>878</v>
      </c>
      <c r="B591" s="1">
        <v>21</v>
      </c>
      <c r="C591" s="1" t="s">
        <v>879</v>
      </c>
      <c r="D591" s="1">
        <v>192</v>
      </c>
      <c r="E591" s="1">
        <v>78</v>
      </c>
      <c r="F591" s="1">
        <v>122</v>
      </c>
      <c r="G591" s="1">
        <v>126</v>
      </c>
      <c r="H591" s="1" t="s">
        <v>317</v>
      </c>
      <c r="I591" s="1">
        <v>100</v>
      </c>
      <c r="J591" s="1" t="s">
        <v>1736</v>
      </c>
      <c r="K591" s="1">
        <v>6</v>
      </c>
      <c r="L591" s="1">
        <f t="shared" si="9"/>
        <v>500</v>
      </c>
      <c r="M591" s="1" t="s">
        <v>38</v>
      </c>
      <c r="N591" s="1"/>
      <c r="O591" s="12" t="str">
        <f>IF($J591=Sheet2!$A$2, ROW(), "")</f>
        <v/>
      </c>
      <c r="Q591" s="23" t="s">
        <v>2572</v>
      </c>
    </row>
    <row r="592" spans="1:17" ht="14" customHeight="1" x14ac:dyDescent="0.3">
      <c r="A592" s="1" t="s">
        <v>880</v>
      </c>
      <c r="B592" s="1">
        <v>21</v>
      </c>
      <c r="C592" s="1" t="s">
        <v>624</v>
      </c>
      <c r="D592" s="1">
        <v>178</v>
      </c>
      <c r="E592" s="1">
        <v>75</v>
      </c>
      <c r="F592" s="1">
        <v>138</v>
      </c>
      <c r="G592" s="1">
        <v>180</v>
      </c>
      <c r="H592" s="1" t="s">
        <v>881</v>
      </c>
      <c r="I592" s="1">
        <v>200</v>
      </c>
      <c r="J592" s="1" t="s">
        <v>274</v>
      </c>
      <c r="K592" s="1">
        <v>6</v>
      </c>
      <c r="L592" s="1">
        <f t="shared" si="9"/>
        <v>1000</v>
      </c>
      <c r="M592" s="1" t="s">
        <v>38</v>
      </c>
      <c r="N592" s="1"/>
      <c r="O592" s="12" t="str">
        <f>IF($J592=Sheet2!$A$2, ROW(), "")</f>
        <v/>
      </c>
      <c r="Q592" s="23" t="s">
        <v>2573</v>
      </c>
    </row>
    <row r="593" spans="1:17" ht="14" customHeight="1" x14ac:dyDescent="0.3">
      <c r="A593" s="1" t="s">
        <v>882</v>
      </c>
      <c r="B593" s="1">
        <v>23</v>
      </c>
      <c r="C593" s="1" t="s">
        <v>246</v>
      </c>
      <c r="D593" s="1">
        <v>186</v>
      </c>
      <c r="E593" s="1">
        <v>76</v>
      </c>
      <c r="F593" s="1">
        <v>132</v>
      </c>
      <c r="G593" s="1">
        <v>146</v>
      </c>
      <c r="H593" s="1" t="s">
        <v>883</v>
      </c>
      <c r="I593" s="1">
        <v>200</v>
      </c>
      <c r="J593" s="1" t="s">
        <v>271</v>
      </c>
      <c r="K593" s="1">
        <v>5</v>
      </c>
      <c r="L593" s="1">
        <f t="shared" si="9"/>
        <v>1000</v>
      </c>
      <c r="M593" s="1" t="s">
        <v>38</v>
      </c>
      <c r="N593" s="1"/>
      <c r="O593" s="12" t="str">
        <f>IF($J593=Sheet2!$A$2, ROW(), "")</f>
        <v/>
      </c>
      <c r="Q593" s="23" t="s">
        <v>2574</v>
      </c>
    </row>
    <row r="594" spans="1:17" ht="14" customHeight="1" x14ac:dyDescent="0.3">
      <c r="A594" s="1" t="s">
        <v>884</v>
      </c>
      <c r="B594" s="1">
        <v>21</v>
      </c>
      <c r="C594" s="1" t="s">
        <v>611</v>
      </c>
      <c r="D594" s="1">
        <v>194</v>
      </c>
      <c r="E594" s="1">
        <v>76</v>
      </c>
      <c r="F594" s="1">
        <v>142</v>
      </c>
      <c r="G594" s="1">
        <v>160</v>
      </c>
      <c r="H594" s="1" t="s">
        <v>260</v>
      </c>
      <c r="I594" s="1">
        <v>170</v>
      </c>
      <c r="J594" s="1" t="s">
        <v>1762</v>
      </c>
      <c r="K594" s="1">
        <v>6</v>
      </c>
      <c r="L594" s="1">
        <f t="shared" si="9"/>
        <v>850</v>
      </c>
      <c r="M594" s="1" t="s">
        <v>38</v>
      </c>
      <c r="N594" s="1"/>
      <c r="O594" s="12" t="str">
        <f>IF($J594=Sheet2!$A$2, ROW(), "")</f>
        <v/>
      </c>
      <c r="Q594" s="23" t="s">
        <v>2575</v>
      </c>
    </row>
    <row r="595" spans="1:17" ht="14" customHeight="1" x14ac:dyDescent="0.3">
      <c r="A595" s="1" t="s">
        <v>885</v>
      </c>
      <c r="B595" s="1">
        <v>28</v>
      </c>
      <c r="C595" s="1" t="s">
        <v>287</v>
      </c>
      <c r="D595" s="1">
        <v>177</v>
      </c>
      <c r="E595" s="1">
        <v>74</v>
      </c>
      <c r="F595" s="1">
        <v>112</v>
      </c>
      <c r="G595" s="1">
        <v>112</v>
      </c>
      <c r="H595" s="1" t="s">
        <v>886</v>
      </c>
      <c r="I595" s="1">
        <v>150</v>
      </c>
      <c r="J595" s="1" t="s">
        <v>561</v>
      </c>
      <c r="K595" s="1">
        <v>5</v>
      </c>
      <c r="L595" s="1">
        <f t="shared" si="9"/>
        <v>750</v>
      </c>
      <c r="M595" s="1" t="s">
        <v>38</v>
      </c>
      <c r="N595" s="1"/>
      <c r="O595" s="12" t="str">
        <f>IF($J595=Sheet2!$A$2, ROW(), "")</f>
        <v/>
      </c>
      <c r="Q595" s="23" t="s">
        <v>2576</v>
      </c>
    </row>
    <row r="596" spans="1:17" ht="14" customHeight="1" x14ac:dyDescent="0.3">
      <c r="A596" s="1" t="s">
        <v>887</v>
      </c>
      <c r="B596" s="1">
        <v>24</v>
      </c>
      <c r="C596" s="1" t="s">
        <v>563</v>
      </c>
      <c r="D596" s="1">
        <v>178</v>
      </c>
      <c r="E596" s="1">
        <v>76</v>
      </c>
      <c r="F596" s="1">
        <v>120</v>
      </c>
      <c r="G596" s="1">
        <v>120</v>
      </c>
      <c r="H596" s="1" t="s">
        <v>888</v>
      </c>
      <c r="I596" s="1">
        <v>200</v>
      </c>
      <c r="J596" s="1" t="s">
        <v>1736</v>
      </c>
      <c r="K596" s="1">
        <v>5</v>
      </c>
      <c r="L596" s="1">
        <f t="shared" si="9"/>
        <v>1000</v>
      </c>
      <c r="M596" s="1" t="s">
        <v>38</v>
      </c>
      <c r="N596" s="1"/>
      <c r="O596" s="12" t="str">
        <f>IF($J596=Sheet2!$A$2, ROW(), "")</f>
        <v/>
      </c>
      <c r="Q596" s="23" t="s">
        <v>2577</v>
      </c>
    </row>
    <row r="597" spans="1:17" ht="14" customHeight="1" x14ac:dyDescent="0.3">
      <c r="A597" s="1" t="s">
        <v>889</v>
      </c>
      <c r="B597" s="1">
        <v>21</v>
      </c>
      <c r="C597" s="1" t="s">
        <v>312</v>
      </c>
      <c r="D597" s="1">
        <v>184</v>
      </c>
      <c r="E597" s="1">
        <v>75</v>
      </c>
      <c r="F597" s="1">
        <v>133</v>
      </c>
      <c r="G597" s="1">
        <v>160</v>
      </c>
      <c r="H597" s="1" t="s">
        <v>890</v>
      </c>
      <c r="I597" s="1">
        <v>180</v>
      </c>
      <c r="J597" s="1" t="s">
        <v>238</v>
      </c>
      <c r="K597" s="1">
        <v>4</v>
      </c>
      <c r="L597" s="1">
        <f t="shared" si="9"/>
        <v>900</v>
      </c>
      <c r="M597" s="1" t="s">
        <v>38</v>
      </c>
      <c r="N597" s="1"/>
      <c r="O597" s="12" t="str">
        <f>IF($J597=Sheet2!$A$2, ROW(), "")</f>
        <v/>
      </c>
      <c r="Q597" s="23" t="s">
        <v>2578</v>
      </c>
    </row>
    <row r="598" spans="1:17" ht="14" customHeight="1" x14ac:dyDescent="0.3">
      <c r="A598" s="1" t="s">
        <v>891</v>
      </c>
      <c r="B598" s="1">
        <v>23</v>
      </c>
      <c r="C598" s="1" t="s">
        <v>287</v>
      </c>
      <c r="D598" s="1">
        <v>184</v>
      </c>
      <c r="E598" s="1">
        <v>75</v>
      </c>
      <c r="F598" s="1">
        <v>122</v>
      </c>
      <c r="G598" s="1">
        <v>124</v>
      </c>
      <c r="H598" s="1" t="s">
        <v>892</v>
      </c>
      <c r="I598" s="1">
        <v>200</v>
      </c>
      <c r="J598" s="1" t="s">
        <v>1721</v>
      </c>
      <c r="K598" s="1">
        <v>5</v>
      </c>
      <c r="L598" s="1">
        <f t="shared" si="9"/>
        <v>1000</v>
      </c>
      <c r="M598" s="1" t="s">
        <v>38</v>
      </c>
      <c r="N598" s="1"/>
      <c r="O598" s="12" t="str">
        <f>IF($J598=Sheet2!$A$2, ROW(), "")</f>
        <v/>
      </c>
      <c r="Q598" s="23" t="s">
        <v>2579</v>
      </c>
    </row>
    <row r="599" spans="1:17" ht="14" customHeight="1" x14ac:dyDescent="0.3">
      <c r="A599" s="1" t="s">
        <v>893</v>
      </c>
      <c r="B599" s="1">
        <v>21</v>
      </c>
      <c r="C599" s="1" t="s">
        <v>287</v>
      </c>
      <c r="D599" s="1">
        <v>185</v>
      </c>
      <c r="E599" s="1">
        <v>73</v>
      </c>
      <c r="F599" s="1">
        <v>100</v>
      </c>
      <c r="G599" s="1">
        <v>140</v>
      </c>
      <c r="H599" s="1" t="s">
        <v>357</v>
      </c>
      <c r="I599" s="1">
        <v>30</v>
      </c>
      <c r="J599" s="1" t="s">
        <v>268</v>
      </c>
      <c r="K599" s="1">
        <v>9</v>
      </c>
      <c r="L599" s="1">
        <f t="shared" si="9"/>
        <v>150</v>
      </c>
      <c r="M599" s="1" t="s">
        <v>38</v>
      </c>
      <c r="N599" s="1"/>
      <c r="O599" s="12" t="str">
        <f>IF($J599=Sheet2!$A$2, ROW(), "")</f>
        <v/>
      </c>
      <c r="Q599" s="23" t="s">
        <v>2580</v>
      </c>
    </row>
    <row r="600" spans="1:17" ht="14" customHeight="1" x14ac:dyDescent="0.3">
      <c r="A600" s="1" t="s">
        <v>894</v>
      </c>
      <c r="B600" s="1">
        <v>38</v>
      </c>
      <c r="C600" s="1" t="s">
        <v>611</v>
      </c>
      <c r="D600" s="1">
        <v>190</v>
      </c>
      <c r="E600" s="1">
        <v>78</v>
      </c>
      <c r="F600" s="1">
        <v>120</v>
      </c>
      <c r="G600" s="1">
        <v>166</v>
      </c>
      <c r="H600" s="1" t="s">
        <v>895</v>
      </c>
      <c r="I600" s="1">
        <v>120</v>
      </c>
      <c r="J600" s="1" t="s">
        <v>108</v>
      </c>
      <c r="K600" s="1">
        <v>4</v>
      </c>
      <c r="L600" s="1">
        <f t="shared" si="9"/>
        <v>600</v>
      </c>
      <c r="M600" s="1" t="s">
        <v>98</v>
      </c>
      <c r="N600" s="1"/>
      <c r="O600" s="12" t="str">
        <f>IF($J600=Sheet2!$A$2, ROW(), "")</f>
        <v/>
      </c>
      <c r="Q600" s="23" t="s">
        <v>2581</v>
      </c>
    </row>
    <row r="601" spans="1:17" ht="14" customHeight="1" x14ac:dyDescent="0.3">
      <c r="A601" s="1" t="s">
        <v>896</v>
      </c>
      <c r="B601" s="1">
        <v>20</v>
      </c>
      <c r="C601" s="1" t="s">
        <v>897</v>
      </c>
      <c r="D601" s="1">
        <v>172</v>
      </c>
      <c r="E601" s="1">
        <v>77</v>
      </c>
      <c r="F601" s="1">
        <v>118</v>
      </c>
      <c r="G601" s="1">
        <v>140</v>
      </c>
      <c r="H601" s="1" t="s">
        <v>277</v>
      </c>
      <c r="I601" s="1">
        <v>40</v>
      </c>
      <c r="J601" s="1" t="s">
        <v>257</v>
      </c>
      <c r="K601" s="1">
        <v>5</v>
      </c>
      <c r="L601" s="1">
        <f t="shared" si="9"/>
        <v>200</v>
      </c>
      <c r="M601" s="1" t="s">
        <v>38</v>
      </c>
      <c r="N601" s="1"/>
      <c r="O601" s="12" t="str">
        <f>IF($J601=Sheet2!$A$2, ROW(), "")</f>
        <v/>
      </c>
      <c r="Q601" s="23" t="s">
        <v>2582</v>
      </c>
    </row>
    <row r="602" spans="1:17" ht="14" customHeight="1" x14ac:dyDescent="0.3">
      <c r="A602" s="1" t="s">
        <v>898</v>
      </c>
      <c r="B602" s="1">
        <v>21</v>
      </c>
      <c r="C602" s="1" t="s">
        <v>273</v>
      </c>
      <c r="D602" s="1">
        <v>194</v>
      </c>
      <c r="E602" s="1">
        <v>75</v>
      </c>
      <c r="F602" s="1">
        <v>120</v>
      </c>
      <c r="G602" s="1">
        <v>120</v>
      </c>
      <c r="H602" s="1" t="s">
        <v>1</v>
      </c>
      <c r="I602" s="1">
        <v>40</v>
      </c>
      <c r="J602" s="1" t="s">
        <v>1774</v>
      </c>
      <c r="K602" s="1">
        <v>5</v>
      </c>
      <c r="L602" s="1">
        <f t="shared" si="9"/>
        <v>200</v>
      </c>
      <c r="M602" s="1" t="s">
        <v>38</v>
      </c>
      <c r="N602" s="1"/>
      <c r="O602" s="12" t="str">
        <f>IF($J602=Sheet2!$A$2, ROW(), "")</f>
        <v/>
      </c>
      <c r="Q602" s="23" t="s">
        <v>2583</v>
      </c>
    </row>
    <row r="603" spans="1:17" ht="14" customHeight="1" x14ac:dyDescent="0.3">
      <c r="A603" s="1" t="s">
        <v>899</v>
      </c>
      <c r="B603" s="1">
        <v>33</v>
      </c>
      <c r="C603" s="1" t="s">
        <v>287</v>
      </c>
      <c r="D603" s="1">
        <v>182</v>
      </c>
      <c r="E603" s="1">
        <v>77</v>
      </c>
      <c r="F603" s="1">
        <v>102</v>
      </c>
      <c r="G603" s="1">
        <v>120</v>
      </c>
      <c r="H603" s="1" t="s">
        <v>317</v>
      </c>
      <c r="I603" s="1">
        <v>40</v>
      </c>
      <c r="J603" s="1" t="s">
        <v>108</v>
      </c>
      <c r="K603" s="1">
        <v>4</v>
      </c>
      <c r="L603" s="1">
        <f t="shared" si="9"/>
        <v>200</v>
      </c>
      <c r="M603" s="1" t="s">
        <v>38</v>
      </c>
      <c r="N603" s="1"/>
      <c r="O603" s="12" t="str">
        <f>IF($J603=Sheet2!$A$2, ROW(), "")</f>
        <v/>
      </c>
      <c r="Q603" s="23" t="s">
        <v>2584</v>
      </c>
    </row>
    <row r="604" spans="1:17" ht="14" customHeight="1" x14ac:dyDescent="0.3">
      <c r="A604" s="1" t="s">
        <v>900</v>
      </c>
      <c r="B604" s="1">
        <v>28</v>
      </c>
      <c r="C604" s="1" t="s">
        <v>287</v>
      </c>
      <c r="D604" s="1">
        <v>178</v>
      </c>
      <c r="E604" s="1">
        <v>67</v>
      </c>
      <c r="F604" s="1">
        <v>112</v>
      </c>
      <c r="G604" s="1">
        <v>116</v>
      </c>
      <c r="H604" s="1" t="s">
        <v>901</v>
      </c>
      <c r="I604" s="1">
        <v>40</v>
      </c>
      <c r="J604" s="1" t="s">
        <v>108</v>
      </c>
      <c r="K604" s="1">
        <v>4</v>
      </c>
      <c r="L604" s="1">
        <f t="shared" si="9"/>
        <v>200</v>
      </c>
      <c r="M604" s="1" t="s">
        <v>38</v>
      </c>
      <c r="N604" s="1"/>
      <c r="O604" s="12" t="str">
        <f>IF($J604=Sheet2!$A$2, ROW(), "")</f>
        <v/>
      </c>
      <c r="Q604" s="23" t="s">
        <v>2585</v>
      </c>
    </row>
    <row r="605" spans="1:17" ht="14" customHeight="1" x14ac:dyDescent="0.3">
      <c r="A605" s="1" t="s">
        <v>902</v>
      </c>
      <c r="B605" s="1">
        <v>24</v>
      </c>
      <c r="C605" s="1" t="s">
        <v>903</v>
      </c>
      <c r="D605" s="1">
        <v>190</v>
      </c>
      <c r="E605" s="1">
        <v>78</v>
      </c>
      <c r="F605" s="1">
        <v>133</v>
      </c>
      <c r="G605" s="1">
        <v>150</v>
      </c>
      <c r="H605" s="1" t="s">
        <v>357</v>
      </c>
      <c r="I605" s="1">
        <v>300</v>
      </c>
      <c r="J605" s="1" t="s">
        <v>238</v>
      </c>
      <c r="K605" s="1">
        <v>4</v>
      </c>
      <c r="L605" s="1">
        <f t="shared" si="9"/>
        <v>1500</v>
      </c>
      <c r="M605" s="1" t="s">
        <v>38</v>
      </c>
      <c r="N605" s="1"/>
      <c r="O605" s="12" t="str">
        <f>IF($J605=Sheet2!$A$2, ROW(), "")</f>
        <v/>
      </c>
      <c r="Q605" s="23" t="s">
        <v>2586</v>
      </c>
    </row>
    <row r="606" spans="1:17" ht="14" customHeight="1" x14ac:dyDescent="0.3">
      <c r="A606" s="1" t="s">
        <v>904</v>
      </c>
      <c r="B606" s="1">
        <v>37</v>
      </c>
      <c r="C606" s="1" t="s">
        <v>905</v>
      </c>
      <c r="D606" s="1">
        <v>187</v>
      </c>
      <c r="E606" s="1">
        <v>76</v>
      </c>
      <c r="F606" s="1">
        <v>120</v>
      </c>
      <c r="G606" s="1">
        <v>126</v>
      </c>
      <c r="H606" s="1" t="s">
        <v>326</v>
      </c>
      <c r="I606" s="1">
        <v>150</v>
      </c>
      <c r="J606" s="1" t="s">
        <v>207</v>
      </c>
      <c r="K606" s="1">
        <v>4</v>
      </c>
      <c r="L606" s="1">
        <f t="shared" si="9"/>
        <v>750</v>
      </c>
      <c r="M606" s="1" t="s">
        <v>38</v>
      </c>
      <c r="N606" s="1"/>
      <c r="O606" s="12" t="str">
        <f>IF($J606=Sheet2!$A$2, ROW(), "")</f>
        <v/>
      </c>
      <c r="Q606" s="23" t="s">
        <v>2587</v>
      </c>
    </row>
    <row r="607" spans="1:17" ht="14" customHeight="1" x14ac:dyDescent="0.3">
      <c r="A607" s="1" t="s">
        <v>906</v>
      </c>
      <c r="B607" s="1">
        <v>21</v>
      </c>
      <c r="C607" s="1" t="s">
        <v>668</v>
      </c>
      <c r="D607" s="1">
        <v>174</v>
      </c>
      <c r="E607" s="1">
        <v>73</v>
      </c>
      <c r="F607" s="1">
        <v>141</v>
      </c>
      <c r="G607" s="1">
        <v>180</v>
      </c>
      <c r="H607" s="1" t="s">
        <v>907</v>
      </c>
      <c r="I607" s="1">
        <v>300</v>
      </c>
      <c r="J607" s="1" t="s">
        <v>238</v>
      </c>
      <c r="K607" s="1">
        <v>4</v>
      </c>
      <c r="L607" s="1">
        <f t="shared" si="9"/>
        <v>1500</v>
      </c>
      <c r="M607" s="1" t="s">
        <v>38</v>
      </c>
      <c r="N607" s="1"/>
      <c r="O607" s="12" t="str">
        <f>IF($J607=Sheet2!$A$2, ROW(), "")</f>
        <v/>
      </c>
      <c r="Q607" s="23" t="s">
        <v>2588</v>
      </c>
    </row>
    <row r="608" spans="1:17" ht="14" customHeight="1" x14ac:dyDescent="0.3">
      <c r="A608" s="1" t="s">
        <v>908</v>
      </c>
      <c r="B608" s="1">
        <v>38</v>
      </c>
      <c r="C608" s="1" t="s">
        <v>661</v>
      </c>
      <c r="D608" s="1">
        <v>190</v>
      </c>
      <c r="E608" s="1">
        <v>85</v>
      </c>
      <c r="F608" s="1">
        <v>120</v>
      </c>
      <c r="G608" s="1">
        <v>136</v>
      </c>
      <c r="H608" s="1" t="s">
        <v>317</v>
      </c>
      <c r="I608" s="1">
        <v>120</v>
      </c>
      <c r="J608" s="1" t="s">
        <v>207</v>
      </c>
      <c r="K608" s="1">
        <v>1</v>
      </c>
      <c r="L608" s="1">
        <f t="shared" si="9"/>
        <v>600</v>
      </c>
      <c r="M608" s="1" t="s">
        <v>98</v>
      </c>
      <c r="N608" s="1"/>
      <c r="O608" s="12" t="str">
        <f>IF($J608=Sheet2!$A$2, ROW(), "")</f>
        <v/>
      </c>
      <c r="Q608" s="23" t="s">
        <v>2589</v>
      </c>
    </row>
    <row r="609" spans="1:17" ht="14" customHeight="1" x14ac:dyDescent="0.3">
      <c r="A609" s="1" t="s">
        <v>909</v>
      </c>
      <c r="B609" s="1">
        <v>21</v>
      </c>
      <c r="C609" s="1" t="s">
        <v>250</v>
      </c>
      <c r="D609" s="1">
        <v>184</v>
      </c>
      <c r="E609" s="1">
        <v>78</v>
      </c>
      <c r="F609" s="1">
        <v>136</v>
      </c>
      <c r="G609" s="1">
        <v>160</v>
      </c>
      <c r="H609" s="1" t="s">
        <v>357</v>
      </c>
      <c r="I609" s="1">
        <v>370</v>
      </c>
      <c r="J609" s="1" t="s">
        <v>271</v>
      </c>
      <c r="K609" s="1">
        <v>9</v>
      </c>
      <c r="L609" s="1">
        <f t="shared" si="9"/>
        <v>1850</v>
      </c>
      <c r="M609" s="1" t="s">
        <v>38</v>
      </c>
      <c r="N609" s="1"/>
      <c r="O609" s="12" t="str">
        <f>IF($J609=Sheet2!$A$2, ROW(), "")</f>
        <v/>
      </c>
      <c r="Q609" s="23" t="s">
        <v>2590</v>
      </c>
    </row>
    <row r="610" spans="1:17" ht="14" customHeight="1" x14ac:dyDescent="0.3">
      <c r="A610" s="1" t="s">
        <v>910</v>
      </c>
      <c r="B610" s="1">
        <v>23</v>
      </c>
      <c r="C610" s="1" t="s">
        <v>246</v>
      </c>
      <c r="D610" s="1">
        <v>195</v>
      </c>
      <c r="E610" s="1">
        <v>75</v>
      </c>
      <c r="F610" s="1">
        <v>136</v>
      </c>
      <c r="G610" s="1">
        <v>160</v>
      </c>
      <c r="H610" s="1" t="s">
        <v>1</v>
      </c>
      <c r="I610" s="1">
        <v>200</v>
      </c>
      <c r="J610" s="1" t="s">
        <v>689</v>
      </c>
      <c r="K610" s="1">
        <v>5</v>
      </c>
      <c r="L610" s="1">
        <f t="shared" si="9"/>
        <v>1000</v>
      </c>
      <c r="M610" s="1" t="s">
        <v>38</v>
      </c>
      <c r="N610" s="1"/>
      <c r="O610" s="12" t="str">
        <f>IF($J610=Sheet2!$A$2, ROW(), "")</f>
        <v/>
      </c>
      <c r="Q610" s="23" t="s">
        <v>2591</v>
      </c>
    </row>
    <row r="611" spans="1:17" ht="14" customHeight="1" x14ac:dyDescent="0.3">
      <c r="A611" s="1" t="s">
        <v>911</v>
      </c>
      <c r="B611" s="1">
        <v>39</v>
      </c>
      <c r="C611" s="1" t="s">
        <v>287</v>
      </c>
      <c r="D611" s="1">
        <v>184</v>
      </c>
      <c r="E611" s="1">
        <v>74</v>
      </c>
      <c r="F611" s="1">
        <v>98</v>
      </c>
      <c r="G611" s="1">
        <v>116</v>
      </c>
      <c r="H611" s="1" t="s">
        <v>912</v>
      </c>
      <c r="I611" s="1">
        <v>120</v>
      </c>
      <c r="J611" s="1" t="s">
        <v>1659</v>
      </c>
      <c r="K611" s="1">
        <v>5</v>
      </c>
      <c r="L611" s="1">
        <f t="shared" si="9"/>
        <v>600</v>
      </c>
      <c r="M611" s="1" t="s">
        <v>38</v>
      </c>
      <c r="N611" s="1"/>
      <c r="O611" s="12" t="str">
        <f>IF($J611=Sheet2!$A$2, ROW(), "")</f>
        <v/>
      </c>
      <c r="Q611" s="23" t="s">
        <v>2592</v>
      </c>
    </row>
    <row r="612" spans="1:17" ht="14" customHeight="1" x14ac:dyDescent="0.3">
      <c r="A612" s="1" t="s">
        <v>913</v>
      </c>
      <c r="B612" s="1">
        <v>21</v>
      </c>
      <c r="C612" s="1" t="s">
        <v>287</v>
      </c>
      <c r="D612" s="1">
        <v>178</v>
      </c>
      <c r="E612" s="1">
        <v>75</v>
      </c>
      <c r="F612" s="1">
        <v>108</v>
      </c>
      <c r="G612" s="1">
        <v>115</v>
      </c>
      <c r="H612" s="1" t="s">
        <v>277</v>
      </c>
      <c r="I612" s="1">
        <v>45</v>
      </c>
      <c r="J612" s="1" t="s">
        <v>91</v>
      </c>
      <c r="K612" s="1">
        <v>5</v>
      </c>
      <c r="L612" s="1">
        <f t="shared" si="9"/>
        <v>225</v>
      </c>
      <c r="M612" s="1" t="s">
        <v>38</v>
      </c>
      <c r="N612" s="1"/>
      <c r="O612" s="12" t="str">
        <f>IF($J612=Sheet2!$A$2, ROW(), "")</f>
        <v/>
      </c>
      <c r="Q612" s="23" t="s">
        <v>2593</v>
      </c>
    </row>
    <row r="613" spans="1:17" ht="14" customHeight="1" x14ac:dyDescent="0.3">
      <c r="A613" s="1" t="s">
        <v>914</v>
      </c>
      <c r="B613" s="1">
        <v>26</v>
      </c>
      <c r="C613" s="1" t="s">
        <v>287</v>
      </c>
      <c r="D613" s="1">
        <v>186</v>
      </c>
      <c r="E613" s="1">
        <v>75</v>
      </c>
      <c r="F613" s="1">
        <v>110</v>
      </c>
      <c r="G613" s="1">
        <v>114</v>
      </c>
      <c r="H613" s="1" t="s">
        <v>770</v>
      </c>
      <c r="I613" s="1">
        <v>43</v>
      </c>
      <c r="J613" s="1" t="s">
        <v>91</v>
      </c>
      <c r="K613" s="1">
        <v>5</v>
      </c>
      <c r="L613" s="1">
        <f t="shared" si="9"/>
        <v>215</v>
      </c>
      <c r="M613" s="1" t="s">
        <v>38</v>
      </c>
      <c r="N613" s="1"/>
      <c r="O613" s="12" t="str">
        <f>IF($J613=Sheet2!$A$2, ROW(), "")</f>
        <v/>
      </c>
      <c r="Q613" s="23" t="s">
        <v>2594</v>
      </c>
    </row>
    <row r="614" spans="1:17" ht="14" customHeight="1" x14ac:dyDescent="0.3">
      <c r="A614" s="1" t="s">
        <v>915</v>
      </c>
      <c r="B614" s="1">
        <v>23</v>
      </c>
      <c r="C614" s="1" t="s">
        <v>563</v>
      </c>
      <c r="D614" s="1">
        <v>176</v>
      </c>
      <c r="E614" s="1">
        <v>74</v>
      </c>
      <c r="F614" s="1">
        <v>98</v>
      </c>
      <c r="G614" s="1">
        <v>114</v>
      </c>
      <c r="H614" s="1" t="s">
        <v>916</v>
      </c>
      <c r="I614" s="1">
        <v>60</v>
      </c>
      <c r="J614" s="1" t="s">
        <v>1659</v>
      </c>
      <c r="K614" s="1">
        <v>5</v>
      </c>
      <c r="L614" s="1">
        <f t="shared" si="9"/>
        <v>300</v>
      </c>
      <c r="M614" s="1" t="s">
        <v>38</v>
      </c>
      <c r="N614" s="1"/>
      <c r="O614" s="12" t="str">
        <f>IF($J614=Sheet2!$A$2, ROW(), "")</f>
        <v/>
      </c>
      <c r="Q614" s="23" t="s">
        <v>2595</v>
      </c>
    </row>
    <row r="615" spans="1:17" ht="14" customHeight="1" x14ac:dyDescent="0.3">
      <c r="A615" s="1" t="s">
        <v>917</v>
      </c>
      <c r="B615" s="1">
        <v>22</v>
      </c>
      <c r="C615" s="1" t="s">
        <v>563</v>
      </c>
      <c r="D615" s="1">
        <v>177</v>
      </c>
      <c r="E615" s="1">
        <v>75</v>
      </c>
      <c r="F615" s="1">
        <v>100</v>
      </c>
      <c r="G615" s="1">
        <v>140</v>
      </c>
      <c r="H615" s="1" t="s">
        <v>263</v>
      </c>
      <c r="I615" s="1">
        <v>24</v>
      </c>
      <c r="J615" s="1" t="s">
        <v>1924</v>
      </c>
      <c r="K615" s="1">
        <v>7</v>
      </c>
      <c r="L615" s="1">
        <f t="shared" si="9"/>
        <v>120</v>
      </c>
      <c r="M615" s="1" t="s">
        <v>38</v>
      </c>
      <c r="N615" s="1"/>
      <c r="O615" s="12" t="str">
        <f>IF($J615=Sheet2!$A$2, ROW(), "")</f>
        <v/>
      </c>
      <c r="Q615" s="23" t="s">
        <v>2596</v>
      </c>
    </row>
    <row r="616" spans="1:17" ht="14" customHeight="1" x14ac:dyDescent="0.3">
      <c r="A616" s="1" t="s">
        <v>918</v>
      </c>
      <c r="B616" s="1">
        <v>34</v>
      </c>
      <c r="C616" s="1" t="s">
        <v>256</v>
      </c>
      <c r="D616" s="1">
        <v>178</v>
      </c>
      <c r="E616" s="1">
        <v>75</v>
      </c>
      <c r="F616" s="1">
        <v>114</v>
      </c>
      <c r="G616" s="1">
        <v>132</v>
      </c>
      <c r="H616" s="1" t="s">
        <v>317</v>
      </c>
      <c r="I616" s="1">
        <v>100</v>
      </c>
      <c r="J616" s="1" t="s">
        <v>1762</v>
      </c>
      <c r="K616" s="1">
        <v>4</v>
      </c>
      <c r="L616" s="1">
        <f t="shared" si="9"/>
        <v>500</v>
      </c>
      <c r="M616" s="1" t="s">
        <v>38</v>
      </c>
      <c r="N616" s="1"/>
      <c r="O616" s="12" t="str">
        <f>IF($J616=Sheet2!$A$2, ROW(), "")</f>
        <v/>
      </c>
      <c r="Q616" s="23" t="s">
        <v>2597</v>
      </c>
    </row>
    <row r="617" spans="1:17" ht="14" customHeight="1" x14ac:dyDescent="0.3">
      <c r="A617" s="1" t="s">
        <v>919</v>
      </c>
      <c r="B617" s="1">
        <v>28</v>
      </c>
      <c r="C617" s="1" t="s">
        <v>283</v>
      </c>
      <c r="D617" s="1">
        <v>178</v>
      </c>
      <c r="E617" s="1">
        <v>75</v>
      </c>
      <c r="F617" s="1">
        <v>110</v>
      </c>
      <c r="G617" s="1">
        <v>130</v>
      </c>
      <c r="H617" s="1" t="s">
        <v>920</v>
      </c>
      <c r="I617" s="1">
        <v>100</v>
      </c>
      <c r="J617" s="1" t="s">
        <v>1762</v>
      </c>
      <c r="K617" s="1">
        <v>4</v>
      </c>
      <c r="L617" s="1">
        <f t="shared" si="9"/>
        <v>500</v>
      </c>
      <c r="M617" s="1" t="s">
        <v>38</v>
      </c>
      <c r="N617" s="1"/>
      <c r="O617" s="12" t="str">
        <f>IF($J617=Sheet2!$A$2, ROW(), "")</f>
        <v/>
      </c>
      <c r="Q617" s="23" t="s">
        <v>2598</v>
      </c>
    </row>
    <row r="618" spans="1:17" ht="14" customHeight="1" x14ac:dyDescent="0.3">
      <c r="A618" s="1" t="s">
        <v>921</v>
      </c>
      <c r="B618" s="1">
        <v>23</v>
      </c>
      <c r="C618" s="1" t="s">
        <v>922</v>
      </c>
      <c r="D618" s="1">
        <v>189</v>
      </c>
      <c r="E618" s="1">
        <v>84</v>
      </c>
      <c r="F618" s="1">
        <v>138</v>
      </c>
      <c r="G618" s="1">
        <v>138</v>
      </c>
      <c r="H618" s="1" t="s">
        <v>15</v>
      </c>
      <c r="I618" s="1">
        <v>140</v>
      </c>
      <c r="J618" s="1" t="s">
        <v>264</v>
      </c>
      <c r="K618" s="1">
        <v>5</v>
      </c>
      <c r="L618" s="1">
        <f t="shared" si="9"/>
        <v>700</v>
      </c>
      <c r="M618" s="1" t="s">
        <v>38</v>
      </c>
      <c r="N618" s="1"/>
      <c r="O618" s="12" t="str">
        <f>IF($J618=Sheet2!$A$2, ROW(), "")</f>
        <v/>
      </c>
      <c r="Q618" s="23" t="s">
        <v>2599</v>
      </c>
    </row>
    <row r="619" spans="1:17" ht="14" customHeight="1" x14ac:dyDescent="0.3">
      <c r="A619" s="1" t="s">
        <v>923</v>
      </c>
      <c r="B619" s="1">
        <v>23</v>
      </c>
      <c r="C619" s="1" t="s">
        <v>924</v>
      </c>
      <c r="D619" s="1">
        <v>186</v>
      </c>
      <c r="E619" s="1">
        <v>76</v>
      </c>
      <c r="F619" s="1">
        <v>133</v>
      </c>
      <c r="G619" s="1">
        <v>144</v>
      </c>
      <c r="H619" s="1" t="s">
        <v>925</v>
      </c>
      <c r="I619" s="1">
        <v>150</v>
      </c>
      <c r="J619" s="1" t="s">
        <v>264</v>
      </c>
      <c r="K619" s="1">
        <v>5</v>
      </c>
      <c r="L619" s="1">
        <f t="shared" si="9"/>
        <v>750</v>
      </c>
      <c r="M619" s="1" t="s">
        <v>38</v>
      </c>
      <c r="N619" s="1"/>
      <c r="O619" s="12" t="str">
        <f>IF($J619=Sheet2!$A$2, ROW(), "")</f>
        <v/>
      </c>
      <c r="Q619" s="23" t="s">
        <v>2600</v>
      </c>
    </row>
    <row r="620" spans="1:17" ht="14" customHeight="1" x14ac:dyDescent="0.3">
      <c r="A620" s="1" t="s">
        <v>926</v>
      </c>
      <c r="B620" s="1">
        <v>33</v>
      </c>
      <c r="C620" s="1" t="s">
        <v>287</v>
      </c>
      <c r="D620" s="1">
        <v>186</v>
      </c>
      <c r="E620" s="1">
        <v>86</v>
      </c>
      <c r="F620" s="1">
        <v>95</v>
      </c>
      <c r="G620" s="1">
        <v>106</v>
      </c>
      <c r="H620" s="1" t="s">
        <v>927</v>
      </c>
      <c r="I620" s="1">
        <v>45</v>
      </c>
      <c r="J620" s="1" t="s">
        <v>1783</v>
      </c>
      <c r="K620" s="1">
        <v>6</v>
      </c>
      <c r="L620" s="1">
        <f t="shared" si="9"/>
        <v>225</v>
      </c>
      <c r="M620" s="1" t="s">
        <v>38</v>
      </c>
      <c r="N620" s="1"/>
      <c r="O620" s="12" t="str">
        <f>IF($J620=Sheet2!$A$2, ROW(), "")</f>
        <v/>
      </c>
      <c r="Q620" s="23" t="s">
        <v>2601</v>
      </c>
    </row>
    <row r="621" spans="1:17" ht="14" customHeight="1" x14ac:dyDescent="0.3">
      <c r="A621" s="1" t="s">
        <v>928</v>
      </c>
      <c r="B621" s="1">
        <v>23</v>
      </c>
      <c r="C621" s="1" t="s">
        <v>283</v>
      </c>
      <c r="D621" s="1">
        <v>179</v>
      </c>
      <c r="E621" s="1">
        <v>73</v>
      </c>
      <c r="F621" s="1">
        <v>130</v>
      </c>
      <c r="G621" s="1">
        <v>140</v>
      </c>
      <c r="H621" s="1" t="s">
        <v>324</v>
      </c>
      <c r="I621" s="1">
        <v>200</v>
      </c>
      <c r="J621" s="1" t="s">
        <v>238</v>
      </c>
      <c r="K621" s="1">
        <v>5</v>
      </c>
      <c r="L621" s="1">
        <f t="shared" si="9"/>
        <v>1000</v>
      </c>
      <c r="M621" s="1" t="s">
        <v>38</v>
      </c>
      <c r="N621" s="1"/>
      <c r="O621" s="12" t="str">
        <f>IF($J621=Sheet2!$A$2, ROW(), "")</f>
        <v/>
      </c>
      <c r="Q621" s="23" t="s">
        <v>2602</v>
      </c>
    </row>
    <row r="622" spans="1:17" ht="14" customHeight="1" x14ac:dyDescent="0.3">
      <c r="A622" s="1" t="s">
        <v>929</v>
      </c>
      <c r="B622" s="1">
        <v>24</v>
      </c>
      <c r="C622" s="1" t="s">
        <v>283</v>
      </c>
      <c r="D622" s="1">
        <v>176</v>
      </c>
      <c r="E622" s="1">
        <v>73</v>
      </c>
      <c r="F622" s="1">
        <v>129</v>
      </c>
      <c r="G622" s="1">
        <v>140</v>
      </c>
      <c r="H622" s="1" t="s">
        <v>674</v>
      </c>
      <c r="I622" s="1">
        <v>140</v>
      </c>
      <c r="J622" s="1" t="s">
        <v>1866</v>
      </c>
      <c r="K622" s="1">
        <v>6</v>
      </c>
      <c r="L622" s="1">
        <f t="shared" si="9"/>
        <v>700</v>
      </c>
      <c r="M622" s="1" t="s">
        <v>38</v>
      </c>
      <c r="N622" s="1"/>
      <c r="O622" s="12" t="str">
        <f>IF($J622=Sheet2!$A$2, ROW(), "")</f>
        <v/>
      </c>
      <c r="Q622" s="23" t="s">
        <v>2603</v>
      </c>
    </row>
    <row r="623" spans="1:17" ht="14" customHeight="1" x14ac:dyDescent="0.3">
      <c r="A623" s="1" t="s">
        <v>930</v>
      </c>
      <c r="B623" s="1">
        <v>32</v>
      </c>
      <c r="C623" s="1" t="s">
        <v>283</v>
      </c>
      <c r="D623" s="1">
        <v>178</v>
      </c>
      <c r="E623" s="1">
        <v>75</v>
      </c>
      <c r="F623" s="1">
        <v>116</v>
      </c>
      <c r="G623" s="1">
        <v>120</v>
      </c>
      <c r="H623" s="1" t="s">
        <v>931</v>
      </c>
      <c r="I623" s="1">
        <v>120</v>
      </c>
      <c r="J623" s="1" t="s">
        <v>91</v>
      </c>
      <c r="K623" s="1">
        <v>5</v>
      </c>
      <c r="L623" s="1">
        <f t="shared" si="9"/>
        <v>600</v>
      </c>
      <c r="M623" s="1" t="s">
        <v>38</v>
      </c>
      <c r="N623" s="1"/>
      <c r="O623" s="12" t="str">
        <f>IF($J623=Sheet2!$A$2, ROW(), "")</f>
        <v/>
      </c>
      <c r="Q623" s="23" t="s">
        <v>2604</v>
      </c>
    </row>
    <row r="624" spans="1:17" ht="14" customHeight="1" x14ac:dyDescent="0.3">
      <c r="A624" s="1" t="s">
        <v>932</v>
      </c>
      <c r="B624" s="1">
        <v>28</v>
      </c>
      <c r="C624" s="1" t="s">
        <v>283</v>
      </c>
      <c r="D624" s="1">
        <v>186</v>
      </c>
      <c r="E624" s="1">
        <v>63</v>
      </c>
      <c r="F624" s="1">
        <v>118</v>
      </c>
      <c r="G624" s="1">
        <v>120</v>
      </c>
      <c r="H624" s="1" t="s">
        <v>317</v>
      </c>
      <c r="I624" s="1">
        <v>200</v>
      </c>
      <c r="J624" s="1" t="s">
        <v>1948</v>
      </c>
      <c r="K624" s="1">
        <v>4</v>
      </c>
      <c r="L624" s="1">
        <f t="shared" si="9"/>
        <v>1000</v>
      </c>
      <c r="M624" s="1" t="s">
        <v>38</v>
      </c>
      <c r="N624" s="1"/>
      <c r="O624" s="12" t="str">
        <f>IF($J624=Sheet2!$A$2, ROW(), "")</f>
        <v/>
      </c>
      <c r="Q624" s="23" t="s">
        <v>2605</v>
      </c>
    </row>
    <row r="625" spans="1:17" ht="14" customHeight="1" x14ac:dyDescent="0.3">
      <c r="A625" s="1" t="s">
        <v>933</v>
      </c>
      <c r="B625" s="1">
        <v>28</v>
      </c>
      <c r="C625" s="1" t="s">
        <v>283</v>
      </c>
      <c r="D625" s="1">
        <v>179</v>
      </c>
      <c r="E625" s="1">
        <v>75</v>
      </c>
      <c r="F625" s="1">
        <v>114</v>
      </c>
      <c r="G625" s="1">
        <v>122</v>
      </c>
      <c r="H625" s="1" t="s">
        <v>260</v>
      </c>
      <c r="I625" s="1">
        <v>200</v>
      </c>
      <c r="J625" s="1" t="s">
        <v>1718</v>
      </c>
      <c r="K625" s="1">
        <v>5</v>
      </c>
      <c r="L625" s="1">
        <f t="shared" si="9"/>
        <v>1000</v>
      </c>
      <c r="M625" s="1" t="s">
        <v>38</v>
      </c>
      <c r="N625" s="1"/>
      <c r="O625" s="12" t="str">
        <f>IF($J625=Sheet2!$A$2, ROW(), "")</f>
        <v/>
      </c>
      <c r="Q625" s="23" t="s">
        <v>2606</v>
      </c>
    </row>
    <row r="626" spans="1:17" ht="14" customHeight="1" x14ac:dyDescent="0.3">
      <c r="A626" s="1" t="s">
        <v>934</v>
      </c>
      <c r="B626" s="1">
        <v>24</v>
      </c>
      <c r="C626" s="1" t="s">
        <v>935</v>
      </c>
      <c r="D626" s="1">
        <v>185</v>
      </c>
      <c r="E626" s="1">
        <v>78</v>
      </c>
      <c r="F626" s="1">
        <v>124</v>
      </c>
      <c r="G626" s="1">
        <v>138</v>
      </c>
      <c r="H626" s="1" t="s">
        <v>936</v>
      </c>
      <c r="I626" s="1">
        <v>100</v>
      </c>
      <c r="J626" s="1" t="s">
        <v>268</v>
      </c>
      <c r="K626" s="1">
        <v>5</v>
      </c>
      <c r="L626" s="1">
        <f t="shared" si="9"/>
        <v>500</v>
      </c>
      <c r="M626" s="1" t="s">
        <v>38</v>
      </c>
      <c r="N626" s="1"/>
      <c r="O626" s="12" t="str">
        <f>IF($J626=Sheet2!$A$2, ROW(), "")</f>
        <v/>
      </c>
      <c r="Q626" s="23" t="s">
        <v>2607</v>
      </c>
    </row>
    <row r="627" spans="1:17" ht="14" customHeight="1" x14ac:dyDescent="0.3">
      <c r="A627" s="1" t="s">
        <v>937</v>
      </c>
      <c r="B627" s="1">
        <v>19</v>
      </c>
      <c r="C627" s="1" t="s">
        <v>320</v>
      </c>
      <c r="D627" s="1">
        <v>178</v>
      </c>
      <c r="E627" s="1">
        <v>75</v>
      </c>
      <c r="F627" s="1">
        <v>119</v>
      </c>
      <c r="G627" s="1">
        <v>170</v>
      </c>
      <c r="H627" s="1" t="s">
        <v>761</v>
      </c>
      <c r="I627" s="1">
        <v>100</v>
      </c>
      <c r="J627" s="1" t="s">
        <v>268</v>
      </c>
      <c r="K627" s="1">
        <v>5</v>
      </c>
      <c r="L627" s="1">
        <f t="shared" si="9"/>
        <v>500</v>
      </c>
      <c r="M627" s="1" t="s">
        <v>38</v>
      </c>
      <c r="N627" s="1"/>
      <c r="O627" s="12" t="str">
        <f>IF($J627=Sheet2!$A$2, ROW(), "")</f>
        <v/>
      </c>
      <c r="Q627" s="23" t="s">
        <v>2608</v>
      </c>
    </row>
    <row r="628" spans="1:17" ht="14" customHeight="1" x14ac:dyDescent="0.3">
      <c r="A628" s="1" t="s">
        <v>938</v>
      </c>
      <c r="B628" s="1">
        <v>23</v>
      </c>
      <c r="C628" s="1" t="s">
        <v>283</v>
      </c>
      <c r="D628" s="1">
        <v>178</v>
      </c>
      <c r="E628" s="1">
        <v>75</v>
      </c>
      <c r="F628" s="1">
        <v>119</v>
      </c>
      <c r="G628" s="1">
        <v>129</v>
      </c>
      <c r="H628" s="1" t="s">
        <v>939</v>
      </c>
      <c r="I628" s="1">
        <v>60</v>
      </c>
      <c r="J628" s="1" t="s">
        <v>689</v>
      </c>
      <c r="K628" s="1">
        <v>6</v>
      </c>
      <c r="L628" s="1">
        <f t="shared" si="9"/>
        <v>300</v>
      </c>
      <c r="M628" s="1" t="s">
        <v>38</v>
      </c>
      <c r="N628" s="1"/>
      <c r="O628" s="12" t="str">
        <f>IF($J628=Sheet2!$A$2, ROW(), "")</f>
        <v/>
      </c>
      <c r="Q628" s="23" t="s">
        <v>2609</v>
      </c>
    </row>
    <row r="629" spans="1:17" ht="14" customHeight="1" x14ac:dyDescent="0.3">
      <c r="A629" s="1" t="s">
        <v>940</v>
      </c>
      <c r="B629" s="1">
        <v>36</v>
      </c>
      <c r="C629" s="1" t="s">
        <v>230</v>
      </c>
      <c r="D629" s="1">
        <v>186</v>
      </c>
      <c r="E629" s="1">
        <v>78</v>
      </c>
      <c r="F629" s="1">
        <v>118</v>
      </c>
      <c r="G629" s="1">
        <v>170</v>
      </c>
      <c r="H629" s="1" t="s">
        <v>260</v>
      </c>
      <c r="I629" s="1">
        <v>120</v>
      </c>
      <c r="J629" s="1" t="s">
        <v>207</v>
      </c>
      <c r="K629" s="1">
        <v>4</v>
      </c>
      <c r="L629" s="1">
        <f t="shared" si="9"/>
        <v>600</v>
      </c>
      <c r="M629" s="1" t="s">
        <v>98</v>
      </c>
      <c r="N629" s="1"/>
      <c r="O629" s="12" t="str">
        <f>IF($J629=Sheet2!$A$2, ROW(), "")</f>
        <v/>
      </c>
      <c r="Q629" s="23" t="s">
        <v>2610</v>
      </c>
    </row>
    <row r="630" spans="1:17" ht="14" customHeight="1" x14ac:dyDescent="0.3">
      <c r="A630" s="1" t="s">
        <v>941</v>
      </c>
      <c r="B630" s="1">
        <v>26</v>
      </c>
      <c r="C630" s="1" t="s">
        <v>287</v>
      </c>
      <c r="D630" s="1">
        <v>180</v>
      </c>
      <c r="E630" s="1">
        <v>75</v>
      </c>
      <c r="F630" s="1">
        <v>118</v>
      </c>
      <c r="G630" s="1">
        <v>118</v>
      </c>
      <c r="H630" s="1" t="s">
        <v>942</v>
      </c>
      <c r="I630" s="1">
        <v>100</v>
      </c>
      <c r="J630" s="1" t="s">
        <v>264</v>
      </c>
      <c r="K630" s="1">
        <v>5</v>
      </c>
      <c r="L630" s="1">
        <f t="shared" si="9"/>
        <v>500</v>
      </c>
      <c r="M630" s="1" t="s">
        <v>38</v>
      </c>
      <c r="N630" s="1"/>
      <c r="O630" s="12" t="str">
        <f>IF($J630=Sheet2!$A$2, ROW(), "")</f>
        <v/>
      </c>
      <c r="Q630" s="23" t="s">
        <v>2611</v>
      </c>
    </row>
    <row r="631" spans="1:17" ht="14" customHeight="1" x14ac:dyDescent="0.3">
      <c r="A631" s="1" t="s">
        <v>943</v>
      </c>
      <c r="B631" s="1">
        <v>22</v>
      </c>
      <c r="C631" s="1" t="s">
        <v>287</v>
      </c>
      <c r="D631" s="1">
        <v>177</v>
      </c>
      <c r="E631" s="1">
        <v>74</v>
      </c>
      <c r="F631" s="1">
        <v>126</v>
      </c>
      <c r="G631" s="1">
        <v>127</v>
      </c>
      <c r="H631" s="1" t="s">
        <v>944</v>
      </c>
      <c r="I631" s="1">
        <v>200</v>
      </c>
      <c r="J631" s="1" t="s">
        <v>1805</v>
      </c>
      <c r="K631" s="1">
        <v>5</v>
      </c>
      <c r="L631" s="1">
        <f t="shared" si="9"/>
        <v>1000</v>
      </c>
      <c r="M631" s="1" t="s">
        <v>38</v>
      </c>
      <c r="N631" s="1"/>
      <c r="O631" s="12" t="str">
        <f>IF($J631=Sheet2!$A$2, ROW(), "")</f>
        <v/>
      </c>
      <c r="Q631" s="23" t="s">
        <v>2612</v>
      </c>
    </row>
    <row r="632" spans="1:17" ht="14" customHeight="1" x14ac:dyDescent="0.3">
      <c r="A632" s="1" t="s">
        <v>945</v>
      </c>
      <c r="B632" s="1">
        <v>31</v>
      </c>
      <c r="C632" s="1" t="s">
        <v>287</v>
      </c>
      <c r="D632" s="1">
        <v>187</v>
      </c>
      <c r="E632" s="1">
        <v>75</v>
      </c>
      <c r="F632" s="1">
        <v>102</v>
      </c>
      <c r="G632" s="1">
        <v>124</v>
      </c>
      <c r="H632" s="1" t="s">
        <v>946</v>
      </c>
      <c r="I632" s="1">
        <v>100</v>
      </c>
      <c r="J632" s="1" t="s">
        <v>1718</v>
      </c>
      <c r="K632" s="1">
        <v>5</v>
      </c>
      <c r="L632" s="1">
        <f t="shared" si="9"/>
        <v>500</v>
      </c>
      <c r="M632" s="1" t="s">
        <v>38</v>
      </c>
      <c r="N632" s="1"/>
      <c r="O632" s="12" t="str">
        <f>IF($J632=Sheet2!$A$2, ROW(), "")</f>
        <v/>
      </c>
      <c r="Q632" s="23" t="s">
        <v>2613</v>
      </c>
    </row>
    <row r="633" spans="1:17" ht="14" customHeight="1" x14ac:dyDescent="0.3">
      <c r="A633" s="1" t="s">
        <v>947</v>
      </c>
      <c r="B633" s="1">
        <v>25</v>
      </c>
      <c r="C633" s="1" t="s">
        <v>897</v>
      </c>
      <c r="D633" s="1">
        <v>187</v>
      </c>
      <c r="E633" s="1">
        <v>75</v>
      </c>
      <c r="F633" s="1">
        <v>116</v>
      </c>
      <c r="G633" s="1">
        <v>116</v>
      </c>
      <c r="H633" s="1" t="s">
        <v>948</v>
      </c>
      <c r="I633" s="1">
        <v>120</v>
      </c>
      <c r="J633" s="1" t="s">
        <v>1718</v>
      </c>
      <c r="K633" s="1">
        <v>5</v>
      </c>
      <c r="L633" s="1">
        <f t="shared" si="9"/>
        <v>600</v>
      </c>
      <c r="M633" s="1" t="s">
        <v>38</v>
      </c>
      <c r="N633" s="1"/>
      <c r="O633" s="12" t="str">
        <f>IF($J633=Sheet2!$A$2, ROW(), "")</f>
        <v/>
      </c>
      <c r="Q633" s="23" t="s">
        <v>2614</v>
      </c>
    </row>
    <row r="634" spans="1:17" ht="14" customHeight="1" x14ac:dyDescent="0.3">
      <c r="A634" s="1" t="s">
        <v>949</v>
      </c>
      <c r="B634" s="1">
        <v>29</v>
      </c>
      <c r="C634" s="1" t="s">
        <v>287</v>
      </c>
      <c r="D634" s="1">
        <v>188</v>
      </c>
      <c r="E634" s="1">
        <v>75</v>
      </c>
      <c r="F634" s="1">
        <v>91</v>
      </c>
      <c r="G634" s="1">
        <v>102</v>
      </c>
      <c r="H634" s="1" t="s">
        <v>317</v>
      </c>
      <c r="I634" s="1">
        <v>80</v>
      </c>
      <c r="J634" s="1" t="s">
        <v>1939</v>
      </c>
      <c r="K634" s="1">
        <v>5</v>
      </c>
      <c r="L634" s="1">
        <f t="shared" si="9"/>
        <v>400</v>
      </c>
      <c r="M634" s="1" t="s">
        <v>38</v>
      </c>
      <c r="N634" s="1"/>
      <c r="O634" s="12" t="str">
        <f>IF($J634=Sheet2!$A$2, ROW(), "")</f>
        <v/>
      </c>
      <c r="Q634" s="23" t="s">
        <v>2615</v>
      </c>
    </row>
    <row r="635" spans="1:17" ht="14" customHeight="1" x14ac:dyDescent="0.3">
      <c r="A635" s="1" t="s">
        <v>950</v>
      </c>
      <c r="B635" s="1">
        <v>31</v>
      </c>
      <c r="C635" s="1" t="s">
        <v>287</v>
      </c>
      <c r="D635" s="1">
        <v>183</v>
      </c>
      <c r="E635" s="1">
        <v>74</v>
      </c>
      <c r="F635" s="1">
        <v>99</v>
      </c>
      <c r="G635" s="1">
        <v>110</v>
      </c>
      <c r="H635" s="1" t="s">
        <v>951</v>
      </c>
      <c r="I635" s="1">
        <v>180</v>
      </c>
      <c r="J635" s="1" t="s">
        <v>1735</v>
      </c>
      <c r="K635" s="1">
        <v>4</v>
      </c>
      <c r="L635" s="1">
        <f t="shared" si="9"/>
        <v>900</v>
      </c>
      <c r="M635" s="1" t="s">
        <v>38</v>
      </c>
      <c r="N635" s="1"/>
      <c r="O635" s="12" t="str">
        <f>IF($J635=Sheet2!$A$2, ROW(), "")</f>
        <v/>
      </c>
      <c r="Q635" s="23" t="s">
        <v>2616</v>
      </c>
    </row>
    <row r="636" spans="1:17" ht="14" customHeight="1" x14ac:dyDescent="0.3">
      <c r="A636" s="1" t="s">
        <v>952</v>
      </c>
      <c r="B636" s="1">
        <v>24</v>
      </c>
      <c r="C636" s="1" t="s">
        <v>897</v>
      </c>
      <c r="D636" s="1">
        <v>179</v>
      </c>
      <c r="E636" s="1">
        <v>73</v>
      </c>
      <c r="F636" s="1">
        <v>116</v>
      </c>
      <c r="G636" s="1">
        <v>116</v>
      </c>
      <c r="H636" s="1" t="s">
        <v>953</v>
      </c>
      <c r="I636" s="1">
        <v>120</v>
      </c>
      <c r="J636" s="1" t="s">
        <v>1783</v>
      </c>
      <c r="K636" s="1">
        <v>5</v>
      </c>
      <c r="L636" s="1">
        <f t="shared" si="9"/>
        <v>600</v>
      </c>
      <c r="M636" s="1" t="s">
        <v>38</v>
      </c>
      <c r="N636" s="1"/>
      <c r="O636" s="12" t="str">
        <f>IF($J636=Sheet2!$A$2, ROW(), "")</f>
        <v/>
      </c>
      <c r="Q636" s="23" t="s">
        <v>2617</v>
      </c>
    </row>
    <row r="637" spans="1:17" ht="14" customHeight="1" x14ac:dyDescent="0.3">
      <c r="A637" s="1" t="s">
        <v>954</v>
      </c>
      <c r="B637" s="1">
        <v>21</v>
      </c>
      <c r="C637" s="1" t="s">
        <v>287</v>
      </c>
      <c r="D637" s="1">
        <v>181</v>
      </c>
      <c r="E637" s="1">
        <v>78</v>
      </c>
      <c r="F637" s="1">
        <v>120</v>
      </c>
      <c r="G637" s="1">
        <v>120</v>
      </c>
      <c r="H637" s="1" t="s">
        <v>260</v>
      </c>
      <c r="I637" s="1">
        <v>50</v>
      </c>
      <c r="J637" s="1" t="s">
        <v>683</v>
      </c>
      <c r="K637" s="1">
        <v>5</v>
      </c>
      <c r="L637" s="1">
        <f t="shared" si="9"/>
        <v>250</v>
      </c>
      <c r="M637" s="1" t="s">
        <v>38</v>
      </c>
      <c r="N637" s="1"/>
      <c r="O637" s="12" t="str">
        <f>IF($J637=Sheet2!$A$2, ROW(), "")</f>
        <v/>
      </c>
      <c r="Q637" s="23" t="s">
        <v>2618</v>
      </c>
    </row>
    <row r="638" spans="1:17" ht="14" customHeight="1" x14ac:dyDescent="0.3">
      <c r="A638" s="1" t="s">
        <v>955</v>
      </c>
      <c r="B638" s="1">
        <v>27</v>
      </c>
      <c r="C638" s="1" t="s">
        <v>287</v>
      </c>
      <c r="D638" s="1">
        <v>177</v>
      </c>
      <c r="E638" s="1">
        <v>73</v>
      </c>
      <c r="F638" s="1">
        <v>104</v>
      </c>
      <c r="G638" s="1">
        <v>121</v>
      </c>
      <c r="H638" s="1" t="s">
        <v>956</v>
      </c>
      <c r="I638" s="1">
        <v>150</v>
      </c>
      <c r="J638" s="1" t="s">
        <v>520</v>
      </c>
      <c r="K638" s="1">
        <v>5</v>
      </c>
      <c r="L638" s="1">
        <f t="shared" si="9"/>
        <v>750</v>
      </c>
      <c r="M638" s="1" t="s">
        <v>38</v>
      </c>
      <c r="N638" s="1"/>
      <c r="O638" s="12" t="str">
        <f>IF($J638=Sheet2!$A$2, ROW(), "")</f>
        <v/>
      </c>
      <c r="Q638" s="23" t="s">
        <v>2619</v>
      </c>
    </row>
    <row r="639" spans="1:17" ht="14" customHeight="1" x14ac:dyDescent="0.3">
      <c r="A639" s="1" t="s">
        <v>957</v>
      </c>
      <c r="B639" s="1">
        <v>27</v>
      </c>
      <c r="C639" s="1" t="s">
        <v>287</v>
      </c>
      <c r="D639" s="1">
        <v>178</v>
      </c>
      <c r="E639" s="1">
        <v>74</v>
      </c>
      <c r="F639" s="1">
        <v>109</v>
      </c>
      <c r="G639" s="1">
        <v>110</v>
      </c>
      <c r="H639" s="1" t="s">
        <v>912</v>
      </c>
      <c r="I639" s="1">
        <v>100</v>
      </c>
      <c r="J639" s="1" t="s">
        <v>1718</v>
      </c>
      <c r="K639" s="1">
        <v>5</v>
      </c>
      <c r="L639" s="1">
        <f t="shared" si="9"/>
        <v>500</v>
      </c>
      <c r="M639" s="1" t="s">
        <v>38</v>
      </c>
      <c r="N639" s="1"/>
      <c r="O639" s="12" t="str">
        <f>IF($J639=Sheet2!$A$2, ROW(), "")</f>
        <v/>
      </c>
      <c r="Q639" s="23" t="s">
        <v>2620</v>
      </c>
    </row>
    <row r="640" spans="1:17" ht="14" customHeight="1" x14ac:dyDescent="0.3">
      <c r="A640" s="1" t="s">
        <v>958</v>
      </c>
      <c r="B640" s="1">
        <v>28</v>
      </c>
      <c r="C640" s="1" t="s">
        <v>897</v>
      </c>
      <c r="D640" s="1">
        <v>178</v>
      </c>
      <c r="E640" s="1">
        <v>75</v>
      </c>
      <c r="F640" s="1">
        <v>95</v>
      </c>
      <c r="G640" s="1">
        <v>117</v>
      </c>
      <c r="H640" s="1" t="s">
        <v>550</v>
      </c>
      <c r="I640" s="1">
        <v>80</v>
      </c>
      <c r="J640" s="1" t="s">
        <v>1735</v>
      </c>
      <c r="K640" s="1">
        <v>4</v>
      </c>
      <c r="L640" s="1">
        <f t="shared" si="9"/>
        <v>400</v>
      </c>
      <c r="M640" s="1" t="s">
        <v>38</v>
      </c>
      <c r="N640" s="1"/>
      <c r="O640" s="12" t="str">
        <f>IF($J640=Sheet2!$A$2, ROW(), "")</f>
        <v/>
      </c>
      <c r="Q640" s="23" t="s">
        <v>2621</v>
      </c>
    </row>
    <row r="641" spans="1:17" ht="14" customHeight="1" x14ac:dyDescent="0.3">
      <c r="A641" s="1" t="s">
        <v>959</v>
      </c>
      <c r="B641" s="1">
        <v>19</v>
      </c>
      <c r="C641" s="1" t="s">
        <v>287</v>
      </c>
      <c r="D641" s="1">
        <v>177</v>
      </c>
      <c r="E641" s="1">
        <v>63</v>
      </c>
      <c r="F641" s="1">
        <v>118</v>
      </c>
      <c r="G641" s="1">
        <v>160</v>
      </c>
      <c r="H641" s="1" t="s">
        <v>960</v>
      </c>
      <c r="I641" s="1">
        <v>70</v>
      </c>
      <c r="J641" s="1" t="s">
        <v>1855</v>
      </c>
      <c r="K641" s="1">
        <v>5</v>
      </c>
      <c r="L641" s="1">
        <f t="shared" si="9"/>
        <v>350</v>
      </c>
      <c r="M641" s="1" t="s">
        <v>38</v>
      </c>
      <c r="N641" s="1"/>
      <c r="O641" s="12" t="str">
        <f>IF($J641=Sheet2!$A$2, ROW(), "")</f>
        <v/>
      </c>
      <c r="Q641" s="23" t="s">
        <v>2622</v>
      </c>
    </row>
    <row r="642" spans="1:17" ht="14" customHeight="1" x14ac:dyDescent="0.3">
      <c r="A642" s="1" t="s">
        <v>961</v>
      </c>
      <c r="B642" s="1">
        <v>24</v>
      </c>
      <c r="C642" s="1" t="s">
        <v>287</v>
      </c>
      <c r="D642" s="1">
        <v>190</v>
      </c>
      <c r="E642" s="1">
        <v>78</v>
      </c>
      <c r="F642" s="1">
        <v>100</v>
      </c>
      <c r="G642" s="1">
        <v>102</v>
      </c>
      <c r="H642" s="1" t="s">
        <v>962</v>
      </c>
      <c r="I642" s="1">
        <v>90</v>
      </c>
      <c r="J642" s="1" t="s">
        <v>37</v>
      </c>
      <c r="K642" s="1">
        <v>4</v>
      </c>
      <c r="L642" s="1">
        <f t="shared" ref="L642:L705" si="10">I642*5</f>
        <v>450</v>
      </c>
      <c r="M642" s="1" t="s">
        <v>38</v>
      </c>
      <c r="N642" s="1"/>
      <c r="O642" s="12" t="str">
        <f>IF($J642=Sheet2!$A$2, ROW(), "")</f>
        <v/>
      </c>
      <c r="Q642" s="23" t="s">
        <v>2623</v>
      </c>
    </row>
    <row r="643" spans="1:17" ht="14" customHeight="1" x14ac:dyDescent="0.3">
      <c r="A643" s="1" t="s">
        <v>963</v>
      </c>
      <c r="B643" s="1">
        <v>22</v>
      </c>
      <c r="C643" s="1" t="s">
        <v>964</v>
      </c>
      <c r="D643" s="1">
        <v>177</v>
      </c>
      <c r="E643" s="1">
        <v>74</v>
      </c>
      <c r="F643" s="1">
        <v>132</v>
      </c>
      <c r="G643" s="1">
        <v>160</v>
      </c>
      <c r="H643" s="1" t="s">
        <v>965</v>
      </c>
      <c r="I643" s="1">
        <v>200</v>
      </c>
      <c r="J643" s="1" t="s">
        <v>689</v>
      </c>
      <c r="K643" s="1">
        <v>6</v>
      </c>
      <c r="L643" s="1">
        <f t="shared" si="10"/>
        <v>1000</v>
      </c>
      <c r="M643" s="1" t="s">
        <v>38</v>
      </c>
      <c r="N643" s="1"/>
      <c r="O643" s="12" t="str">
        <f>IF($J643=Sheet2!$A$2, ROW(), "")</f>
        <v/>
      </c>
      <c r="Q643" s="23" t="s">
        <v>2624</v>
      </c>
    </row>
    <row r="644" spans="1:17" ht="14" customHeight="1" x14ac:dyDescent="0.3">
      <c r="A644" s="1" t="s">
        <v>966</v>
      </c>
      <c r="B644" s="1">
        <v>21</v>
      </c>
      <c r="C644" s="1" t="s">
        <v>287</v>
      </c>
      <c r="D644" s="1">
        <v>185</v>
      </c>
      <c r="E644" s="1">
        <v>75</v>
      </c>
      <c r="F644" s="1">
        <v>102</v>
      </c>
      <c r="G644" s="1">
        <v>102</v>
      </c>
      <c r="H644" s="1" t="s">
        <v>967</v>
      </c>
      <c r="I644" s="1">
        <v>50</v>
      </c>
      <c r="J644" s="1" t="s">
        <v>111</v>
      </c>
      <c r="K644" s="1">
        <v>5</v>
      </c>
      <c r="L644" s="1">
        <f t="shared" si="10"/>
        <v>250</v>
      </c>
      <c r="M644" s="1" t="s">
        <v>38</v>
      </c>
      <c r="N644" s="1"/>
      <c r="O644" s="12" t="str">
        <f>IF($J644=Sheet2!$A$2, ROW(), "")</f>
        <v/>
      </c>
      <c r="Q644" s="23" t="s">
        <v>2625</v>
      </c>
    </row>
    <row r="645" spans="1:17" ht="14" customHeight="1" x14ac:dyDescent="0.3">
      <c r="A645" s="1" t="s">
        <v>968</v>
      </c>
      <c r="B645" s="1">
        <v>38</v>
      </c>
      <c r="C645" s="1" t="s">
        <v>287</v>
      </c>
      <c r="D645" s="1">
        <v>185</v>
      </c>
      <c r="E645" s="1">
        <v>79</v>
      </c>
      <c r="F645" s="1">
        <v>100</v>
      </c>
      <c r="G645" s="1">
        <v>120</v>
      </c>
      <c r="H645" s="1" t="s">
        <v>969</v>
      </c>
      <c r="I645" s="1">
        <v>30</v>
      </c>
      <c r="J645" s="1" t="s">
        <v>3246</v>
      </c>
      <c r="K645" s="1">
        <v>4</v>
      </c>
      <c r="L645" s="1">
        <f t="shared" si="10"/>
        <v>150</v>
      </c>
      <c r="M645" s="1" t="s">
        <v>38</v>
      </c>
      <c r="N645" s="1"/>
      <c r="O645" s="12" t="str">
        <f>IF($J645=Sheet2!$A$2, ROW(), "")</f>
        <v/>
      </c>
      <c r="Q645" s="23" t="s">
        <v>2626</v>
      </c>
    </row>
    <row r="646" spans="1:17" ht="14" customHeight="1" x14ac:dyDescent="0.3">
      <c r="A646" s="1" t="s">
        <v>970</v>
      </c>
      <c r="B646" s="1">
        <v>37</v>
      </c>
      <c r="C646" s="1" t="s">
        <v>287</v>
      </c>
      <c r="D646" s="1">
        <v>177</v>
      </c>
      <c r="E646" s="1">
        <v>73</v>
      </c>
      <c r="F646" s="1">
        <v>98</v>
      </c>
      <c r="G646" s="1">
        <v>111</v>
      </c>
      <c r="H646" s="1" t="s">
        <v>357</v>
      </c>
      <c r="I646" s="1">
        <v>30</v>
      </c>
      <c r="J646" s="1" t="s">
        <v>3246</v>
      </c>
      <c r="K646" s="1">
        <v>4</v>
      </c>
      <c r="L646" s="1">
        <f t="shared" si="10"/>
        <v>150</v>
      </c>
      <c r="M646" s="1" t="s">
        <v>38</v>
      </c>
      <c r="N646" s="1"/>
      <c r="O646" s="12" t="str">
        <f>IF($J646=Sheet2!$A$2, ROW(), "")</f>
        <v/>
      </c>
      <c r="Q646" s="23" t="s">
        <v>2627</v>
      </c>
    </row>
    <row r="647" spans="1:17" ht="14" customHeight="1" x14ac:dyDescent="0.3">
      <c r="A647" s="1" t="s">
        <v>971</v>
      </c>
      <c r="B647" s="1">
        <v>30</v>
      </c>
      <c r="C647" s="1" t="s">
        <v>287</v>
      </c>
      <c r="D647" s="1">
        <v>170</v>
      </c>
      <c r="E647" s="1">
        <v>73</v>
      </c>
      <c r="F647" s="1">
        <v>98</v>
      </c>
      <c r="G647" s="1">
        <v>119</v>
      </c>
      <c r="H647" s="1" t="s">
        <v>972</v>
      </c>
      <c r="I647" s="1">
        <v>120</v>
      </c>
      <c r="J647" s="1" t="s">
        <v>108</v>
      </c>
      <c r="K647" s="1">
        <v>4</v>
      </c>
      <c r="L647" s="1">
        <f t="shared" si="10"/>
        <v>600</v>
      </c>
      <c r="M647" s="1" t="s">
        <v>38</v>
      </c>
      <c r="N647" s="1"/>
      <c r="O647" s="12" t="str">
        <f>IF($J647=Sheet2!$A$2, ROW(), "")</f>
        <v/>
      </c>
      <c r="Q647" s="23" t="s">
        <v>2628</v>
      </c>
    </row>
    <row r="648" spans="1:17" ht="14" customHeight="1" x14ac:dyDescent="0.3">
      <c r="A648" s="1" t="s">
        <v>973</v>
      </c>
      <c r="B648" s="1">
        <v>28</v>
      </c>
      <c r="C648" s="1" t="s">
        <v>287</v>
      </c>
      <c r="D648" s="1">
        <v>175</v>
      </c>
      <c r="E648" s="1">
        <v>73</v>
      </c>
      <c r="F648" s="1">
        <v>112</v>
      </c>
      <c r="G648" s="1">
        <v>112</v>
      </c>
      <c r="H648" s="1" t="s">
        <v>21</v>
      </c>
      <c r="I648" s="1">
        <v>120</v>
      </c>
      <c r="J648" s="1" t="s">
        <v>1783</v>
      </c>
      <c r="K648" s="1">
        <v>5</v>
      </c>
      <c r="L648" s="1">
        <f t="shared" si="10"/>
        <v>600</v>
      </c>
      <c r="M648" s="1" t="s">
        <v>38</v>
      </c>
      <c r="N648" s="1"/>
      <c r="O648" s="12" t="str">
        <f>IF($J648=Sheet2!$A$2, ROW(), "")</f>
        <v/>
      </c>
      <c r="Q648" s="23" t="s">
        <v>2629</v>
      </c>
    </row>
    <row r="649" spans="1:17" ht="14" customHeight="1" x14ac:dyDescent="0.3">
      <c r="A649" s="1" t="s">
        <v>974</v>
      </c>
      <c r="B649" s="1">
        <v>26</v>
      </c>
      <c r="C649" s="1" t="s">
        <v>283</v>
      </c>
      <c r="D649" s="1">
        <v>180</v>
      </c>
      <c r="E649" s="1">
        <v>75</v>
      </c>
      <c r="F649" s="1">
        <v>138</v>
      </c>
      <c r="G649" s="1">
        <v>138</v>
      </c>
      <c r="H649" s="1" t="s">
        <v>277</v>
      </c>
      <c r="I649" s="1">
        <v>150</v>
      </c>
      <c r="J649" s="1" t="s">
        <v>1717</v>
      </c>
      <c r="K649" s="1">
        <v>6</v>
      </c>
      <c r="L649" s="1">
        <f t="shared" si="10"/>
        <v>750</v>
      </c>
      <c r="M649" s="1" t="s">
        <v>38</v>
      </c>
      <c r="N649" s="1"/>
      <c r="O649" s="12" t="str">
        <f>IF($J649=Sheet2!$A$2, ROW(), "")</f>
        <v/>
      </c>
      <c r="Q649" s="23" t="s">
        <v>2630</v>
      </c>
    </row>
    <row r="650" spans="1:17" ht="14" customHeight="1" x14ac:dyDescent="0.3">
      <c r="A650" s="1" t="s">
        <v>975</v>
      </c>
      <c r="B650" s="1">
        <v>25</v>
      </c>
      <c r="C650" s="1" t="s">
        <v>611</v>
      </c>
      <c r="D650" s="1">
        <v>190</v>
      </c>
      <c r="E650" s="1">
        <v>82</v>
      </c>
      <c r="F650" s="1">
        <v>138</v>
      </c>
      <c r="G650" s="1">
        <v>140</v>
      </c>
      <c r="H650" s="1" t="s">
        <v>260</v>
      </c>
      <c r="I650" s="1">
        <v>160</v>
      </c>
      <c r="J650" s="1" t="s">
        <v>308</v>
      </c>
      <c r="K650" s="1">
        <v>5</v>
      </c>
      <c r="L650" s="1">
        <f t="shared" si="10"/>
        <v>800</v>
      </c>
      <c r="M650" s="1" t="s">
        <v>38</v>
      </c>
      <c r="N650" s="1"/>
      <c r="O650" s="12" t="str">
        <f>IF($J650=Sheet2!$A$2, ROW(), "")</f>
        <v/>
      </c>
      <c r="Q650" s="23" t="s">
        <v>2631</v>
      </c>
    </row>
    <row r="651" spans="1:17" ht="14" customHeight="1" x14ac:dyDescent="0.3">
      <c r="A651" s="1" t="s">
        <v>976</v>
      </c>
      <c r="B651" s="1">
        <v>25</v>
      </c>
      <c r="C651" s="1" t="s">
        <v>897</v>
      </c>
      <c r="D651" s="1">
        <v>177</v>
      </c>
      <c r="E651" s="1">
        <v>75</v>
      </c>
      <c r="F651" s="1">
        <v>117</v>
      </c>
      <c r="G651" s="1">
        <v>117</v>
      </c>
      <c r="H651" s="1" t="s">
        <v>977</v>
      </c>
      <c r="I651" s="1">
        <v>120</v>
      </c>
      <c r="J651" s="1" t="s">
        <v>1948</v>
      </c>
      <c r="K651" s="1">
        <v>5</v>
      </c>
      <c r="L651" s="1">
        <f t="shared" si="10"/>
        <v>600</v>
      </c>
      <c r="M651" s="1" t="s">
        <v>38</v>
      </c>
      <c r="N651" s="1"/>
      <c r="O651" s="12" t="str">
        <f>IF($J651=Sheet2!$A$2, ROW(), "")</f>
        <v/>
      </c>
      <c r="Q651" s="23" t="s">
        <v>2632</v>
      </c>
    </row>
    <row r="652" spans="1:17" ht="14" customHeight="1" x14ac:dyDescent="0.3">
      <c r="A652" s="1" t="s">
        <v>978</v>
      </c>
      <c r="B652" s="1">
        <v>38</v>
      </c>
      <c r="C652" s="1" t="s">
        <v>312</v>
      </c>
      <c r="D652" s="1">
        <v>196</v>
      </c>
      <c r="E652" s="1">
        <v>86</v>
      </c>
      <c r="F652" s="1">
        <v>110</v>
      </c>
      <c r="G652" s="1">
        <v>138</v>
      </c>
      <c r="H652" s="1" t="s">
        <v>1</v>
      </c>
      <c r="I652" s="1">
        <v>120</v>
      </c>
      <c r="J652" s="1" t="s">
        <v>3246</v>
      </c>
      <c r="K652" s="1">
        <v>4</v>
      </c>
      <c r="L652" s="1">
        <f t="shared" si="10"/>
        <v>600</v>
      </c>
      <c r="M652" s="1" t="s">
        <v>38</v>
      </c>
      <c r="N652" s="1"/>
      <c r="O652" s="12" t="str">
        <f>IF($J652=Sheet2!$A$2, ROW(), "")</f>
        <v/>
      </c>
      <c r="Q652" s="23" t="s">
        <v>2633</v>
      </c>
    </row>
    <row r="653" spans="1:17" ht="14" customHeight="1" x14ac:dyDescent="0.3">
      <c r="A653" s="1" t="s">
        <v>979</v>
      </c>
      <c r="B653" s="1">
        <v>33</v>
      </c>
      <c r="C653" s="1" t="s">
        <v>980</v>
      </c>
      <c r="D653" s="1">
        <v>187</v>
      </c>
      <c r="E653" s="1">
        <v>75</v>
      </c>
      <c r="F653" s="1">
        <v>120</v>
      </c>
      <c r="G653" s="1">
        <v>156</v>
      </c>
      <c r="H653" s="1" t="s">
        <v>981</v>
      </c>
      <c r="I653" s="1">
        <v>60</v>
      </c>
      <c r="J653" s="1" t="s">
        <v>264</v>
      </c>
      <c r="K653" s="1">
        <v>5</v>
      </c>
      <c r="L653" s="1">
        <f t="shared" si="10"/>
        <v>300</v>
      </c>
      <c r="M653" s="1" t="s">
        <v>38</v>
      </c>
      <c r="N653" s="1"/>
      <c r="O653" s="12" t="str">
        <f>IF($J653=Sheet2!$A$2, ROW(), "")</f>
        <v/>
      </c>
      <c r="Q653" s="23" t="s">
        <v>2634</v>
      </c>
    </row>
    <row r="654" spans="1:17" ht="14" customHeight="1" x14ac:dyDescent="0.3">
      <c r="A654" s="1" t="s">
        <v>982</v>
      </c>
      <c r="B654" s="1">
        <v>29</v>
      </c>
      <c r="C654" s="1" t="s">
        <v>287</v>
      </c>
      <c r="D654" s="1">
        <v>177</v>
      </c>
      <c r="E654" s="1">
        <v>73</v>
      </c>
      <c r="F654" s="1">
        <v>97</v>
      </c>
      <c r="G654" s="1">
        <v>115</v>
      </c>
      <c r="H654" s="1" t="s">
        <v>247</v>
      </c>
      <c r="I654" s="1">
        <v>24</v>
      </c>
      <c r="J654" s="1" t="s">
        <v>225</v>
      </c>
      <c r="K654" s="1">
        <v>4</v>
      </c>
      <c r="L654" s="1">
        <f t="shared" si="10"/>
        <v>120</v>
      </c>
      <c r="M654" s="1" t="s">
        <v>38</v>
      </c>
      <c r="N654" s="1"/>
      <c r="O654" s="12" t="str">
        <f>IF($J654=Sheet2!$A$2, ROW(), "")</f>
        <v/>
      </c>
      <c r="Q654" s="23" t="s">
        <v>2635</v>
      </c>
    </row>
    <row r="655" spans="1:17" ht="14" customHeight="1" x14ac:dyDescent="0.3">
      <c r="A655" s="1" t="s">
        <v>983</v>
      </c>
      <c r="B655" s="1">
        <v>38</v>
      </c>
      <c r="C655" s="1" t="s">
        <v>287</v>
      </c>
      <c r="D655" s="1">
        <v>180</v>
      </c>
      <c r="E655" s="1">
        <v>75</v>
      </c>
      <c r="F655" s="1">
        <v>95</v>
      </c>
      <c r="G655" s="1">
        <v>121</v>
      </c>
      <c r="H655" s="1" t="s">
        <v>317</v>
      </c>
      <c r="I655" s="1">
        <v>100</v>
      </c>
      <c r="J655" s="1" t="s">
        <v>207</v>
      </c>
      <c r="K655" s="1">
        <v>4</v>
      </c>
      <c r="L655" s="1">
        <f t="shared" si="10"/>
        <v>500</v>
      </c>
      <c r="M655" s="1" t="s">
        <v>38</v>
      </c>
      <c r="N655" s="1"/>
      <c r="O655" s="12" t="str">
        <f>IF($J655=Sheet2!$A$2, ROW(), "")</f>
        <v/>
      </c>
      <c r="Q655" s="23" t="s">
        <v>2636</v>
      </c>
    </row>
    <row r="656" spans="1:17" ht="14" customHeight="1" x14ac:dyDescent="0.3">
      <c r="A656" s="1" t="s">
        <v>984</v>
      </c>
      <c r="B656" s="1">
        <v>33</v>
      </c>
      <c r="C656" s="1" t="s">
        <v>287</v>
      </c>
      <c r="D656" s="1">
        <v>180</v>
      </c>
      <c r="E656" s="1">
        <v>74</v>
      </c>
      <c r="F656" s="1">
        <v>100</v>
      </c>
      <c r="G656" s="1">
        <v>106</v>
      </c>
      <c r="H656" s="1" t="s">
        <v>981</v>
      </c>
      <c r="I656" s="1">
        <v>24</v>
      </c>
      <c r="J656" s="1" t="s">
        <v>1918</v>
      </c>
      <c r="K656" s="1">
        <v>4</v>
      </c>
      <c r="L656" s="1">
        <f t="shared" si="10"/>
        <v>120</v>
      </c>
      <c r="M656" s="1" t="s">
        <v>38</v>
      </c>
      <c r="N656" s="1"/>
      <c r="O656" s="12" t="str">
        <f>IF($J656=Sheet2!$A$2, ROW(), "")</f>
        <v/>
      </c>
      <c r="Q656" s="23" t="s">
        <v>2637</v>
      </c>
    </row>
    <row r="657" spans="1:17" ht="14" customHeight="1" x14ac:dyDescent="0.3">
      <c r="A657" s="1" t="s">
        <v>985</v>
      </c>
      <c r="B657" s="1">
        <v>21</v>
      </c>
      <c r="C657" s="1" t="s">
        <v>287</v>
      </c>
      <c r="D657" s="1">
        <v>195</v>
      </c>
      <c r="E657" s="1">
        <v>70</v>
      </c>
      <c r="F657" s="1">
        <v>106</v>
      </c>
      <c r="G657" s="1">
        <v>106</v>
      </c>
      <c r="H657" s="1" t="s">
        <v>1</v>
      </c>
      <c r="I657" s="1">
        <v>24</v>
      </c>
      <c r="J657" s="1" t="s">
        <v>248</v>
      </c>
      <c r="K657" s="1">
        <v>5</v>
      </c>
      <c r="L657" s="1">
        <f t="shared" si="10"/>
        <v>120</v>
      </c>
      <c r="M657" s="1" t="s">
        <v>38</v>
      </c>
      <c r="N657" s="1"/>
      <c r="O657" s="12">
        <f>IF($J657=Sheet2!$A$2, ROW(), "")</f>
        <v>657</v>
      </c>
      <c r="Q657" s="23" t="s">
        <v>2638</v>
      </c>
    </row>
    <row r="658" spans="1:17" ht="14" customHeight="1" x14ac:dyDescent="0.3">
      <c r="A658" s="1" t="s">
        <v>986</v>
      </c>
      <c r="B658" s="1">
        <v>32</v>
      </c>
      <c r="C658" s="1" t="s">
        <v>987</v>
      </c>
      <c r="D658" s="1">
        <v>198</v>
      </c>
      <c r="E658" s="1">
        <v>78</v>
      </c>
      <c r="F658" s="1">
        <v>116</v>
      </c>
      <c r="G658" s="1">
        <v>120</v>
      </c>
      <c r="H658" s="1" t="s">
        <v>1</v>
      </c>
      <c r="I658" s="1">
        <v>140</v>
      </c>
      <c r="J658" s="1" t="s">
        <v>1762</v>
      </c>
      <c r="K658" s="1">
        <v>5</v>
      </c>
      <c r="L658" s="1">
        <f t="shared" si="10"/>
        <v>700</v>
      </c>
      <c r="M658" s="1" t="s">
        <v>38</v>
      </c>
      <c r="N658" s="1"/>
      <c r="O658" s="12" t="str">
        <f>IF($J658=Sheet2!$A$2, ROW(), "")</f>
        <v/>
      </c>
      <c r="Q658" s="23" t="s">
        <v>2639</v>
      </c>
    </row>
    <row r="659" spans="1:17" ht="14" customHeight="1" x14ac:dyDescent="0.3">
      <c r="A659" s="1" t="s">
        <v>988</v>
      </c>
      <c r="B659" s="1">
        <v>33</v>
      </c>
      <c r="C659" s="1" t="s">
        <v>222</v>
      </c>
      <c r="D659" s="1">
        <v>186</v>
      </c>
      <c r="E659" s="1">
        <v>75</v>
      </c>
      <c r="F659" s="1">
        <v>120</v>
      </c>
      <c r="G659" s="1">
        <v>158</v>
      </c>
      <c r="H659" s="1" t="s">
        <v>989</v>
      </c>
      <c r="I659" s="1">
        <v>160</v>
      </c>
      <c r="J659" s="1" t="s">
        <v>1762</v>
      </c>
      <c r="K659" s="1">
        <v>5</v>
      </c>
      <c r="L659" s="1">
        <f t="shared" si="10"/>
        <v>800</v>
      </c>
      <c r="M659" s="1" t="s">
        <v>38</v>
      </c>
      <c r="N659" s="1"/>
      <c r="O659" s="12" t="str">
        <f>IF($J659=Sheet2!$A$2, ROW(), "")</f>
        <v/>
      </c>
      <c r="Q659" s="23" t="s">
        <v>2640</v>
      </c>
    </row>
    <row r="660" spans="1:17" ht="14" customHeight="1" x14ac:dyDescent="0.3">
      <c r="A660" s="1" t="s">
        <v>990</v>
      </c>
      <c r="B660" s="1">
        <v>32</v>
      </c>
      <c r="C660" s="1" t="s">
        <v>991</v>
      </c>
      <c r="D660" s="1">
        <v>172</v>
      </c>
      <c r="E660" s="1">
        <v>75</v>
      </c>
      <c r="F660" s="1">
        <v>120</v>
      </c>
      <c r="G660" s="1">
        <v>164</v>
      </c>
      <c r="H660" s="1" t="s">
        <v>247</v>
      </c>
      <c r="I660" s="1">
        <v>180</v>
      </c>
      <c r="J660" s="1" t="s">
        <v>238</v>
      </c>
      <c r="K660" s="1">
        <v>4</v>
      </c>
      <c r="L660" s="1">
        <f t="shared" si="10"/>
        <v>900</v>
      </c>
      <c r="M660" s="1" t="s">
        <v>38</v>
      </c>
      <c r="N660" s="1"/>
      <c r="O660" s="12" t="str">
        <f>IF($J660=Sheet2!$A$2, ROW(), "")</f>
        <v/>
      </c>
      <c r="Q660" s="23" t="s">
        <v>2641</v>
      </c>
    </row>
    <row r="661" spans="1:17" ht="14" customHeight="1" x14ac:dyDescent="0.3">
      <c r="A661" s="1" t="s">
        <v>992</v>
      </c>
      <c r="B661" s="1">
        <v>34</v>
      </c>
      <c r="C661" s="1" t="s">
        <v>312</v>
      </c>
      <c r="D661" s="1">
        <v>183</v>
      </c>
      <c r="E661" s="1">
        <v>85</v>
      </c>
      <c r="F661" s="1">
        <v>120</v>
      </c>
      <c r="G661" s="1">
        <v>150</v>
      </c>
      <c r="H661" s="1" t="s">
        <v>357</v>
      </c>
      <c r="I661" s="1">
        <v>180</v>
      </c>
      <c r="J661" s="1" t="s">
        <v>1762</v>
      </c>
      <c r="K661" s="1">
        <v>5</v>
      </c>
      <c r="L661" s="1">
        <f t="shared" si="10"/>
        <v>900</v>
      </c>
      <c r="M661" s="1" t="s">
        <v>38</v>
      </c>
      <c r="N661" s="1"/>
      <c r="O661" s="12" t="str">
        <f>IF($J661=Sheet2!$A$2, ROW(), "")</f>
        <v/>
      </c>
      <c r="Q661" s="23" t="s">
        <v>2642</v>
      </c>
    </row>
    <row r="662" spans="1:17" ht="14" customHeight="1" x14ac:dyDescent="0.3">
      <c r="A662" s="1" t="s">
        <v>993</v>
      </c>
      <c r="B662" s="1">
        <v>34</v>
      </c>
      <c r="C662" s="1" t="s">
        <v>230</v>
      </c>
      <c r="D662" s="1">
        <v>183</v>
      </c>
      <c r="E662" s="1">
        <v>77</v>
      </c>
      <c r="F662" s="1">
        <v>118</v>
      </c>
      <c r="G662" s="1">
        <v>145</v>
      </c>
      <c r="H662" s="1" t="s">
        <v>783</v>
      </c>
      <c r="I662" s="1">
        <v>180</v>
      </c>
      <c r="J662" s="1" t="s">
        <v>248</v>
      </c>
      <c r="K662" s="1">
        <v>5</v>
      </c>
      <c r="L662" s="1">
        <f t="shared" si="10"/>
        <v>900</v>
      </c>
      <c r="M662" s="1" t="s">
        <v>38</v>
      </c>
      <c r="N662" s="1"/>
      <c r="O662" s="12">
        <f>IF($J662=Sheet2!$A$2, ROW(), "")</f>
        <v>662</v>
      </c>
      <c r="Q662" s="23" t="s">
        <v>2643</v>
      </c>
    </row>
    <row r="663" spans="1:17" ht="14" customHeight="1" x14ac:dyDescent="0.3">
      <c r="A663" s="1" t="s">
        <v>994</v>
      </c>
      <c r="B663" s="1">
        <v>22</v>
      </c>
      <c r="C663" s="1" t="s">
        <v>287</v>
      </c>
      <c r="D663" s="1">
        <v>177</v>
      </c>
      <c r="E663" s="1">
        <v>74</v>
      </c>
      <c r="F663" s="1">
        <v>106</v>
      </c>
      <c r="G663" s="1">
        <v>115</v>
      </c>
      <c r="H663" s="1" t="s">
        <v>995</v>
      </c>
      <c r="I663" s="1">
        <v>45</v>
      </c>
      <c r="J663" s="1" t="s">
        <v>1783</v>
      </c>
      <c r="K663" s="1">
        <v>5</v>
      </c>
      <c r="L663" s="1">
        <f t="shared" si="10"/>
        <v>225</v>
      </c>
      <c r="M663" s="1" t="s">
        <v>38</v>
      </c>
      <c r="N663" s="1"/>
      <c r="O663" s="12" t="str">
        <f>IF($J663=Sheet2!$A$2, ROW(), "")</f>
        <v/>
      </c>
      <c r="Q663" s="23" t="s">
        <v>2644</v>
      </c>
    </row>
    <row r="664" spans="1:17" ht="14" customHeight="1" x14ac:dyDescent="0.3">
      <c r="A664" s="1" t="s">
        <v>996</v>
      </c>
      <c r="B664" s="1">
        <v>20</v>
      </c>
      <c r="C664" s="1" t="s">
        <v>563</v>
      </c>
      <c r="D664" s="1">
        <v>177</v>
      </c>
      <c r="E664" s="1">
        <v>74</v>
      </c>
      <c r="F664" s="1">
        <v>123</v>
      </c>
      <c r="G664" s="1">
        <v>140</v>
      </c>
      <c r="H664" s="1" t="s">
        <v>260</v>
      </c>
      <c r="I664" s="1">
        <v>80</v>
      </c>
      <c r="J664" s="1" t="s">
        <v>308</v>
      </c>
      <c r="K664" s="1">
        <v>5</v>
      </c>
      <c r="L664" s="1">
        <f t="shared" si="10"/>
        <v>400</v>
      </c>
      <c r="M664" s="1" t="s">
        <v>38</v>
      </c>
      <c r="N664" s="1"/>
      <c r="O664" s="12" t="str">
        <f>IF($J664=Sheet2!$A$2, ROW(), "")</f>
        <v/>
      </c>
      <c r="Q664" s="23" t="s">
        <v>2645</v>
      </c>
    </row>
    <row r="665" spans="1:17" ht="14" customHeight="1" x14ac:dyDescent="0.3">
      <c r="A665" s="1" t="s">
        <v>997</v>
      </c>
      <c r="B665" s="1">
        <v>28</v>
      </c>
      <c r="C665" s="1" t="s">
        <v>563</v>
      </c>
      <c r="D665" s="1">
        <v>176</v>
      </c>
      <c r="E665" s="1">
        <v>75</v>
      </c>
      <c r="F665" s="1">
        <v>104</v>
      </c>
      <c r="G665" s="1">
        <v>104</v>
      </c>
      <c r="H665" s="1" t="s">
        <v>326</v>
      </c>
      <c r="I665" s="1">
        <v>50</v>
      </c>
      <c r="J665" s="1" t="s">
        <v>308</v>
      </c>
      <c r="K665" s="1">
        <v>5</v>
      </c>
      <c r="L665" s="1">
        <f t="shared" si="10"/>
        <v>250</v>
      </c>
      <c r="M665" s="1" t="s">
        <v>38</v>
      </c>
      <c r="N665" s="1"/>
      <c r="O665" s="12" t="str">
        <f>IF($J665=Sheet2!$A$2, ROW(), "")</f>
        <v/>
      </c>
      <c r="Q665" s="23" t="s">
        <v>2646</v>
      </c>
    </row>
    <row r="666" spans="1:17" ht="14" customHeight="1" x14ac:dyDescent="0.3">
      <c r="A666" s="1" t="s">
        <v>998</v>
      </c>
      <c r="B666" s="1">
        <v>25</v>
      </c>
      <c r="C666" s="1" t="s">
        <v>563</v>
      </c>
      <c r="D666" s="1">
        <v>175</v>
      </c>
      <c r="E666" s="1">
        <v>73</v>
      </c>
      <c r="F666" s="1">
        <v>118</v>
      </c>
      <c r="G666" s="1">
        <v>106</v>
      </c>
      <c r="H666" s="1" t="s">
        <v>317</v>
      </c>
      <c r="I666" s="1">
        <v>50</v>
      </c>
      <c r="J666" s="1" t="s">
        <v>308</v>
      </c>
      <c r="K666" s="1">
        <v>5</v>
      </c>
      <c r="L666" s="1">
        <f t="shared" si="10"/>
        <v>250</v>
      </c>
      <c r="M666" s="1" t="s">
        <v>38</v>
      </c>
      <c r="N666" s="1"/>
      <c r="O666" s="12" t="str">
        <f>IF($J666=Sheet2!$A$2, ROW(), "")</f>
        <v/>
      </c>
      <c r="Q666" s="23" t="s">
        <v>2647</v>
      </c>
    </row>
    <row r="667" spans="1:17" ht="14" customHeight="1" x14ac:dyDescent="0.3">
      <c r="A667" s="1" t="s">
        <v>999</v>
      </c>
      <c r="B667" s="1">
        <v>27</v>
      </c>
      <c r="C667" s="1" t="s">
        <v>563</v>
      </c>
      <c r="D667" s="1">
        <v>179</v>
      </c>
      <c r="E667" s="1">
        <v>76</v>
      </c>
      <c r="F667" s="1">
        <v>106</v>
      </c>
      <c r="G667" s="1">
        <v>106</v>
      </c>
      <c r="H667" s="1" t="s">
        <v>1000</v>
      </c>
      <c r="I667" s="1">
        <v>50</v>
      </c>
      <c r="J667" s="1" t="s">
        <v>1948</v>
      </c>
      <c r="K667" s="1">
        <v>5</v>
      </c>
      <c r="L667" s="1">
        <f t="shared" si="10"/>
        <v>250</v>
      </c>
      <c r="M667" s="1" t="s">
        <v>38</v>
      </c>
      <c r="N667" s="1"/>
      <c r="O667" s="12" t="str">
        <f>IF($J667=Sheet2!$A$2, ROW(), "")</f>
        <v/>
      </c>
      <c r="Q667" s="23" t="s">
        <v>2648</v>
      </c>
    </row>
    <row r="668" spans="1:17" ht="14" customHeight="1" x14ac:dyDescent="0.3">
      <c r="A668" s="1" t="s">
        <v>1001</v>
      </c>
      <c r="B668" s="1">
        <v>26</v>
      </c>
      <c r="C668" s="1" t="s">
        <v>563</v>
      </c>
      <c r="D668" s="1">
        <v>183</v>
      </c>
      <c r="E668" s="1">
        <v>80</v>
      </c>
      <c r="F668" s="1">
        <v>119</v>
      </c>
      <c r="G668" s="1">
        <v>128</v>
      </c>
      <c r="H668" s="1" t="s">
        <v>260</v>
      </c>
      <c r="I668" s="1">
        <v>50</v>
      </c>
      <c r="J668" s="1" t="s">
        <v>1948</v>
      </c>
      <c r="K668" s="1">
        <v>5</v>
      </c>
      <c r="L668" s="1">
        <f t="shared" si="10"/>
        <v>250</v>
      </c>
      <c r="M668" s="1" t="s">
        <v>38</v>
      </c>
      <c r="N668" s="1"/>
      <c r="O668" s="12" t="str">
        <f>IF($J668=Sheet2!$A$2, ROW(), "")</f>
        <v/>
      </c>
      <c r="Q668" s="23" t="s">
        <v>2649</v>
      </c>
    </row>
    <row r="669" spans="1:17" ht="14" customHeight="1" x14ac:dyDescent="0.3">
      <c r="A669" s="1" t="s">
        <v>1002</v>
      </c>
      <c r="B669" s="1">
        <v>30</v>
      </c>
      <c r="C669" s="1" t="s">
        <v>897</v>
      </c>
      <c r="D669" s="1">
        <v>176</v>
      </c>
      <c r="E669" s="1">
        <v>73</v>
      </c>
      <c r="F669" s="1">
        <v>100</v>
      </c>
      <c r="G669" s="1">
        <v>106</v>
      </c>
      <c r="H669" s="1" t="s">
        <v>550</v>
      </c>
      <c r="I669" s="1">
        <v>100</v>
      </c>
      <c r="J669" s="1" t="s">
        <v>1735</v>
      </c>
      <c r="K669" s="1">
        <v>4</v>
      </c>
      <c r="L669" s="1">
        <f t="shared" si="10"/>
        <v>500</v>
      </c>
      <c r="M669" s="1" t="s">
        <v>38</v>
      </c>
      <c r="N669" s="1"/>
      <c r="O669" s="12" t="str">
        <f>IF($J669=Sheet2!$A$2, ROW(), "")</f>
        <v/>
      </c>
      <c r="Q669" s="23" t="s">
        <v>2650</v>
      </c>
    </row>
    <row r="670" spans="1:17" ht="14" customHeight="1" x14ac:dyDescent="0.3">
      <c r="A670" s="1" t="s">
        <v>1003</v>
      </c>
      <c r="B670" s="1">
        <v>38</v>
      </c>
      <c r="C670" s="1" t="s">
        <v>287</v>
      </c>
      <c r="D670" s="1">
        <v>177</v>
      </c>
      <c r="E670" s="1">
        <v>74</v>
      </c>
      <c r="F670" s="1">
        <v>104</v>
      </c>
      <c r="G670" s="1">
        <v>114</v>
      </c>
      <c r="H670" s="1" t="s">
        <v>357</v>
      </c>
      <c r="I670" s="1">
        <v>45</v>
      </c>
      <c r="J670" s="1" t="s">
        <v>1762</v>
      </c>
      <c r="K670" s="1">
        <v>5</v>
      </c>
      <c r="L670" s="1">
        <f t="shared" si="10"/>
        <v>225</v>
      </c>
      <c r="M670" s="1" t="s">
        <v>38</v>
      </c>
      <c r="N670" s="1"/>
      <c r="O670" s="12" t="str">
        <f>IF($J670=Sheet2!$A$2, ROW(), "")</f>
        <v/>
      </c>
      <c r="Q670" s="23" t="s">
        <v>2651</v>
      </c>
    </row>
    <row r="671" spans="1:17" ht="14" customHeight="1" x14ac:dyDescent="0.3">
      <c r="A671" s="1" t="s">
        <v>1004</v>
      </c>
      <c r="B671" s="1">
        <v>37</v>
      </c>
      <c r="C671" s="1" t="s">
        <v>287</v>
      </c>
      <c r="D671" s="1">
        <v>189</v>
      </c>
      <c r="E671" s="1">
        <v>75</v>
      </c>
      <c r="F671" s="1">
        <v>100</v>
      </c>
      <c r="G671" s="1">
        <v>106</v>
      </c>
      <c r="H671" s="1" t="s">
        <v>1</v>
      </c>
      <c r="I671" s="1">
        <v>45</v>
      </c>
      <c r="J671" s="1" t="s">
        <v>1762</v>
      </c>
      <c r="K671" s="1">
        <v>5</v>
      </c>
      <c r="L671" s="1">
        <f t="shared" si="10"/>
        <v>225</v>
      </c>
      <c r="M671" s="1" t="s">
        <v>38</v>
      </c>
      <c r="N671" s="1"/>
      <c r="O671" s="12" t="str">
        <f>IF($J671=Sheet2!$A$2, ROW(), "")</f>
        <v/>
      </c>
      <c r="Q671" s="23" t="s">
        <v>2652</v>
      </c>
    </row>
    <row r="672" spans="1:17" ht="14" customHeight="1" x14ac:dyDescent="0.3">
      <c r="A672" s="1" t="s">
        <v>1005</v>
      </c>
      <c r="B672" s="1">
        <v>29</v>
      </c>
      <c r="C672" s="1" t="s">
        <v>287</v>
      </c>
      <c r="D672" s="1">
        <v>185</v>
      </c>
      <c r="E672" s="1">
        <v>74</v>
      </c>
      <c r="F672" s="1">
        <v>100</v>
      </c>
      <c r="G672" s="1">
        <v>112</v>
      </c>
      <c r="H672" s="1" t="s">
        <v>965</v>
      </c>
      <c r="I672" s="1">
        <v>50</v>
      </c>
      <c r="J672" s="1" t="s">
        <v>1762</v>
      </c>
      <c r="K672" s="1">
        <v>5</v>
      </c>
      <c r="L672" s="1">
        <f t="shared" si="10"/>
        <v>250</v>
      </c>
      <c r="M672" s="1" t="s">
        <v>38</v>
      </c>
      <c r="N672" s="1"/>
      <c r="O672" s="12" t="str">
        <f>IF($J672=Sheet2!$A$2, ROW(), "")</f>
        <v/>
      </c>
      <c r="Q672" s="23" t="s">
        <v>2653</v>
      </c>
    </row>
    <row r="673" spans="1:17" ht="14" customHeight="1" x14ac:dyDescent="0.3">
      <c r="A673" s="1" t="s">
        <v>1006</v>
      </c>
      <c r="B673" s="1">
        <v>19</v>
      </c>
      <c r="C673" s="1" t="s">
        <v>287</v>
      </c>
      <c r="D673" s="1">
        <v>176</v>
      </c>
      <c r="E673" s="1">
        <v>74</v>
      </c>
      <c r="F673" s="1">
        <v>90</v>
      </c>
      <c r="G673" s="1">
        <v>110</v>
      </c>
      <c r="H673" s="1" t="s">
        <v>260</v>
      </c>
      <c r="I673" s="1">
        <v>40</v>
      </c>
      <c r="J673" s="1" t="s">
        <v>1762</v>
      </c>
      <c r="K673" s="1">
        <v>4</v>
      </c>
      <c r="L673" s="1">
        <f t="shared" si="10"/>
        <v>200</v>
      </c>
      <c r="M673" s="1" t="s">
        <v>38</v>
      </c>
      <c r="N673" s="1"/>
      <c r="O673" s="12" t="str">
        <f>IF($J673=Sheet2!$A$2, ROW(), "")</f>
        <v/>
      </c>
      <c r="Q673" s="23" t="s">
        <v>2654</v>
      </c>
    </row>
    <row r="674" spans="1:17" ht="14" customHeight="1" x14ac:dyDescent="0.3">
      <c r="A674" s="1" t="s">
        <v>1007</v>
      </c>
      <c r="B674" s="1">
        <v>25</v>
      </c>
      <c r="C674" s="1" t="s">
        <v>312</v>
      </c>
      <c r="D674" s="1">
        <v>184</v>
      </c>
      <c r="E674" s="1">
        <v>74</v>
      </c>
      <c r="F674" s="1">
        <v>130</v>
      </c>
      <c r="G674" s="1">
        <v>130</v>
      </c>
      <c r="H674" s="1" t="s">
        <v>1008</v>
      </c>
      <c r="I674" s="1">
        <v>180</v>
      </c>
      <c r="J674" s="1" t="s">
        <v>327</v>
      </c>
      <c r="K674" s="1">
        <v>5</v>
      </c>
      <c r="L674" s="1">
        <f t="shared" si="10"/>
        <v>900</v>
      </c>
      <c r="M674" s="1" t="s">
        <v>38</v>
      </c>
      <c r="N674" s="1"/>
      <c r="O674" s="12" t="str">
        <f>IF($J674=Sheet2!$A$2, ROW(), "")</f>
        <v/>
      </c>
      <c r="Q674" s="23" t="s">
        <v>2655</v>
      </c>
    </row>
    <row r="675" spans="1:17" ht="14" customHeight="1" x14ac:dyDescent="0.3">
      <c r="A675" s="1" t="s">
        <v>1009</v>
      </c>
      <c r="B675" s="1">
        <v>28</v>
      </c>
      <c r="C675" s="1" t="s">
        <v>283</v>
      </c>
      <c r="D675" s="1">
        <v>178</v>
      </c>
      <c r="E675" s="1">
        <v>74</v>
      </c>
      <c r="F675" s="1">
        <v>118</v>
      </c>
      <c r="G675" s="1">
        <v>119</v>
      </c>
      <c r="H675" s="1" t="s">
        <v>34</v>
      </c>
      <c r="I675" s="1">
        <v>60</v>
      </c>
      <c r="J675" s="1" t="s">
        <v>1763</v>
      </c>
      <c r="K675" s="1">
        <v>6</v>
      </c>
      <c r="L675" s="1">
        <f t="shared" si="10"/>
        <v>300</v>
      </c>
      <c r="M675" s="1" t="s">
        <v>38</v>
      </c>
      <c r="N675" s="1"/>
      <c r="O675" s="12">
        <f>IF($J675=Sheet2!$A$2, ROW(), "")</f>
        <v>675</v>
      </c>
      <c r="Q675" s="23" t="s">
        <v>2656</v>
      </c>
    </row>
    <row r="676" spans="1:17" ht="14" customHeight="1" x14ac:dyDescent="0.3">
      <c r="A676" s="1" t="s">
        <v>1010</v>
      </c>
      <c r="B676" s="1">
        <v>36</v>
      </c>
      <c r="C676" s="1" t="s">
        <v>1011</v>
      </c>
      <c r="D676" s="1">
        <v>190</v>
      </c>
      <c r="E676" s="1">
        <v>97</v>
      </c>
      <c r="F676" s="1">
        <v>119</v>
      </c>
      <c r="G676" s="1">
        <v>134</v>
      </c>
      <c r="H676" s="1" t="s">
        <v>260</v>
      </c>
      <c r="I676" s="1">
        <v>120</v>
      </c>
      <c r="J676" s="1" t="s">
        <v>207</v>
      </c>
      <c r="K676" s="1">
        <v>4</v>
      </c>
      <c r="L676" s="1">
        <f t="shared" si="10"/>
        <v>600</v>
      </c>
      <c r="M676" s="1" t="s">
        <v>38</v>
      </c>
      <c r="N676" s="1"/>
      <c r="O676" s="12" t="str">
        <f>IF($J676=Sheet2!$A$2, ROW(), "")</f>
        <v/>
      </c>
      <c r="Q676" s="23" t="s">
        <v>2657</v>
      </c>
    </row>
    <row r="677" spans="1:17" ht="14" customHeight="1" x14ac:dyDescent="0.3">
      <c r="A677" s="1" t="s">
        <v>1012</v>
      </c>
      <c r="B677" s="1">
        <v>22</v>
      </c>
      <c r="C677" s="1" t="s">
        <v>287</v>
      </c>
      <c r="D677" s="1">
        <v>180</v>
      </c>
      <c r="E677" s="1">
        <v>86</v>
      </c>
      <c r="F677" s="1">
        <v>120</v>
      </c>
      <c r="G677" s="1">
        <v>120</v>
      </c>
      <c r="H677" s="1" t="s">
        <v>247</v>
      </c>
      <c r="I677" s="1">
        <v>50</v>
      </c>
      <c r="J677" s="1" t="s">
        <v>609</v>
      </c>
      <c r="K677" s="1">
        <v>5</v>
      </c>
      <c r="L677" s="1">
        <f t="shared" si="10"/>
        <v>250</v>
      </c>
      <c r="M677" s="1" t="s">
        <v>38</v>
      </c>
      <c r="N677" s="1"/>
      <c r="O677" s="12" t="str">
        <f>IF($J677=Sheet2!$A$2, ROW(), "")</f>
        <v/>
      </c>
      <c r="Q677" s="23" t="s">
        <v>2658</v>
      </c>
    </row>
    <row r="678" spans="1:17" ht="14" customHeight="1" x14ac:dyDescent="0.3">
      <c r="A678" s="1" t="s">
        <v>1013</v>
      </c>
      <c r="B678" s="1">
        <v>26</v>
      </c>
      <c r="C678" s="1" t="s">
        <v>287</v>
      </c>
      <c r="D678" s="1">
        <v>195</v>
      </c>
      <c r="E678" s="1">
        <v>76</v>
      </c>
      <c r="F678" s="1">
        <v>102</v>
      </c>
      <c r="G678" s="1">
        <v>102</v>
      </c>
      <c r="H678" s="1" t="s">
        <v>251</v>
      </c>
      <c r="I678" s="1">
        <v>40</v>
      </c>
      <c r="J678" s="1" t="s">
        <v>1735</v>
      </c>
      <c r="K678" s="1">
        <v>4</v>
      </c>
      <c r="L678" s="1">
        <f t="shared" si="10"/>
        <v>200</v>
      </c>
      <c r="M678" s="1" t="s">
        <v>38</v>
      </c>
      <c r="N678" s="1"/>
      <c r="O678" s="12" t="str">
        <f>IF($J678=Sheet2!$A$2, ROW(), "")</f>
        <v/>
      </c>
      <c r="Q678" s="23" t="s">
        <v>2659</v>
      </c>
    </row>
    <row r="679" spans="1:17" ht="14" customHeight="1" x14ac:dyDescent="0.3">
      <c r="A679" s="1" t="s">
        <v>1014</v>
      </c>
      <c r="B679" s="1">
        <v>27</v>
      </c>
      <c r="C679" s="1" t="s">
        <v>582</v>
      </c>
      <c r="D679" s="1">
        <v>201</v>
      </c>
      <c r="E679" s="1">
        <v>77</v>
      </c>
      <c r="F679" s="1">
        <v>130</v>
      </c>
      <c r="G679" s="1">
        <v>145</v>
      </c>
      <c r="H679" s="1" t="s">
        <v>1</v>
      </c>
      <c r="I679" s="1">
        <v>130</v>
      </c>
      <c r="J679" s="1" t="s">
        <v>490</v>
      </c>
      <c r="K679" s="1">
        <v>6</v>
      </c>
      <c r="L679" s="1">
        <f t="shared" si="10"/>
        <v>650</v>
      </c>
      <c r="M679" s="1" t="s">
        <v>38</v>
      </c>
      <c r="N679" s="1"/>
      <c r="O679" s="12" t="str">
        <f>IF($J679=Sheet2!$A$2, ROW(), "")</f>
        <v/>
      </c>
      <c r="Q679" s="23" t="s">
        <v>2660</v>
      </c>
    </row>
    <row r="680" spans="1:17" ht="14" customHeight="1" x14ac:dyDescent="0.3">
      <c r="A680" s="1" t="s">
        <v>1015</v>
      </c>
      <c r="B680" s="1">
        <v>35</v>
      </c>
      <c r="C680" s="1" t="s">
        <v>1011</v>
      </c>
      <c r="D680" s="1">
        <v>183</v>
      </c>
      <c r="E680" s="1">
        <v>77</v>
      </c>
      <c r="F680" s="1">
        <v>116</v>
      </c>
      <c r="G680" s="1">
        <v>135</v>
      </c>
      <c r="H680" s="1" t="s">
        <v>251</v>
      </c>
      <c r="I680" s="1">
        <v>130</v>
      </c>
      <c r="J680" s="1" t="s">
        <v>1735</v>
      </c>
      <c r="K680" s="1">
        <v>4</v>
      </c>
      <c r="L680" s="1">
        <f t="shared" si="10"/>
        <v>650</v>
      </c>
      <c r="M680" s="1" t="s">
        <v>38</v>
      </c>
      <c r="N680" s="1"/>
      <c r="O680" s="12" t="str">
        <f>IF($J680=Sheet2!$A$2, ROW(), "")</f>
        <v/>
      </c>
      <c r="Q680" s="23" t="s">
        <v>2661</v>
      </c>
    </row>
    <row r="681" spans="1:17" ht="14" customHeight="1" x14ac:dyDescent="0.3">
      <c r="A681" s="1" t="s">
        <v>1016</v>
      </c>
      <c r="B681" s="1">
        <v>29</v>
      </c>
      <c r="C681" s="1" t="s">
        <v>287</v>
      </c>
      <c r="D681" s="1">
        <v>178</v>
      </c>
      <c r="E681" s="1">
        <v>74</v>
      </c>
      <c r="F681" s="1">
        <v>100</v>
      </c>
      <c r="G681" s="1">
        <v>106</v>
      </c>
      <c r="H681" s="1" t="s">
        <v>1017</v>
      </c>
      <c r="I681" s="1">
        <v>30</v>
      </c>
      <c r="J681" s="1" t="s">
        <v>1918</v>
      </c>
      <c r="K681" s="1">
        <v>4</v>
      </c>
      <c r="L681" s="1">
        <f t="shared" si="10"/>
        <v>150</v>
      </c>
      <c r="M681" s="1" t="s">
        <v>38</v>
      </c>
      <c r="N681" s="1"/>
      <c r="O681" s="12" t="str">
        <f>IF($J681=Sheet2!$A$2, ROW(), "")</f>
        <v/>
      </c>
      <c r="Q681" s="23" t="s">
        <v>2662</v>
      </c>
    </row>
    <row r="682" spans="1:17" ht="14" customHeight="1" x14ac:dyDescent="0.3">
      <c r="A682" s="1" t="s">
        <v>1018</v>
      </c>
      <c r="B682" s="1">
        <v>31</v>
      </c>
      <c r="C682" s="1" t="s">
        <v>287</v>
      </c>
      <c r="D682" s="1">
        <v>180</v>
      </c>
      <c r="E682" s="1">
        <v>75</v>
      </c>
      <c r="F682" s="1">
        <v>100</v>
      </c>
      <c r="G682" s="1">
        <v>102</v>
      </c>
      <c r="H682" s="1" t="s">
        <v>357</v>
      </c>
      <c r="I682" s="1">
        <v>30</v>
      </c>
      <c r="J682" s="1" t="s">
        <v>1918</v>
      </c>
      <c r="K682" s="1">
        <v>4</v>
      </c>
      <c r="L682" s="1">
        <f t="shared" si="10"/>
        <v>150</v>
      </c>
      <c r="M682" s="1" t="s">
        <v>38</v>
      </c>
      <c r="N682" s="1"/>
      <c r="O682" s="12" t="str">
        <f>IF($J682=Sheet2!$A$2, ROW(), "")</f>
        <v/>
      </c>
      <c r="Q682" s="23" t="s">
        <v>2663</v>
      </c>
    </row>
    <row r="683" spans="1:17" ht="14" customHeight="1" x14ac:dyDescent="0.3">
      <c r="A683" s="1" t="s">
        <v>1019</v>
      </c>
      <c r="B683" s="1">
        <v>25</v>
      </c>
      <c r="C683" s="1" t="s">
        <v>285</v>
      </c>
      <c r="D683" s="1">
        <v>175</v>
      </c>
      <c r="E683" s="1">
        <v>73</v>
      </c>
      <c r="F683" s="1">
        <v>128</v>
      </c>
      <c r="G683" s="1">
        <v>128</v>
      </c>
      <c r="H683" s="1" t="s">
        <v>21</v>
      </c>
      <c r="I683" s="1">
        <v>130</v>
      </c>
      <c r="J683" s="1" t="s">
        <v>1774</v>
      </c>
      <c r="K683" s="1">
        <v>5</v>
      </c>
      <c r="L683" s="1">
        <f t="shared" si="10"/>
        <v>650</v>
      </c>
      <c r="M683" s="1" t="s">
        <v>38</v>
      </c>
      <c r="N683" s="1"/>
      <c r="O683" s="12" t="str">
        <f>IF($J683=Sheet2!$A$2, ROW(), "")</f>
        <v/>
      </c>
      <c r="Q683" s="23" t="s">
        <v>2664</v>
      </c>
    </row>
    <row r="684" spans="1:17" ht="14" customHeight="1" x14ac:dyDescent="0.3">
      <c r="A684" s="1" t="s">
        <v>1020</v>
      </c>
      <c r="B684" s="1">
        <v>44</v>
      </c>
      <c r="C684" s="1" t="s">
        <v>287</v>
      </c>
      <c r="D684" s="1">
        <v>196</v>
      </c>
      <c r="E684" s="1">
        <v>74</v>
      </c>
      <c r="F684" s="1">
        <v>88</v>
      </c>
      <c r="G684" s="1">
        <v>98</v>
      </c>
      <c r="H684" s="1" t="s">
        <v>1</v>
      </c>
      <c r="I684" s="1">
        <v>24</v>
      </c>
      <c r="J684" s="1" t="s">
        <v>689</v>
      </c>
      <c r="K684" s="1">
        <v>5</v>
      </c>
      <c r="L684" s="1">
        <f t="shared" si="10"/>
        <v>120</v>
      </c>
      <c r="M684" s="1" t="s">
        <v>38</v>
      </c>
      <c r="N684" s="1"/>
      <c r="O684" s="12" t="str">
        <f>IF($J684=Sheet2!$A$2, ROW(), "")</f>
        <v/>
      </c>
      <c r="Q684" s="23" t="s">
        <v>2665</v>
      </c>
    </row>
    <row r="685" spans="1:17" ht="14" customHeight="1" x14ac:dyDescent="0.3">
      <c r="A685" s="1" t="s">
        <v>1021</v>
      </c>
      <c r="B685" s="1">
        <v>30</v>
      </c>
      <c r="C685" s="1" t="s">
        <v>287</v>
      </c>
      <c r="D685" s="1">
        <v>174</v>
      </c>
      <c r="E685" s="1">
        <v>71</v>
      </c>
      <c r="F685" s="1">
        <v>106</v>
      </c>
      <c r="G685" s="1">
        <v>114</v>
      </c>
      <c r="H685" s="1" t="s">
        <v>1022</v>
      </c>
      <c r="I685" s="1">
        <v>100</v>
      </c>
      <c r="J685" s="1" t="s">
        <v>1735</v>
      </c>
      <c r="K685" s="1">
        <v>4</v>
      </c>
      <c r="L685" s="1">
        <f t="shared" si="10"/>
        <v>500</v>
      </c>
      <c r="M685" s="1" t="s">
        <v>38</v>
      </c>
      <c r="N685" s="1"/>
      <c r="O685" s="12" t="str">
        <f>IF($J685=Sheet2!$A$2, ROW(), "")</f>
        <v/>
      </c>
      <c r="Q685" s="23" t="s">
        <v>2666</v>
      </c>
    </row>
    <row r="686" spans="1:17" ht="14" customHeight="1" x14ac:dyDescent="0.3">
      <c r="A686" s="1" t="s">
        <v>1023</v>
      </c>
      <c r="B686" s="1">
        <v>22</v>
      </c>
      <c r="C686" s="1" t="s">
        <v>287</v>
      </c>
      <c r="D686" s="1">
        <v>177</v>
      </c>
      <c r="E686" s="1">
        <v>75</v>
      </c>
      <c r="F686" s="1">
        <v>78</v>
      </c>
      <c r="G686" s="1">
        <v>95</v>
      </c>
      <c r="H686" s="1" t="s">
        <v>1024</v>
      </c>
      <c r="I686" s="1">
        <v>24</v>
      </c>
      <c r="J686" s="1" t="s">
        <v>1848</v>
      </c>
      <c r="K686" s="1">
        <v>7</v>
      </c>
      <c r="L686" s="1">
        <f t="shared" si="10"/>
        <v>120</v>
      </c>
      <c r="M686" s="1" t="s">
        <v>98</v>
      </c>
      <c r="N686" s="1"/>
      <c r="O686" s="12" t="str">
        <f>IF($J686=Sheet2!$A$2, ROW(), "")</f>
        <v/>
      </c>
      <c r="Q686" s="23" t="s">
        <v>2667</v>
      </c>
    </row>
    <row r="687" spans="1:17" ht="14" customHeight="1" x14ac:dyDescent="0.3">
      <c r="A687" s="1" t="s">
        <v>1025</v>
      </c>
      <c r="B687" s="1">
        <v>35</v>
      </c>
      <c r="C687" s="1" t="s">
        <v>843</v>
      </c>
      <c r="D687" s="1">
        <v>191</v>
      </c>
      <c r="E687" s="1">
        <v>89</v>
      </c>
      <c r="F687" s="1">
        <v>119</v>
      </c>
      <c r="G687" s="1">
        <v>160</v>
      </c>
      <c r="H687" s="1" t="s">
        <v>260</v>
      </c>
      <c r="I687" s="1">
        <v>120</v>
      </c>
      <c r="J687" s="1" t="s">
        <v>609</v>
      </c>
      <c r="K687" s="1">
        <v>5</v>
      </c>
      <c r="L687" s="1">
        <f t="shared" si="10"/>
        <v>600</v>
      </c>
      <c r="M687" s="1" t="s">
        <v>38</v>
      </c>
      <c r="N687" s="1"/>
      <c r="O687" s="12" t="str">
        <f>IF($J687=Sheet2!$A$2, ROW(), "")</f>
        <v/>
      </c>
      <c r="Q687" s="23" t="s">
        <v>2668</v>
      </c>
    </row>
    <row r="688" spans="1:17" ht="14" customHeight="1" x14ac:dyDescent="0.3">
      <c r="A688" s="1" t="s">
        <v>1026</v>
      </c>
      <c r="B688" s="1">
        <v>35</v>
      </c>
      <c r="C688" s="1" t="s">
        <v>1027</v>
      </c>
      <c r="D688" s="1">
        <v>186</v>
      </c>
      <c r="E688" s="1">
        <v>77</v>
      </c>
      <c r="F688" s="1">
        <v>102</v>
      </c>
      <c r="G688" s="1">
        <v>154</v>
      </c>
      <c r="H688" s="1" t="s">
        <v>834</v>
      </c>
      <c r="I688" s="1">
        <v>30</v>
      </c>
      <c r="J688" s="1" t="s">
        <v>225</v>
      </c>
      <c r="K688" s="1">
        <v>4</v>
      </c>
      <c r="L688" s="1">
        <f t="shared" si="10"/>
        <v>150</v>
      </c>
      <c r="M688" s="1" t="s">
        <v>38</v>
      </c>
      <c r="N688" s="1"/>
      <c r="O688" s="12" t="str">
        <f>IF($J688=Sheet2!$A$2, ROW(), "")</f>
        <v/>
      </c>
      <c r="Q688" s="23" t="s">
        <v>2669</v>
      </c>
    </row>
    <row r="689" spans="1:17" ht="14" customHeight="1" x14ac:dyDescent="0.3">
      <c r="A689" s="1" t="s">
        <v>1028</v>
      </c>
      <c r="B689" s="1">
        <v>33</v>
      </c>
      <c r="C689" s="1" t="s">
        <v>287</v>
      </c>
      <c r="D689" s="1">
        <v>182</v>
      </c>
      <c r="E689" s="1">
        <v>77</v>
      </c>
      <c r="F689" s="1">
        <v>106</v>
      </c>
      <c r="G689" s="1">
        <v>120</v>
      </c>
      <c r="H689" s="1" t="s">
        <v>277</v>
      </c>
      <c r="I689" s="1">
        <v>100</v>
      </c>
      <c r="J689" s="1" t="s">
        <v>1762</v>
      </c>
      <c r="K689" s="1">
        <v>4</v>
      </c>
      <c r="L689" s="1">
        <f t="shared" si="10"/>
        <v>500</v>
      </c>
      <c r="M689" s="1" t="s">
        <v>38</v>
      </c>
      <c r="N689" s="1"/>
      <c r="O689" s="12" t="str">
        <f>IF($J689=Sheet2!$A$2, ROW(), "")</f>
        <v/>
      </c>
      <c r="Q689" s="23" t="s">
        <v>2670</v>
      </c>
    </row>
    <row r="690" spans="1:17" ht="14" customHeight="1" x14ac:dyDescent="0.3">
      <c r="A690" s="1" t="s">
        <v>1029</v>
      </c>
      <c r="B690" s="1">
        <v>38</v>
      </c>
      <c r="C690" s="1" t="s">
        <v>287</v>
      </c>
      <c r="D690" s="1">
        <v>180</v>
      </c>
      <c r="E690" s="1">
        <v>75</v>
      </c>
      <c r="F690" s="1">
        <v>100</v>
      </c>
      <c r="G690" s="1">
        <v>114</v>
      </c>
      <c r="H690" s="1" t="s">
        <v>1030</v>
      </c>
      <c r="I690" s="1">
        <v>30</v>
      </c>
      <c r="J690" s="1" t="s">
        <v>3246</v>
      </c>
      <c r="K690" s="1">
        <v>4</v>
      </c>
      <c r="L690" s="1">
        <f t="shared" si="10"/>
        <v>150</v>
      </c>
      <c r="M690" s="1" t="s">
        <v>38</v>
      </c>
      <c r="N690" s="1"/>
      <c r="O690" s="12" t="str">
        <f>IF($J690=Sheet2!$A$2, ROW(), "")</f>
        <v/>
      </c>
      <c r="Q690" s="23" t="s">
        <v>2671</v>
      </c>
    </row>
    <row r="691" spans="1:17" ht="14" customHeight="1" x14ac:dyDescent="0.3">
      <c r="A691" s="1" t="s">
        <v>1031</v>
      </c>
      <c r="B691" s="1">
        <v>21</v>
      </c>
      <c r="C691" s="1" t="s">
        <v>287</v>
      </c>
      <c r="D691" s="1">
        <v>197</v>
      </c>
      <c r="E691" s="1">
        <v>74</v>
      </c>
      <c r="F691" s="1">
        <v>120</v>
      </c>
      <c r="G691" s="1">
        <v>136</v>
      </c>
      <c r="H691" s="1" t="s">
        <v>1</v>
      </c>
      <c r="I691" s="1">
        <v>50</v>
      </c>
      <c r="J691" s="1" t="s">
        <v>1721</v>
      </c>
      <c r="K691" s="1">
        <v>5</v>
      </c>
      <c r="L691" s="1">
        <f t="shared" si="10"/>
        <v>250</v>
      </c>
      <c r="M691" s="1" t="s">
        <v>38</v>
      </c>
      <c r="N691" s="1"/>
      <c r="O691" s="12" t="str">
        <f>IF($J691=Sheet2!$A$2, ROW(), "")</f>
        <v/>
      </c>
      <c r="Q691" s="23" t="s">
        <v>2672</v>
      </c>
    </row>
    <row r="692" spans="1:17" ht="14" customHeight="1" x14ac:dyDescent="0.3">
      <c r="A692" s="1" t="s">
        <v>1032</v>
      </c>
      <c r="B692" s="1">
        <v>23</v>
      </c>
      <c r="C692" s="1" t="s">
        <v>897</v>
      </c>
      <c r="D692" s="1">
        <v>188</v>
      </c>
      <c r="E692" s="1">
        <v>75</v>
      </c>
      <c r="F692" s="1">
        <v>120</v>
      </c>
      <c r="G692" s="1">
        <v>120</v>
      </c>
      <c r="H692" s="1" t="s">
        <v>1033</v>
      </c>
      <c r="I692" s="1">
        <v>24</v>
      </c>
      <c r="J692" s="1" t="s">
        <v>1721</v>
      </c>
      <c r="K692" s="1">
        <v>5</v>
      </c>
      <c r="L692" s="1">
        <f t="shared" si="10"/>
        <v>120</v>
      </c>
      <c r="M692" s="1" t="s">
        <v>38</v>
      </c>
      <c r="N692" s="1"/>
      <c r="O692" s="12" t="str">
        <f>IF($J692=Sheet2!$A$2, ROW(), "")</f>
        <v/>
      </c>
      <c r="Q692" s="23" t="s">
        <v>2673</v>
      </c>
    </row>
    <row r="693" spans="1:17" ht="14" customHeight="1" x14ac:dyDescent="0.3">
      <c r="A693" s="1" t="s">
        <v>1034</v>
      </c>
      <c r="B693" s="1">
        <v>20</v>
      </c>
      <c r="C693" s="1" t="s">
        <v>287</v>
      </c>
      <c r="D693" s="1">
        <v>183</v>
      </c>
      <c r="E693" s="1">
        <v>66</v>
      </c>
      <c r="F693" s="1">
        <v>90</v>
      </c>
      <c r="G693" s="1">
        <v>120</v>
      </c>
      <c r="H693" s="1" t="s">
        <v>277</v>
      </c>
      <c r="I693" s="1">
        <v>22</v>
      </c>
      <c r="J693" s="1" t="s">
        <v>1848</v>
      </c>
      <c r="K693" s="1">
        <v>5</v>
      </c>
      <c r="L693" s="1">
        <f t="shared" si="10"/>
        <v>110</v>
      </c>
      <c r="M693" s="1" t="s">
        <v>38</v>
      </c>
      <c r="N693" s="1"/>
      <c r="O693" s="12" t="str">
        <f>IF($J693=Sheet2!$A$2, ROW(), "")</f>
        <v/>
      </c>
      <c r="Q693" s="23" t="s">
        <v>2674</v>
      </c>
    </row>
    <row r="694" spans="1:17" ht="14" customHeight="1" x14ac:dyDescent="0.3">
      <c r="A694" s="1" t="s">
        <v>1035</v>
      </c>
      <c r="B694" s="1">
        <v>39</v>
      </c>
      <c r="C694" s="1" t="s">
        <v>250</v>
      </c>
      <c r="D694" s="1">
        <v>187</v>
      </c>
      <c r="E694" s="1">
        <v>86</v>
      </c>
      <c r="F694" s="1">
        <v>118</v>
      </c>
      <c r="G694" s="1">
        <v>140</v>
      </c>
      <c r="H694" s="1" t="s">
        <v>824</v>
      </c>
      <c r="I694" s="1">
        <v>160</v>
      </c>
      <c r="J694" s="1" t="s">
        <v>1973</v>
      </c>
      <c r="K694" s="1">
        <v>5</v>
      </c>
      <c r="L694" s="1">
        <f t="shared" si="10"/>
        <v>800</v>
      </c>
      <c r="M694" s="1" t="s">
        <v>38</v>
      </c>
      <c r="N694" s="1"/>
      <c r="O694" s="12" t="str">
        <f>IF($J694=Sheet2!$A$2, ROW(), "")</f>
        <v/>
      </c>
      <c r="Q694" s="23" t="s">
        <v>2675</v>
      </c>
    </row>
    <row r="695" spans="1:17" ht="14" customHeight="1" x14ac:dyDescent="0.3">
      <c r="A695" s="1" t="s">
        <v>1036</v>
      </c>
      <c r="B695" s="1">
        <v>37</v>
      </c>
      <c r="C695" s="1" t="s">
        <v>1037</v>
      </c>
      <c r="D695" s="1">
        <v>180</v>
      </c>
      <c r="E695" s="1">
        <v>81</v>
      </c>
      <c r="F695" s="1">
        <v>110</v>
      </c>
      <c r="G695" s="1">
        <v>140</v>
      </c>
      <c r="H695" s="1" t="s">
        <v>1038</v>
      </c>
      <c r="I695" s="1">
        <v>40</v>
      </c>
      <c r="J695" s="1" t="s">
        <v>1039</v>
      </c>
      <c r="K695" s="1">
        <v>6</v>
      </c>
      <c r="L695" s="1">
        <f t="shared" si="10"/>
        <v>200</v>
      </c>
      <c r="M695" s="1" t="s">
        <v>38</v>
      </c>
      <c r="N695" s="1"/>
      <c r="O695" s="12" t="str">
        <f>IF($J695=Sheet2!$A$2, ROW(), "")</f>
        <v/>
      </c>
      <c r="Q695" s="23" t="s">
        <v>2676</v>
      </c>
    </row>
    <row r="696" spans="1:17" ht="14" customHeight="1" x14ac:dyDescent="0.3">
      <c r="A696" s="1" t="s">
        <v>1040</v>
      </c>
      <c r="B696" s="1">
        <v>40</v>
      </c>
      <c r="C696" s="1" t="s">
        <v>230</v>
      </c>
      <c r="D696" s="1">
        <v>196</v>
      </c>
      <c r="E696" s="1">
        <v>77</v>
      </c>
      <c r="F696" s="1">
        <v>108</v>
      </c>
      <c r="G696" s="1">
        <v>144</v>
      </c>
      <c r="H696" s="1" t="s">
        <v>1</v>
      </c>
      <c r="I696" s="1">
        <v>40</v>
      </c>
      <c r="J696" s="1" t="s">
        <v>1735</v>
      </c>
      <c r="K696" s="1">
        <v>4</v>
      </c>
      <c r="L696" s="1">
        <f t="shared" si="10"/>
        <v>200</v>
      </c>
      <c r="M696" s="1" t="s">
        <v>38</v>
      </c>
      <c r="N696" s="1"/>
      <c r="O696" s="12" t="str">
        <f>IF($J696=Sheet2!$A$2, ROW(), "")</f>
        <v/>
      </c>
      <c r="Q696" s="23" t="s">
        <v>2677</v>
      </c>
    </row>
    <row r="697" spans="1:17" ht="14" customHeight="1" x14ac:dyDescent="0.3">
      <c r="A697" s="1" t="s">
        <v>1041</v>
      </c>
      <c r="B697" s="1">
        <v>40</v>
      </c>
      <c r="C697" s="1" t="s">
        <v>230</v>
      </c>
      <c r="D697" s="1">
        <v>197</v>
      </c>
      <c r="E697" s="1">
        <v>77</v>
      </c>
      <c r="F697" s="1">
        <v>116</v>
      </c>
      <c r="G697" s="1">
        <v>156</v>
      </c>
      <c r="H697" s="1" t="s">
        <v>1</v>
      </c>
      <c r="I697" s="1">
        <v>50</v>
      </c>
      <c r="J697" s="1" t="s">
        <v>108</v>
      </c>
      <c r="K697" s="1">
        <v>4.5</v>
      </c>
      <c r="L697" s="1">
        <f t="shared" si="10"/>
        <v>250</v>
      </c>
      <c r="M697" s="1" t="s">
        <v>98</v>
      </c>
      <c r="N697" s="1"/>
      <c r="O697" s="12" t="str">
        <f>IF($J697=Sheet2!$A$2, ROW(), "")</f>
        <v/>
      </c>
      <c r="Q697" s="23" t="s">
        <v>2678</v>
      </c>
    </row>
    <row r="698" spans="1:17" ht="14" customHeight="1" x14ac:dyDescent="0.3">
      <c r="A698" s="1" t="s">
        <v>1042</v>
      </c>
      <c r="B698" s="1">
        <v>38</v>
      </c>
      <c r="C698" s="1" t="s">
        <v>1043</v>
      </c>
      <c r="D698" s="1">
        <v>197</v>
      </c>
      <c r="E698" s="1">
        <v>77</v>
      </c>
      <c r="F698" s="1">
        <v>115</v>
      </c>
      <c r="G698" s="1">
        <v>150</v>
      </c>
      <c r="H698" s="1" t="s">
        <v>1</v>
      </c>
      <c r="I698" s="1">
        <v>50</v>
      </c>
      <c r="J698" s="1" t="s">
        <v>238</v>
      </c>
      <c r="K698" s="1">
        <v>2</v>
      </c>
      <c r="L698" s="1">
        <f t="shared" si="10"/>
        <v>250</v>
      </c>
      <c r="M698" s="1"/>
      <c r="N698" s="1"/>
      <c r="O698" s="12" t="str">
        <f>IF($J698=Sheet2!$A$2, ROW(), "")</f>
        <v/>
      </c>
      <c r="Q698" s="23" t="s">
        <v>2679</v>
      </c>
    </row>
    <row r="699" spans="1:17" ht="14" customHeight="1" x14ac:dyDescent="0.3">
      <c r="A699" s="1" t="s">
        <v>1044</v>
      </c>
      <c r="B699" s="1">
        <v>42</v>
      </c>
      <c r="C699" s="1" t="s">
        <v>312</v>
      </c>
      <c r="D699" s="1">
        <v>190</v>
      </c>
      <c r="E699" s="1">
        <v>84</v>
      </c>
      <c r="F699" s="1">
        <v>105</v>
      </c>
      <c r="G699" s="1">
        <v>156</v>
      </c>
      <c r="H699" s="1" t="s">
        <v>263</v>
      </c>
      <c r="I699" s="1">
        <v>100</v>
      </c>
      <c r="J699" s="1" t="s">
        <v>238</v>
      </c>
      <c r="K699" s="1">
        <v>4</v>
      </c>
      <c r="L699" s="1">
        <f t="shared" si="10"/>
        <v>500</v>
      </c>
      <c r="M699" s="1" t="s">
        <v>38</v>
      </c>
      <c r="N699" s="1"/>
      <c r="O699" s="12" t="str">
        <f>IF($J699=Sheet2!$A$2, ROW(), "")</f>
        <v/>
      </c>
      <c r="Q699" s="23" t="s">
        <v>2680</v>
      </c>
    </row>
    <row r="700" spans="1:17" ht="14" customHeight="1" x14ac:dyDescent="0.3">
      <c r="A700" s="1" t="s">
        <v>1045</v>
      </c>
      <c r="B700" s="1">
        <v>34</v>
      </c>
      <c r="C700" s="1" t="s">
        <v>287</v>
      </c>
      <c r="D700" s="1">
        <v>185</v>
      </c>
      <c r="E700" s="1">
        <v>74</v>
      </c>
      <c r="F700" s="1">
        <v>108</v>
      </c>
      <c r="G700" s="1">
        <v>120</v>
      </c>
      <c r="H700" s="1" t="s">
        <v>1046</v>
      </c>
      <c r="I700" s="1">
        <v>100</v>
      </c>
      <c r="J700" s="1" t="s">
        <v>1047</v>
      </c>
      <c r="K700" s="1">
        <v>5</v>
      </c>
      <c r="L700" s="1">
        <f t="shared" si="10"/>
        <v>500</v>
      </c>
      <c r="M700" s="1" t="s">
        <v>38</v>
      </c>
      <c r="N700" s="1"/>
      <c r="O700" s="12" t="str">
        <f>IF($J700=Sheet2!$A$2, ROW(), "")</f>
        <v/>
      </c>
      <c r="Q700" s="23" t="s">
        <v>2681</v>
      </c>
    </row>
    <row r="701" spans="1:17" ht="14" customHeight="1" x14ac:dyDescent="0.3">
      <c r="A701" s="1" t="s">
        <v>1048</v>
      </c>
      <c r="B701" s="1">
        <v>22</v>
      </c>
      <c r="C701" s="1" t="s">
        <v>287</v>
      </c>
      <c r="D701" s="1">
        <v>190</v>
      </c>
      <c r="E701" s="1">
        <v>75</v>
      </c>
      <c r="F701" s="1">
        <v>92</v>
      </c>
      <c r="G701" s="1">
        <v>114</v>
      </c>
      <c r="H701" s="1" t="s">
        <v>1049</v>
      </c>
      <c r="I701" s="1">
        <v>60</v>
      </c>
      <c r="J701" s="1" t="s">
        <v>1047</v>
      </c>
      <c r="K701" s="1">
        <v>5</v>
      </c>
      <c r="L701" s="1">
        <f t="shared" si="10"/>
        <v>300</v>
      </c>
      <c r="M701" s="1" t="s">
        <v>38</v>
      </c>
      <c r="N701" s="1"/>
      <c r="O701" s="12" t="str">
        <f>IF($J701=Sheet2!$A$2, ROW(), "")</f>
        <v/>
      </c>
      <c r="Q701" s="23" t="s">
        <v>2682</v>
      </c>
    </row>
    <row r="702" spans="1:17" ht="14" customHeight="1" x14ac:dyDescent="0.3">
      <c r="A702" s="1" t="s">
        <v>1050</v>
      </c>
      <c r="B702" s="1">
        <v>25</v>
      </c>
      <c r="C702" s="1" t="s">
        <v>1051</v>
      </c>
      <c r="D702" s="1">
        <v>175</v>
      </c>
      <c r="E702" s="1"/>
      <c r="F702" s="1">
        <v>121</v>
      </c>
      <c r="G702" s="1">
        <v>144</v>
      </c>
      <c r="H702" s="1" t="s">
        <v>357</v>
      </c>
      <c r="I702" s="1">
        <v>200</v>
      </c>
      <c r="J702" s="1" t="s">
        <v>1047</v>
      </c>
      <c r="K702" s="1">
        <v>5</v>
      </c>
      <c r="L702" s="1">
        <f t="shared" si="10"/>
        <v>1000</v>
      </c>
      <c r="M702" s="1" t="s">
        <v>38</v>
      </c>
      <c r="N702" s="1"/>
      <c r="O702" s="12" t="str">
        <f>IF($J702=Sheet2!$A$2, ROW(), "")</f>
        <v/>
      </c>
      <c r="Q702" s="23" t="s">
        <v>2683</v>
      </c>
    </row>
    <row r="703" spans="1:17" ht="14" customHeight="1" x14ac:dyDescent="0.3">
      <c r="A703" s="1" t="s">
        <v>1052</v>
      </c>
      <c r="B703" s="1">
        <v>25</v>
      </c>
      <c r="C703" s="1" t="s">
        <v>246</v>
      </c>
      <c r="D703" s="1">
        <v>177</v>
      </c>
      <c r="E703" s="1"/>
      <c r="F703" s="1">
        <v>122</v>
      </c>
      <c r="G703" s="1">
        <v>136</v>
      </c>
      <c r="H703" s="1" t="s">
        <v>697</v>
      </c>
      <c r="I703" s="1">
        <v>120</v>
      </c>
      <c r="J703" s="1" t="s">
        <v>1047</v>
      </c>
      <c r="K703" s="1">
        <v>5</v>
      </c>
      <c r="L703" s="1">
        <f t="shared" si="10"/>
        <v>600</v>
      </c>
      <c r="M703" s="1" t="s">
        <v>38</v>
      </c>
      <c r="N703" s="1"/>
      <c r="O703" s="12" t="str">
        <f>IF($J703=Sheet2!$A$2, ROW(), "")</f>
        <v/>
      </c>
      <c r="Q703" s="23" t="s">
        <v>2684</v>
      </c>
    </row>
    <row r="704" spans="1:17" ht="14" customHeight="1" x14ac:dyDescent="0.3">
      <c r="A704" s="1" t="s">
        <v>1053</v>
      </c>
      <c r="B704" s="1">
        <v>31</v>
      </c>
      <c r="C704" s="1" t="s">
        <v>1054</v>
      </c>
      <c r="D704" s="1">
        <v>177</v>
      </c>
      <c r="E704" s="1"/>
      <c r="F704" s="1">
        <v>105</v>
      </c>
      <c r="G704" s="1">
        <v>160</v>
      </c>
      <c r="H704" s="1" t="s">
        <v>277</v>
      </c>
      <c r="I704" s="1">
        <v>120</v>
      </c>
      <c r="J704" s="1" t="s">
        <v>1047</v>
      </c>
      <c r="K704" s="1">
        <v>4</v>
      </c>
      <c r="L704" s="1">
        <f t="shared" si="10"/>
        <v>600</v>
      </c>
      <c r="M704" s="1" t="s">
        <v>38</v>
      </c>
      <c r="N704" s="1"/>
      <c r="O704" s="12" t="str">
        <f>IF($J704=Sheet2!$A$2, ROW(), "")</f>
        <v/>
      </c>
      <c r="Q704" s="23" t="s">
        <v>2685</v>
      </c>
    </row>
    <row r="705" spans="1:17" ht="14" customHeight="1" x14ac:dyDescent="0.3">
      <c r="A705" s="1" t="s">
        <v>1055</v>
      </c>
      <c r="B705" s="1">
        <v>34</v>
      </c>
      <c r="C705" s="1" t="s">
        <v>611</v>
      </c>
      <c r="D705" s="1">
        <v>176</v>
      </c>
      <c r="E705" s="1">
        <v>65</v>
      </c>
      <c r="F705" s="1">
        <v>116</v>
      </c>
      <c r="G705" s="1">
        <v>152</v>
      </c>
      <c r="H705" s="1" t="s">
        <v>1056</v>
      </c>
      <c r="I705" s="1">
        <v>200</v>
      </c>
      <c r="J705" s="1" t="s">
        <v>1047</v>
      </c>
      <c r="K705" s="1">
        <v>5</v>
      </c>
      <c r="L705" s="1">
        <f t="shared" si="10"/>
        <v>1000</v>
      </c>
      <c r="M705" s="1" t="s">
        <v>38</v>
      </c>
      <c r="N705" s="1"/>
      <c r="O705" s="12" t="str">
        <f>IF($J705=Sheet2!$A$2, ROW(), "")</f>
        <v/>
      </c>
      <c r="Q705" s="23" t="s">
        <v>2686</v>
      </c>
    </row>
    <row r="706" spans="1:17" ht="14" customHeight="1" x14ac:dyDescent="0.3">
      <c r="A706" s="1" t="s">
        <v>1057</v>
      </c>
      <c r="B706" s="1">
        <v>25</v>
      </c>
      <c r="C706" s="1" t="s">
        <v>1058</v>
      </c>
      <c r="D706" s="1">
        <v>174</v>
      </c>
      <c r="E706" s="1"/>
      <c r="F706" s="1">
        <v>122</v>
      </c>
      <c r="G706" s="1">
        <v>142</v>
      </c>
      <c r="H706" s="1" t="s">
        <v>357</v>
      </c>
      <c r="I706" s="1">
        <v>150</v>
      </c>
      <c r="J706" s="1" t="s">
        <v>1047</v>
      </c>
      <c r="K706" s="1">
        <v>6</v>
      </c>
      <c r="L706" s="1">
        <f t="shared" ref="L706:L769" si="11">I706*5</f>
        <v>750</v>
      </c>
      <c r="M706" s="1" t="s">
        <v>38</v>
      </c>
      <c r="N706" s="1"/>
      <c r="O706" s="12" t="str">
        <f>IF($J706=Sheet2!$A$2, ROW(), "")</f>
        <v/>
      </c>
      <c r="Q706" s="23" t="s">
        <v>2687</v>
      </c>
    </row>
    <row r="707" spans="1:17" ht="14" customHeight="1" x14ac:dyDescent="0.3">
      <c r="A707" s="1" t="s">
        <v>1059</v>
      </c>
      <c r="B707" s="1">
        <v>29</v>
      </c>
      <c r="C707" s="1" t="s">
        <v>1027</v>
      </c>
      <c r="D707" s="1">
        <v>192</v>
      </c>
      <c r="E707" s="1"/>
      <c r="F707" s="1">
        <v>122</v>
      </c>
      <c r="G707" s="1">
        <v>136</v>
      </c>
      <c r="H707" s="1" t="s">
        <v>1</v>
      </c>
      <c r="I707" s="1">
        <v>160</v>
      </c>
      <c r="J707" s="1" t="s">
        <v>1047</v>
      </c>
      <c r="K707" s="1">
        <v>6</v>
      </c>
      <c r="L707" s="1">
        <f t="shared" si="11"/>
        <v>800</v>
      </c>
      <c r="M707" s="1" t="s">
        <v>38</v>
      </c>
      <c r="N707" s="1"/>
      <c r="O707" s="12" t="str">
        <f>IF($J707=Sheet2!$A$2, ROW(), "")</f>
        <v/>
      </c>
      <c r="Q707" s="23" t="s">
        <v>2688</v>
      </c>
    </row>
    <row r="708" spans="1:17" ht="14" customHeight="1" x14ac:dyDescent="0.3">
      <c r="A708" s="1" t="s">
        <v>1060</v>
      </c>
      <c r="B708" s="1">
        <v>26</v>
      </c>
      <c r="C708" s="1" t="s">
        <v>287</v>
      </c>
      <c r="D708" s="1">
        <v>189</v>
      </c>
      <c r="E708" s="1"/>
      <c r="F708" s="1">
        <v>108</v>
      </c>
      <c r="G708" s="1">
        <v>116</v>
      </c>
      <c r="H708" s="1" t="s">
        <v>317</v>
      </c>
      <c r="I708" s="1">
        <v>24</v>
      </c>
      <c r="J708" s="1" t="s">
        <v>1047</v>
      </c>
      <c r="K708" s="1">
        <v>5</v>
      </c>
      <c r="L708" s="1">
        <f t="shared" si="11"/>
        <v>120</v>
      </c>
      <c r="M708" s="1" t="s">
        <v>38</v>
      </c>
      <c r="N708" s="1"/>
      <c r="O708" s="12" t="str">
        <f>IF($J708=Sheet2!$A$2, ROW(), "")</f>
        <v/>
      </c>
      <c r="Q708" s="23" t="s">
        <v>2689</v>
      </c>
    </row>
    <row r="709" spans="1:17" ht="14" customHeight="1" x14ac:dyDescent="0.3">
      <c r="A709" s="1" t="s">
        <v>1061</v>
      </c>
      <c r="B709" s="1">
        <v>30</v>
      </c>
      <c r="C709" s="1" t="s">
        <v>897</v>
      </c>
      <c r="D709" s="1">
        <v>187</v>
      </c>
      <c r="E709" s="1">
        <v>77</v>
      </c>
      <c r="F709" s="1">
        <v>100</v>
      </c>
      <c r="G709" s="1">
        <v>116</v>
      </c>
      <c r="H709" s="1" t="s">
        <v>260</v>
      </c>
      <c r="I709" s="1">
        <v>30</v>
      </c>
      <c r="J709" s="1" t="s">
        <v>108</v>
      </c>
      <c r="K709" s="1">
        <v>5</v>
      </c>
      <c r="L709" s="1">
        <f t="shared" si="11"/>
        <v>150</v>
      </c>
      <c r="M709" s="1" t="s">
        <v>38</v>
      </c>
      <c r="N709" s="1"/>
      <c r="O709" s="12" t="str">
        <f>IF($J709=Sheet2!$A$2, ROW(), "")</f>
        <v/>
      </c>
      <c r="Q709" s="23" t="s">
        <v>2690</v>
      </c>
    </row>
    <row r="710" spans="1:17" ht="14" customHeight="1" x14ac:dyDescent="0.3">
      <c r="A710" s="1" t="s">
        <v>1062</v>
      </c>
      <c r="B710" s="1">
        <v>27</v>
      </c>
      <c r="C710" s="1" t="s">
        <v>1063</v>
      </c>
      <c r="D710" s="1"/>
      <c r="E710" s="1"/>
      <c r="F710" s="1">
        <v>122</v>
      </c>
      <c r="G710" s="1">
        <v>138</v>
      </c>
      <c r="H710" s="1" t="s">
        <v>1064</v>
      </c>
      <c r="I710" s="1">
        <v>150</v>
      </c>
      <c r="J710" s="1" t="s">
        <v>1047</v>
      </c>
      <c r="K710" s="1">
        <v>5</v>
      </c>
      <c r="L710" s="1">
        <f t="shared" si="11"/>
        <v>750</v>
      </c>
      <c r="M710" s="1" t="s">
        <v>38</v>
      </c>
      <c r="N710" s="1"/>
      <c r="O710" s="12" t="str">
        <f>IF($J710=Sheet2!$A$2, ROW(), "")</f>
        <v/>
      </c>
      <c r="Q710" s="23" t="s">
        <v>2691</v>
      </c>
    </row>
    <row r="711" spans="1:17" ht="14" customHeight="1" x14ac:dyDescent="0.3">
      <c r="A711" s="1" t="s">
        <v>1065</v>
      </c>
      <c r="B711" s="1">
        <v>31</v>
      </c>
      <c r="C711" s="1" t="s">
        <v>1063</v>
      </c>
      <c r="D711" s="1"/>
      <c r="E711" s="1"/>
      <c r="F711" s="1">
        <v>120</v>
      </c>
      <c r="G711" s="1">
        <v>124</v>
      </c>
      <c r="H711" s="1" t="s">
        <v>1038</v>
      </c>
      <c r="I711" s="1">
        <v>150</v>
      </c>
      <c r="J711" s="1" t="s">
        <v>1047</v>
      </c>
      <c r="K711" s="1">
        <v>5</v>
      </c>
      <c r="L711" s="1">
        <f t="shared" si="11"/>
        <v>750</v>
      </c>
      <c r="M711" s="1" t="s">
        <v>38</v>
      </c>
      <c r="N711" s="1"/>
      <c r="O711" s="12" t="str">
        <f>IF($J711=Sheet2!$A$2, ROW(), "")</f>
        <v/>
      </c>
      <c r="Q711" s="23" t="s">
        <v>2692</v>
      </c>
    </row>
    <row r="712" spans="1:17" ht="14" customHeight="1" x14ac:dyDescent="0.3">
      <c r="A712" s="1" t="s">
        <v>1066</v>
      </c>
      <c r="B712" s="1">
        <v>23</v>
      </c>
      <c r="C712" s="1" t="s">
        <v>283</v>
      </c>
      <c r="D712" s="1">
        <v>178</v>
      </c>
      <c r="E712" s="1">
        <v>75</v>
      </c>
      <c r="F712" s="1">
        <v>122</v>
      </c>
      <c r="G712" s="1">
        <v>146</v>
      </c>
      <c r="H712" s="1" t="s">
        <v>247</v>
      </c>
      <c r="I712" s="1">
        <v>150</v>
      </c>
      <c r="J712" s="1" t="s">
        <v>1047</v>
      </c>
      <c r="K712" s="1">
        <v>5</v>
      </c>
      <c r="L712" s="1">
        <f t="shared" si="11"/>
        <v>750</v>
      </c>
      <c r="M712" s="1" t="s">
        <v>38</v>
      </c>
      <c r="N712" s="1"/>
      <c r="O712" s="12" t="str">
        <f>IF($J712=Sheet2!$A$2, ROW(), "")</f>
        <v/>
      </c>
      <c r="Q712" s="23" t="s">
        <v>2693</v>
      </c>
    </row>
    <row r="713" spans="1:17" ht="14" customHeight="1" x14ac:dyDescent="0.3">
      <c r="A713" s="1" t="s">
        <v>1067</v>
      </c>
      <c r="B713" s="1">
        <v>33</v>
      </c>
      <c r="C713" s="1" t="s">
        <v>1063</v>
      </c>
      <c r="D713" s="1"/>
      <c r="E713" s="1"/>
      <c r="F713" s="1">
        <v>118</v>
      </c>
      <c r="G713" s="1">
        <v>132</v>
      </c>
      <c r="H713" s="1" t="s">
        <v>260</v>
      </c>
      <c r="I713" s="1">
        <v>150</v>
      </c>
      <c r="J713" s="1" t="s">
        <v>1047</v>
      </c>
      <c r="K713" s="1">
        <v>5</v>
      </c>
      <c r="L713" s="1">
        <f t="shared" si="11"/>
        <v>750</v>
      </c>
      <c r="M713" s="1" t="s">
        <v>38</v>
      </c>
      <c r="N713" s="1"/>
      <c r="O713" s="12" t="str">
        <f>IF($J713=Sheet2!$A$2, ROW(), "")</f>
        <v/>
      </c>
      <c r="Q713" s="23" t="s">
        <v>2694</v>
      </c>
    </row>
    <row r="714" spans="1:17" ht="14" customHeight="1" x14ac:dyDescent="0.3">
      <c r="A714" s="1" t="s">
        <v>1068</v>
      </c>
      <c r="B714" s="1">
        <v>24</v>
      </c>
      <c r="C714" s="1" t="s">
        <v>287</v>
      </c>
      <c r="D714" s="1"/>
      <c r="E714" s="1"/>
      <c r="F714" s="1">
        <v>115</v>
      </c>
      <c r="G714" s="1">
        <v>115</v>
      </c>
      <c r="H714" s="1" t="s">
        <v>1</v>
      </c>
      <c r="I714" s="1">
        <v>40</v>
      </c>
      <c r="J714" s="1" t="s">
        <v>737</v>
      </c>
      <c r="K714" s="1">
        <v>5</v>
      </c>
      <c r="L714" s="1">
        <f t="shared" si="11"/>
        <v>200</v>
      </c>
      <c r="M714" s="1" t="s">
        <v>38</v>
      </c>
      <c r="N714" s="1"/>
      <c r="O714" s="12" t="str">
        <f>IF($J714=Sheet2!$A$2, ROW(), "")</f>
        <v/>
      </c>
      <c r="Q714" s="23" t="s">
        <v>2695</v>
      </c>
    </row>
    <row r="715" spans="1:17" ht="14" customHeight="1" x14ac:dyDescent="0.3">
      <c r="A715" s="1" t="s">
        <v>1069</v>
      </c>
      <c r="B715" s="1">
        <v>23</v>
      </c>
      <c r="C715" s="1" t="s">
        <v>287</v>
      </c>
      <c r="D715" s="1"/>
      <c r="E715" s="1"/>
      <c r="F715" s="1">
        <v>106</v>
      </c>
      <c r="G715" s="1">
        <v>106</v>
      </c>
      <c r="H715" s="1" t="s">
        <v>1</v>
      </c>
      <c r="I715" s="1">
        <v>40</v>
      </c>
      <c r="J715" s="1" t="s">
        <v>737</v>
      </c>
      <c r="K715" s="1">
        <v>5</v>
      </c>
      <c r="L715" s="1">
        <f t="shared" si="11"/>
        <v>200</v>
      </c>
      <c r="M715" s="1" t="s">
        <v>38</v>
      </c>
      <c r="N715" s="1"/>
      <c r="O715" s="12" t="str">
        <f>IF($J715=Sheet2!$A$2, ROW(), "")</f>
        <v/>
      </c>
      <c r="Q715" s="23" t="s">
        <v>2696</v>
      </c>
    </row>
    <row r="716" spans="1:17" ht="14" customHeight="1" x14ac:dyDescent="0.3">
      <c r="A716" s="1" t="s">
        <v>1070</v>
      </c>
      <c r="B716" s="1">
        <v>27</v>
      </c>
      <c r="C716" s="1" t="s">
        <v>287</v>
      </c>
      <c r="D716" s="1"/>
      <c r="E716" s="1"/>
      <c r="F716" s="1">
        <v>96</v>
      </c>
      <c r="G716" s="1">
        <v>112</v>
      </c>
      <c r="H716" s="1" t="s">
        <v>1</v>
      </c>
      <c r="I716" s="1">
        <v>40</v>
      </c>
      <c r="J716" s="1" t="s">
        <v>737</v>
      </c>
      <c r="K716" s="1">
        <v>5</v>
      </c>
      <c r="L716" s="1">
        <f t="shared" si="11"/>
        <v>200</v>
      </c>
      <c r="M716" s="1" t="s">
        <v>38</v>
      </c>
      <c r="N716" s="1"/>
      <c r="O716" s="12" t="str">
        <f>IF($J716=Sheet2!$A$2, ROW(), "")</f>
        <v/>
      </c>
      <c r="Q716" s="23" t="s">
        <v>2697</v>
      </c>
    </row>
    <row r="717" spans="1:17" ht="14" customHeight="1" x14ac:dyDescent="0.3">
      <c r="A717" s="1" t="s">
        <v>1071</v>
      </c>
      <c r="B717" s="1">
        <v>29</v>
      </c>
      <c r="C717" s="1" t="s">
        <v>287</v>
      </c>
      <c r="D717" s="1"/>
      <c r="E717" s="1"/>
      <c r="F717" s="1">
        <v>105</v>
      </c>
      <c r="G717" s="1">
        <v>109</v>
      </c>
      <c r="H717" s="1" t="s">
        <v>247</v>
      </c>
      <c r="I717" s="1">
        <v>40</v>
      </c>
      <c r="J717" s="1" t="s">
        <v>737</v>
      </c>
      <c r="K717" s="1">
        <v>5</v>
      </c>
      <c r="L717" s="1">
        <f t="shared" si="11"/>
        <v>200</v>
      </c>
      <c r="M717" s="1" t="s">
        <v>38</v>
      </c>
      <c r="N717" s="1"/>
      <c r="O717" s="12" t="str">
        <f>IF($J717=Sheet2!$A$2, ROW(), "")</f>
        <v/>
      </c>
      <c r="Q717" s="23" t="s">
        <v>2698</v>
      </c>
    </row>
    <row r="718" spans="1:17" ht="14" customHeight="1" x14ac:dyDescent="0.3">
      <c r="A718" s="1" t="s">
        <v>1072</v>
      </c>
      <c r="B718" s="1">
        <v>30</v>
      </c>
      <c r="C718" s="1" t="s">
        <v>287</v>
      </c>
      <c r="D718" s="1"/>
      <c r="E718" s="1"/>
      <c r="F718" s="1">
        <v>103</v>
      </c>
      <c r="G718" s="1">
        <v>109</v>
      </c>
      <c r="H718" s="1" t="s">
        <v>834</v>
      </c>
      <c r="I718" s="1">
        <v>40</v>
      </c>
      <c r="J718" s="1" t="s">
        <v>737</v>
      </c>
      <c r="K718" s="1">
        <v>5</v>
      </c>
      <c r="L718" s="1">
        <f t="shared" si="11"/>
        <v>200</v>
      </c>
      <c r="M718" s="1" t="s">
        <v>38</v>
      </c>
      <c r="N718" s="1"/>
      <c r="O718" s="12" t="str">
        <f>IF($J718=Sheet2!$A$2, ROW(), "")</f>
        <v/>
      </c>
      <c r="Q718" s="23" t="s">
        <v>2699</v>
      </c>
    </row>
    <row r="719" spans="1:17" ht="14" customHeight="1" x14ac:dyDescent="0.3">
      <c r="A719" s="1" t="s">
        <v>1073</v>
      </c>
      <c r="B719" s="1">
        <v>32</v>
      </c>
      <c r="C719" s="1" t="s">
        <v>287</v>
      </c>
      <c r="D719" s="1"/>
      <c r="E719" s="1"/>
      <c r="F719" s="1">
        <v>105</v>
      </c>
      <c r="G719" s="1">
        <v>121</v>
      </c>
      <c r="H719" s="1" t="s">
        <v>1074</v>
      </c>
      <c r="I719" s="1">
        <v>40</v>
      </c>
      <c r="J719" s="1" t="s">
        <v>737</v>
      </c>
      <c r="K719" s="1">
        <v>5</v>
      </c>
      <c r="L719" s="1">
        <f t="shared" si="11"/>
        <v>200</v>
      </c>
      <c r="M719" s="1" t="s">
        <v>38</v>
      </c>
      <c r="N719" s="1"/>
      <c r="O719" s="12" t="str">
        <f>IF($J719=Sheet2!$A$2, ROW(), "")</f>
        <v/>
      </c>
      <c r="Q719" s="23" t="s">
        <v>2700</v>
      </c>
    </row>
    <row r="720" spans="1:17" ht="14" customHeight="1" x14ac:dyDescent="0.3">
      <c r="A720" s="1" t="s">
        <v>1075</v>
      </c>
      <c r="B720" s="1">
        <v>34</v>
      </c>
      <c r="C720" s="1" t="s">
        <v>287</v>
      </c>
      <c r="D720" s="1"/>
      <c r="E720" s="1"/>
      <c r="F720" s="1">
        <v>107</v>
      </c>
      <c r="G720" s="1">
        <v>118</v>
      </c>
      <c r="H720" s="1" t="s">
        <v>1076</v>
      </c>
      <c r="I720" s="1">
        <v>40</v>
      </c>
      <c r="J720" s="1" t="s">
        <v>3246</v>
      </c>
      <c r="K720" s="1">
        <v>5</v>
      </c>
      <c r="L720" s="1">
        <f t="shared" si="11"/>
        <v>200</v>
      </c>
      <c r="M720" s="1" t="s">
        <v>38</v>
      </c>
      <c r="N720" s="1"/>
      <c r="O720" s="12" t="str">
        <f>IF($J720=Sheet2!$A$2, ROW(), "")</f>
        <v/>
      </c>
      <c r="Q720" s="23" t="s">
        <v>2701</v>
      </c>
    </row>
    <row r="721" spans="1:17" ht="14" customHeight="1" x14ac:dyDescent="0.3">
      <c r="A721" s="1" t="s">
        <v>1077</v>
      </c>
      <c r="B721" s="1">
        <v>27</v>
      </c>
      <c r="C721" s="1" t="s">
        <v>287</v>
      </c>
      <c r="D721" s="1"/>
      <c r="E721" s="1"/>
      <c r="F721" s="1">
        <v>113</v>
      </c>
      <c r="G721" s="1">
        <v>127</v>
      </c>
      <c r="H721" s="1" t="s">
        <v>247</v>
      </c>
      <c r="I721" s="1">
        <v>40</v>
      </c>
      <c r="J721" s="1" t="s">
        <v>737</v>
      </c>
      <c r="K721" s="1">
        <v>5</v>
      </c>
      <c r="L721" s="1">
        <f t="shared" si="11"/>
        <v>200</v>
      </c>
      <c r="M721" s="1" t="s">
        <v>38</v>
      </c>
      <c r="N721" s="1"/>
      <c r="O721" s="12" t="str">
        <f>IF($J721=Sheet2!$A$2, ROW(), "")</f>
        <v/>
      </c>
      <c r="Q721" s="23" t="s">
        <v>2702</v>
      </c>
    </row>
    <row r="722" spans="1:17" ht="14" customHeight="1" x14ac:dyDescent="0.3">
      <c r="A722" s="1" t="s">
        <v>1078</v>
      </c>
      <c r="B722" s="1">
        <v>23</v>
      </c>
      <c r="C722" s="1" t="s">
        <v>287</v>
      </c>
      <c r="D722" s="1"/>
      <c r="E722" s="1"/>
      <c r="F722" s="1">
        <v>118</v>
      </c>
      <c r="G722" s="1">
        <v>125</v>
      </c>
      <c r="H722" s="1" t="s">
        <v>357</v>
      </c>
      <c r="I722" s="1">
        <v>40</v>
      </c>
      <c r="J722" s="1" t="s">
        <v>1717</v>
      </c>
      <c r="K722" s="1">
        <v>5</v>
      </c>
      <c r="L722" s="1">
        <f t="shared" si="11"/>
        <v>200</v>
      </c>
      <c r="M722" s="1" t="s">
        <v>38</v>
      </c>
      <c r="N722" s="1"/>
      <c r="O722" s="12" t="str">
        <f>IF($J722=Sheet2!$A$2, ROW(), "")</f>
        <v/>
      </c>
      <c r="Q722" s="23" t="s">
        <v>2703</v>
      </c>
    </row>
    <row r="723" spans="1:17" ht="14" customHeight="1" x14ac:dyDescent="0.3">
      <c r="A723" s="1" t="s">
        <v>1079</v>
      </c>
      <c r="B723" s="1">
        <v>31</v>
      </c>
      <c r="C723" s="1" t="s">
        <v>287</v>
      </c>
      <c r="D723" s="1"/>
      <c r="E723" s="1"/>
      <c r="F723" s="1">
        <v>98</v>
      </c>
      <c r="G723" s="1">
        <v>122</v>
      </c>
      <c r="H723" s="1" t="s">
        <v>357</v>
      </c>
      <c r="I723" s="1">
        <v>40</v>
      </c>
      <c r="J723" s="1" t="s">
        <v>737</v>
      </c>
      <c r="K723" s="1">
        <v>5</v>
      </c>
      <c r="L723" s="1">
        <f t="shared" si="11"/>
        <v>200</v>
      </c>
      <c r="M723" s="1" t="s">
        <v>38</v>
      </c>
      <c r="N723" s="1"/>
      <c r="O723" s="12" t="str">
        <f>IF($J723=Sheet2!$A$2, ROW(), "")</f>
        <v/>
      </c>
      <c r="Q723" s="23" t="s">
        <v>2704</v>
      </c>
    </row>
    <row r="724" spans="1:17" ht="14" customHeight="1" x14ac:dyDescent="0.3">
      <c r="A724" s="1" t="s">
        <v>1080</v>
      </c>
      <c r="B724" s="1">
        <v>36</v>
      </c>
      <c r="C724" s="1" t="s">
        <v>287</v>
      </c>
      <c r="D724" s="1"/>
      <c r="E724" s="1"/>
      <c r="F724" s="1">
        <v>100</v>
      </c>
      <c r="G724" s="1">
        <v>118</v>
      </c>
      <c r="H724" s="1" t="s">
        <v>1064</v>
      </c>
      <c r="I724" s="1">
        <v>40</v>
      </c>
      <c r="J724" s="1" t="s">
        <v>3246</v>
      </c>
      <c r="K724" s="1">
        <v>5</v>
      </c>
      <c r="L724" s="1">
        <f t="shared" si="11"/>
        <v>200</v>
      </c>
      <c r="M724" s="1" t="s">
        <v>38</v>
      </c>
      <c r="N724" s="1"/>
      <c r="O724" s="12" t="str">
        <f>IF($J724=Sheet2!$A$2, ROW(), "")</f>
        <v/>
      </c>
      <c r="Q724" s="23" t="s">
        <v>2705</v>
      </c>
    </row>
    <row r="725" spans="1:17" ht="14" customHeight="1" x14ac:dyDescent="0.3">
      <c r="A725" s="1" t="s">
        <v>1081</v>
      </c>
      <c r="B725" s="1">
        <v>29</v>
      </c>
      <c r="C725" s="1" t="s">
        <v>287</v>
      </c>
      <c r="D725" s="1"/>
      <c r="E725" s="1"/>
      <c r="F725" s="1">
        <v>101</v>
      </c>
      <c r="G725" s="1">
        <v>113</v>
      </c>
      <c r="H725" s="1" t="s">
        <v>1082</v>
      </c>
      <c r="I725" s="1">
        <v>40</v>
      </c>
      <c r="J725" s="1" t="s">
        <v>737</v>
      </c>
      <c r="K725" s="1">
        <v>5</v>
      </c>
      <c r="L725" s="1">
        <f t="shared" si="11"/>
        <v>200</v>
      </c>
      <c r="M725" s="1" t="s">
        <v>38</v>
      </c>
      <c r="N725" s="1"/>
      <c r="O725" s="12" t="str">
        <f>IF($J725=Sheet2!$A$2, ROW(), "")</f>
        <v/>
      </c>
      <c r="Q725" s="23" t="s">
        <v>2706</v>
      </c>
    </row>
    <row r="726" spans="1:17" ht="14" customHeight="1" x14ac:dyDescent="0.3">
      <c r="A726" s="1" t="s">
        <v>1083</v>
      </c>
      <c r="B726" s="1">
        <v>25</v>
      </c>
      <c r="C726" s="1" t="s">
        <v>287</v>
      </c>
      <c r="D726" s="1"/>
      <c r="E726" s="1"/>
      <c r="F726" s="1">
        <v>102</v>
      </c>
      <c r="G726" s="1">
        <v>109</v>
      </c>
      <c r="H726" s="1" t="s">
        <v>1084</v>
      </c>
      <c r="I726" s="1">
        <v>40</v>
      </c>
      <c r="J726" s="1" t="s">
        <v>737</v>
      </c>
      <c r="K726" s="1">
        <v>5</v>
      </c>
      <c r="L726" s="1">
        <f t="shared" si="11"/>
        <v>200</v>
      </c>
      <c r="M726" s="1" t="s">
        <v>38</v>
      </c>
      <c r="N726" s="1"/>
      <c r="O726" s="12" t="str">
        <f>IF($J726=Sheet2!$A$2, ROW(), "")</f>
        <v/>
      </c>
      <c r="Q726" s="23" t="s">
        <v>2707</v>
      </c>
    </row>
    <row r="727" spans="1:17" ht="14" customHeight="1" x14ac:dyDescent="0.3">
      <c r="A727" s="1" t="s">
        <v>1085</v>
      </c>
      <c r="B727" s="1">
        <v>25</v>
      </c>
      <c r="C727" s="1" t="s">
        <v>287</v>
      </c>
      <c r="D727" s="1"/>
      <c r="E727" s="1"/>
      <c r="F727" s="1">
        <v>112</v>
      </c>
      <c r="G727" s="1">
        <v>122</v>
      </c>
      <c r="H727" s="1" t="s">
        <v>1086</v>
      </c>
      <c r="I727" s="1">
        <v>40</v>
      </c>
      <c r="J727" s="1" t="s">
        <v>561</v>
      </c>
      <c r="K727" s="1">
        <v>5</v>
      </c>
      <c r="L727" s="1">
        <f t="shared" si="11"/>
        <v>200</v>
      </c>
      <c r="M727" s="1" t="s">
        <v>38</v>
      </c>
      <c r="N727" s="1"/>
      <c r="O727" s="12" t="str">
        <f>IF($J727=Sheet2!$A$2, ROW(), "")</f>
        <v/>
      </c>
      <c r="Q727" s="23" t="s">
        <v>2708</v>
      </c>
    </row>
    <row r="728" spans="1:17" ht="14" customHeight="1" x14ac:dyDescent="0.3">
      <c r="A728" s="1" t="s">
        <v>1087</v>
      </c>
      <c r="B728" s="1">
        <v>29</v>
      </c>
      <c r="C728" s="1" t="s">
        <v>287</v>
      </c>
      <c r="D728" s="1"/>
      <c r="E728" s="1"/>
      <c r="F728" s="1">
        <v>99</v>
      </c>
      <c r="G728" s="1">
        <v>119</v>
      </c>
      <c r="H728" s="1" t="s">
        <v>1088</v>
      </c>
      <c r="I728" s="1">
        <v>40</v>
      </c>
      <c r="J728" s="1" t="s">
        <v>737</v>
      </c>
      <c r="K728" s="1">
        <v>5</v>
      </c>
      <c r="L728" s="1">
        <f t="shared" si="11"/>
        <v>200</v>
      </c>
      <c r="M728" s="1" t="s">
        <v>38</v>
      </c>
      <c r="N728" s="1"/>
      <c r="O728" s="12" t="str">
        <f>IF($J728=Sheet2!$A$2, ROW(), "")</f>
        <v/>
      </c>
      <c r="Q728" s="23" t="s">
        <v>2709</v>
      </c>
    </row>
    <row r="729" spans="1:17" ht="14" customHeight="1" x14ac:dyDescent="0.3">
      <c r="A729" s="1" t="s">
        <v>1089</v>
      </c>
      <c r="B729" s="1">
        <v>27</v>
      </c>
      <c r="C729" s="1" t="s">
        <v>897</v>
      </c>
      <c r="D729" s="1"/>
      <c r="E729" s="1"/>
      <c r="F729" s="1">
        <v>118</v>
      </c>
      <c r="G729" s="1">
        <v>120</v>
      </c>
      <c r="H729" s="1" t="s">
        <v>1090</v>
      </c>
      <c r="I729" s="1">
        <v>40</v>
      </c>
      <c r="J729" s="1" t="s">
        <v>737</v>
      </c>
      <c r="K729" s="1">
        <v>5</v>
      </c>
      <c r="L729" s="1">
        <f t="shared" si="11"/>
        <v>200</v>
      </c>
      <c r="M729" s="1" t="s">
        <v>38</v>
      </c>
      <c r="N729" s="1"/>
      <c r="O729" s="12" t="str">
        <f>IF($J729=Sheet2!$A$2, ROW(), "")</f>
        <v/>
      </c>
      <c r="Q729" s="23" t="s">
        <v>2710</v>
      </c>
    </row>
    <row r="730" spans="1:17" ht="14" customHeight="1" x14ac:dyDescent="0.3">
      <c r="A730" s="1" t="s">
        <v>1091</v>
      </c>
      <c r="B730" s="1">
        <v>33</v>
      </c>
      <c r="C730" s="1" t="s">
        <v>287</v>
      </c>
      <c r="D730" s="1"/>
      <c r="E730" s="1"/>
      <c r="F730" s="1">
        <v>100</v>
      </c>
      <c r="G730" s="1">
        <v>113</v>
      </c>
      <c r="H730" s="1" t="s">
        <v>1092</v>
      </c>
      <c r="I730" s="1">
        <v>40</v>
      </c>
      <c r="J730" s="1" t="s">
        <v>737</v>
      </c>
      <c r="K730" s="1">
        <v>5</v>
      </c>
      <c r="L730" s="1">
        <f t="shared" si="11"/>
        <v>200</v>
      </c>
      <c r="M730" s="1" t="s">
        <v>38</v>
      </c>
      <c r="N730" s="1"/>
      <c r="O730" s="12" t="str">
        <f>IF($J730=Sheet2!$A$2, ROW(), "")</f>
        <v/>
      </c>
      <c r="Q730" s="23" t="s">
        <v>2711</v>
      </c>
    </row>
    <row r="731" spans="1:17" ht="14" customHeight="1" x14ac:dyDescent="0.3">
      <c r="A731" s="1" t="s">
        <v>1093</v>
      </c>
      <c r="B731" s="1">
        <v>21</v>
      </c>
      <c r="C731" s="1" t="s">
        <v>287</v>
      </c>
      <c r="D731" s="1"/>
      <c r="E731" s="1"/>
      <c r="F731" s="1">
        <v>109</v>
      </c>
      <c r="G731" s="1">
        <v>123</v>
      </c>
      <c r="H731" s="1" t="s">
        <v>260</v>
      </c>
      <c r="I731" s="1">
        <v>40</v>
      </c>
      <c r="J731" s="1" t="s">
        <v>1780</v>
      </c>
      <c r="K731" s="1">
        <v>5</v>
      </c>
      <c r="L731" s="1">
        <f t="shared" si="11"/>
        <v>200</v>
      </c>
      <c r="M731" s="1" t="s">
        <v>38</v>
      </c>
      <c r="N731" s="1"/>
      <c r="O731" s="12" t="str">
        <f>IF($J731=Sheet2!$A$2, ROW(), "")</f>
        <v/>
      </c>
      <c r="Q731" s="23" t="s">
        <v>2712</v>
      </c>
    </row>
    <row r="732" spans="1:17" ht="14" customHeight="1" x14ac:dyDescent="0.3">
      <c r="A732" s="1" t="s">
        <v>1094</v>
      </c>
      <c r="B732" s="1">
        <v>29</v>
      </c>
      <c r="C732" s="1" t="s">
        <v>1095</v>
      </c>
      <c r="D732" s="1">
        <v>196</v>
      </c>
      <c r="E732" s="1">
        <v>88</v>
      </c>
      <c r="F732" s="1">
        <v>114</v>
      </c>
      <c r="G732" s="1">
        <v>125</v>
      </c>
      <c r="H732" s="1" t="s">
        <v>260</v>
      </c>
      <c r="I732" s="1">
        <v>120</v>
      </c>
      <c r="J732" s="1" t="s">
        <v>737</v>
      </c>
      <c r="K732" s="1">
        <v>5</v>
      </c>
      <c r="L732" s="1">
        <f t="shared" si="11"/>
        <v>600</v>
      </c>
      <c r="M732" s="1" t="s">
        <v>38</v>
      </c>
      <c r="N732" s="1"/>
      <c r="O732" s="12" t="str">
        <f>IF($J732=Sheet2!$A$2, ROW(), "")</f>
        <v/>
      </c>
      <c r="Q732" s="23" t="s">
        <v>2713</v>
      </c>
    </row>
    <row r="733" spans="1:17" ht="14" customHeight="1" x14ac:dyDescent="0.3">
      <c r="A733" s="1" t="s">
        <v>1096</v>
      </c>
      <c r="B733" s="1">
        <v>32</v>
      </c>
      <c r="C733" s="1" t="s">
        <v>624</v>
      </c>
      <c r="D733" s="1">
        <v>192</v>
      </c>
      <c r="E733" s="1">
        <v>88</v>
      </c>
      <c r="F733" s="1">
        <v>118</v>
      </c>
      <c r="G733" s="1">
        <v>133</v>
      </c>
      <c r="H733" s="1" t="s">
        <v>260</v>
      </c>
      <c r="I733" s="1">
        <v>150</v>
      </c>
      <c r="J733" s="1" t="s">
        <v>737</v>
      </c>
      <c r="K733" s="1">
        <v>5</v>
      </c>
      <c r="L733" s="1">
        <f t="shared" si="11"/>
        <v>750</v>
      </c>
      <c r="M733" s="1" t="s">
        <v>38</v>
      </c>
      <c r="N733" s="1"/>
      <c r="O733" s="12" t="str">
        <f>IF($J733=Sheet2!$A$2, ROW(), "")</f>
        <v/>
      </c>
      <c r="Q733" s="23" t="s">
        <v>2714</v>
      </c>
    </row>
    <row r="734" spans="1:17" ht="14" customHeight="1" x14ac:dyDescent="0.3">
      <c r="A734" s="1" t="s">
        <v>1097</v>
      </c>
      <c r="B734" s="1">
        <v>30</v>
      </c>
      <c r="C734" s="1" t="s">
        <v>227</v>
      </c>
      <c r="D734" s="1"/>
      <c r="E734" s="1"/>
      <c r="F734" s="1">
        <v>116</v>
      </c>
      <c r="G734" s="1">
        <v>120</v>
      </c>
      <c r="H734" s="1" t="s">
        <v>260</v>
      </c>
      <c r="I734" s="1">
        <v>150</v>
      </c>
      <c r="J734" s="1" t="s">
        <v>1762</v>
      </c>
      <c r="K734" s="1">
        <v>5</v>
      </c>
      <c r="L734" s="1">
        <f t="shared" si="11"/>
        <v>750</v>
      </c>
      <c r="M734" s="1" t="s">
        <v>38</v>
      </c>
      <c r="N734" s="1"/>
      <c r="O734" s="12" t="str">
        <f>IF($J734=Sheet2!$A$2, ROW(), "")</f>
        <v/>
      </c>
      <c r="Q734" s="23" t="s">
        <v>2715</v>
      </c>
    </row>
    <row r="735" spans="1:17" ht="14" customHeight="1" x14ac:dyDescent="0.3">
      <c r="A735" s="1" t="s">
        <v>1098</v>
      </c>
      <c r="B735" s="1">
        <v>24</v>
      </c>
      <c r="C735" s="1" t="s">
        <v>510</v>
      </c>
      <c r="D735" s="1">
        <v>201</v>
      </c>
      <c r="E735" s="1"/>
      <c r="F735" s="1">
        <v>131</v>
      </c>
      <c r="G735" s="1">
        <v>137</v>
      </c>
      <c r="H735" s="1" t="s">
        <v>317</v>
      </c>
      <c r="I735" s="1">
        <v>175</v>
      </c>
      <c r="J735" s="1" t="s">
        <v>737</v>
      </c>
      <c r="K735" s="1">
        <v>6</v>
      </c>
      <c r="L735" s="1">
        <f t="shared" si="11"/>
        <v>875</v>
      </c>
      <c r="M735" s="1" t="s">
        <v>38</v>
      </c>
      <c r="N735" s="1"/>
      <c r="O735" s="12" t="str">
        <f>IF($J735=Sheet2!$A$2, ROW(), "")</f>
        <v/>
      </c>
      <c r="Q735" s="23" t="s">
        <v>2716</v>
      </c>
    </row>
    <row r="736" spans="1:17" ht="14" customHeight="1" x14ac:dyDescent="0.3">
      <c r="A736" s="1" t="s">
        <v>1099</v>
      </c>
      <c r="B736" s="1">
        <v>37</v>
      </c>
      <c r="C736" s="1" t="s">
        <v>611</v>
      </c>
      <c r="D736" s="1"/>
      <c r="E736" s="1"/>
      <c r="F736" s="1">
        <v>109</v>
      </c>
      <c r="G736" s="1">
        <v>117</v>
      </c>
      <c r="H736" s="1" t="s">
        <v>1100</v>
      </c>
      <c r="I736" s="1">
        <v>120</v>
      </c>
      <c r="J736" s="1" t="s">
        <v>737</v>
      </c>
      <c r="K736" s="1">
        <v>5</v>
      </c>
      <c r="L736" s="1">
        <f t="shared" si="11"/>
        <v>600</v>
      </c>
      <c r="M736" s="1" t="s">
        <v>38</v>
      </c>
      <c r="N736" s="1"/>
      <c r="O736" s="12" t="str">
        <f>IF($J736=Sheet2!$A$2, ROW(), "")</f>
        <v/>
      </c>
      <c r="Q736" s="23" t="s">
        <v>2717</v>
      </c>
    </row>
    <row r="737" spans="1:17" ht="14" customHeight="1" x14ac:dyDescent="0.3">
      <c r="A737" s="1" t="s">
        <v>1101</v>
      </c>
      <c r="B737" s="1">
        <v>25</v>
      </c>
      <c r="C737" s="1" t="s">
        <v>256</v>
      </c>
      <c r="D737" s="1"/>
      <c r="E737" s="1"/>
      <c r="F737" s="1">
        <v>120</v>
      </c>
      <c r="G737" s="1">
        <v>124</v>
      </c>
      <c r="H737" s="1" t="s">
        <v>1102</v>
      </c>
      <c r="I737" s="1">
        <v>150</v>
      </c>
      <c r="J737" s="1" t="s">
        <v>737</v>
      </c>
      <c r="K737" s="1">
        <v>6</v>
      </c>
      <c r="L737" s="1">
        <f t="shared" si="11"/>
        <v>750</v>
      </c>
      <c r="M737" s="1" t="s">
        <v>38</v>
      </c>
      <c r="N737" s="1"/>
      <c r="O737" s="12" t="str">
        <f>IF($J737=Sheet2!$A$2, ROW(), "")</f>
        <v/>
      </c>
      <c r="Q737" s="23" t="s">
        <v>2718</v>
      </c>
    </row>
    <row r="738" spans="1:17" ht="14" customHeight="1" x14ac:dyDescent="0.3">
      <c r="A738" s="1" t="s">
        <v>1103</v>
      </c>
      <c r="B738" s="1">
        <v>23</v>
      </c>
      <c r="C738" s="1" t="s">
        <v>708</v>
      </c>
      <c r="D738" s="1"/>
      <c r="E738" s="1"/>
      <c r="F738" s="1">
        <v>120</v>
      </c>
      <c r="G738" s="1">
        <v>136</v>
      </c>
      <c r="H738" s="1" t="s">
        <v>972</v>
      </c>
      <c r="I738" s="1">
        <v>170</v>
      </c>
      <c r="J738" s="1" t="s">
        <v>1104</v>
      </c>
      <c r="K738" s="1">
        <v>6</v>
      </c>
      <c r="L738" s="1">
        <f t="shared" si="11"/>
        <v>850</v>
      </c>
      <c r="M738" s="1" t="s">
        <v>38</v>
      </c>
      <c r="N738" s="1"/>
      <c r="O738" s="12" t="str">
        <f>IF($J738=Sheet2!$A$2, ROW(), "")</f>
        <v/>
      </c>
      <c r="Q738" s="23" t="s">
        <v>2719</v>
      </c>
    </row>
    <row r="739" spans="1:17" ht="14" customHeight="1" x14ac:dyDescent="0.3">
      <c r="A739" s="1" t="s">
        <v>1105</v>
      </c>
      <c r="B739" s="1">
        <v>24</v>
      </c>
      <c r="C739" s="1" t="s">
        <v>611</v>
      </c>
      <c r="D739" s="1"/>
      <c r="E739" s="1"/>
      <c r="F739" s="1">
        <v>120</v>
      </c>
      <c r="G739" s="1">
        <v>140</v>
      </c>
      <c r="H739" s="1" t="s">
        <v>1106</v>
      </c>
      <c r="I739" s="1">
        <v>160</v>
      </c>
      <c r="J739" s="1" t="s">
        <v>1104</v>
      </c>
      <c r="K739" s="1">
        <v>5</v>
      </c>
      <c r="L739" s="1">
        <f t="shared" si="11"/>
        <v>800</v>
      </c>
      <c r="M739" s="1" t="s">
        <v>38</v>
      </c>
      <c r="N739" s="1"/>
      <c r="O739" s="12" t="str">
        <f>IF($J739=Sheet2!$A$2, ROW(), "")</f>
        <v/>
      </c>
      <c r="Q739" s="23" t="s">
        <v>2720</v>
      </c>
    </row>
    <row r="740" spans="1:17" ht="14" customHeight="1" x14ac:dyDescent="0.3">
      <c r="A740" s="1" t="s">
        <v>1107</v>
      </c>
      <c r="B740" s="1">
        <v>25</v>
      </c>
      <c r="C740" s="1" t="s">
        <v>250</v>
      </c>
      <c r="D740" s="1"/>
      <c r="E740" s="1"/>
      <c r="F740" s="1">
        <v>116</v>
      </c>
      <c r="G740" s="1">
        <v>126</v>
      </c>
      <c r="H740" s="1" t="s">
        <v>15</v>
      </c>
      <c r="I740" s="1">
        <v>140</v>
      </c>
      <c r="J740" s="1" t="s">
        <v>1104</v>
      </c>
      <c r="K740" s="1">
        <v>5</v>
      </c>
      <c r="L740" s="1">
        <f t="shared" si="11"/>
        <v>700</v>
      </c>
      <c r="M740" s="1" t="s">
        <v>38</v>
      </c>
      <c r="N740" s="1"/>
      <c r="O740" s="12" t="str">
        <f>IF($J740=Sheet2!$A$2, ROW(), "")</f>
        <v/>
      </c>
      <c r="Q740" s="23" t="s">
        <v>2721</v>
      </c>
    </row>
    <row r="741" spans="1:17" ht="14" customHeight="1" x14ac:dyDescent="0.3">
      <c r="A741" s="1" t="s">
        <v>1108</v>
      </c>
      <c r="B741" s="1">
        <v>28</v>
      </c>
      <c r="C741" s="1" t="s">
        <v>644</v>
      </c>
      <c r="D741" s="1"/>
      <c r="E741" s="1"/>
      <c r="F741" s="1">
        <v>110</v>
      </c>
      <c r="G741" s="1">
        <v>126</v>
      </c>
      <c r="H741" s="1" t="s">
        <v>357</v>
      </c>
      <c r="I741" s="1">
        <v>120</v>
      </c>
      <c r="J741" s="1" t="s">
        <v>1104</v>
      </c>
      <c r="K741" s="1">
        <v>5</v>
      </c>
      <c r="L741" s="1">
        <f t="shared" si="11"/>
        <v>600</v>
      </c>
      <c r="M741" s="1" t="s">
        <v>38</v>
      </c>
      <c r="N741" s="1"/>
      <c r="O741" s="12" t="str">
        <f>IF($J741=Sheet2!$A$2, ROW(), "")</f>
        <v/>
      </c>
      <c r="Q741" s="23" t="s">
        <v>2722</v>
      </c>
    </row>
    <row r="742" spans="1:17" ht="14" customHeight="1" x14ac:dyDescent="0.3">
      <c r="A742" s="1" t="s">
        <v>1109</v>
      </c>
      <c r="B742" s="1">
        <v>34</v>
      </c>
      <c r="C742" s="1" t="s">
        <v>1110</v>
      </c>
      <c r="D742" s="1"/>
      <c r="E742" s="1"/>
      <c r="F742" s="1">
        <v>120</v>
      </c>
      <c r="G742" s="1">
        <v>136</v>
      </c>
      <c r="H742" s="1" t="s">
        <v>317</v>
      </c>
      <c r="I742" s="1">
        <v>180</v>
      </c>
      <c r="J742" s="1" t="s">
        <v>1104</v>
      </c>
      <c r="K742" s="1">
        <v>5</v>
      </c>
      <c r="L742" s="1">
        <f t="shared" si="11"/>
        <v>900</v>
      </c>
      <c r="M742" s="1" t="s">
        <v>38</v>
      </c>
      <c r="N742" s="1"/>
      <c r="O742" s="12" t="str">
        <f>IF($J742=Sheet2!$A$2, ROW(), "")</f>
        <v/>
      </c>
      <c r="Q742" s="23" t="s">
        <v>2723</v>
      </c>
    </row>
    <row r="743" spans="1:17" ht="14" customHeight="1" x14ac:dyDescent="0.3">
      <c r="A743" s="1" t="s">
        <v>1111</v>
      </c>
      <c r="B743" s="1">
        <v>31</v>
      </c>
      <c r="C743" s="1" t="s">
        <v>287</v>
      </c>
      <c r="D743" s="1"/>
      <c r="E743" s="1"/>
      <c r="F743" s="1">
        <v>100</v>
      </c>
      <c r="G743" s="1">
        <v>114</v>
      </c>
      <c r="H743" s="1" t="s">
        <v>1112</v>
      </c>
      <c r="I743" s="1">
        <v>60</v>
      </c>
      <c r="J743" s="1" t="s">
        <v>1104</v>
      </c>
      <c r="K743" s="1">
        <v>5</v>
      </c>
      <c r="L743" s="1">
        <f t="shared" si="11"/>
        <v>300</v>
      </c>
      <c r="M743" s="1" t="s">
        <v>38</v>
      </c>
      <c r="N743" s="1"/>
      <c r="O743" s="12" t="str">
        <f>IF($J743=Sheet2!$A$2, ROW(), "")</f>
        <v/>
      </c>
      <c r="Q743" s="23" t="s">
        <v>2724</v>
      </c>
    </row>
    <row r="744" spans="1:17" ht="14" customHeight="1" x14ac:dyDescent="0.3">
      <c r="A744" s="1" t="s">
        <v>1113</v>
      </c>
      <c r="B744" s="1">
        <v>29</v>
      </c>
      <c r="C744" s="1" t="s">
        <v>287</v>
      </c>
      <c r="D744" s="1"/>
      <c r="E744" s="1"/>
      <c r="F744" s="1">
        <v>99</v>
      </c>
      <c r="G744" s="1">
        <v>109</v>
      </c>
      <c r="H744" s="1" t="s">
        <v>1064</v>
      </c>
      <c r="I744" s="1">
        <v>40</v>
      </c>
      <c r="J744" s="1" t="s">
        <v>1104</v>
      </c>
      <c r="K744" s="1">
        <v>5</v>
      </c>
      <c r="L744" s="1">
        <f t="shared" si="11"/>
        <v>200</v>
      </c>
      <c r="M744" s="1" t="s">
        <v>38</v>
      </c>
      <c r="N744" s="1"/>
      <c r="O744" s="12" t="str">
        <f>IF($J744=Sheet2!$A$2, ROW(), "")</f>
        <v/>
      </c>
      <c r="Q744" s="23" t="s">
        <v>2725</v>
      </c>
    </row>
    <row r="745" spans="1:17" ht="14" customHeight="1" x14ac:dyDescent="0.3">
      <c r="A745" s="1" t="s">
        <v>1114</v>
      </c>
      <c r="B745" s="1">
        <v>32</v>
      </c>
      <c r="C745" s="1" t="s">
        <v>287</v>
      </c>
      <c r="D745" s="1"/>
      <c r="E745" s="1"/>
      <c r="F745" s="1">
        <v>100</v>
      </c>
      <c r="G745" s="1">
        <v>114</v>
      </c>
      <c r="H745" s="1" t="s">
        <v>1064</v>
      </c>
      <c r="I745" s="1">
        <v>60</v>
      </c>
      <c r="J745" s="1" t="s">
        <v>1104</v>
      </c>
      <c r="K745" s="1">
        <v>5</v>
      </c>
      <c r="L745" s="1">
        <f t="shared" si="11"/>
        <v>300</v>
      </c>
      <c r="M745" s="1" t="s">
        <v>38</v>
      </c>
      <c r="N745" s="1"/>
      <c r="O745" s="12" t="str">
        <f>IF($J745=Sheet2!$A$2, ROW(), "")</f>
        <v/>
      </c>
      <c r="Q745" s="23" t="s">
        <v>2726</v>
      </c>
    </row>
    <row r="746" spans="1:17" ht="14" customHeight="1" x14ac:dyDescent="0.3">
      <c r="A746" s="1" t="s">
        <v>1115</v>
      </c>
      <c r="B746" s="1">
        <v>29</v>
      </c>
      <c r="C746" s="1" t="s">
        <v>287</v>
      </c>
      <c r="D746" s="1"/>
      <c r="E746" s="1"/>
      <c r="F746" s="1">
        <v>95</v>
      </c>
      <c r="G746" s="1">
        <v>105</v>
      </c>
      <c r="H746" s="1" t="s">
        <v>1</v>
      </c>
      <c r="I746" s="1">
        <v>30</v>
      </c>
      <c r="J746" s="1" t="s">
        <v>1104</v>
      </c>
      <c r="K746" s="1">
        <v>5</v>
      </c>
      <c r="L746" s="1">
        <f t="shared" si="11"/>
        <v>150</v>
      </c>
      <c r="M746" s="1" t="s">
        <v>38</v>
      </c>
      <c r="N746" s="1"/>
      <c r="O746" s="12" t="str">
        <f>IF($J746=Sheet2!$A$2, ROW(), "")</f>
        <v/>
      </c>
      <c r="Q746" s="23" t="s">
        <v>2727</v>
      </c>
    </row>
    <row r="747" spans="1:17" ht="14" customHeight="1" x14ac:dyDescent="0.3">
      <c r="A747" s="1" t="s">
        <v>1116</v>
      </c>
      <c r="B747" s="1">
        <v>31</v>
      </c>
      <c r="C747" s="1" t="s">
        <v>287</v>
      </c>
      <c r="D747" s="1"/>
      <c r="E747" s="1"/>
      <c r="F747" s="1">
        <v>93</v>
      </c>
      <c r="G747" s="1">
        <v>105</v>
      </c>
      <c r="H747" s="1" t="s">
        <v>1117</v>
      </c>
      <c r="I747" s="1">
        <v>24</v>
      </c>
      <c r="J747" s="1" t="s">
        <v>1104</v>
      </c>
      <c r="K747" s="1">
        <v>5</v>
      </c>
      <c r="L747" s="1">
        <f t="shared" si="11"/>
        <v>120</v>
      </c>
      <c r="M747" s="1" t="s">
        <v>38</v>
      </c>
      <c r="N747" s="1"/>
      <c r="O747" s="12" t="str">
        <f>IF($J747=Sheet2!$A$2, ROW(), "")</f>
        <v/>
      </c>
      <c r="Q747" s="23" t="s">
        <v>2728</v>
      </c>
    </row>
    <row r="748" spans="1:17" ht="14" customHeight="1" x14ac:dyDescent="0.3">
      <c r="A748" s="1" t="s">
        <v>1118</v>
      </c>
      <c r="B748" s="1">
        <v>19</v>
      </c>
      <c r="C748" s="1" t="s">
        <v>287</v>
      </c>
      <c r="D748" s="1"/>
      <c r="E748" s="1"/>
      <c r="F748" s="1">
        <v>93</v>
      </c>
      <c r="G748" s="1">
        <v>116</v>
      </c>
      <c r="H748" s="1" t="s">
        <v>1</v>
      </c>
      <c r="I748" s="1">
        <v>40</v>
      </c>
      <c r="J748" s="1" t="s">
        <v>1104</v>
      </c>
      <c r="K748" s="1">
        <v>5</v>
      </c>
      <c r="L748" s="1">
        <f t="shared" si="11"/>
        <v>200</v>
      </c>
      <c r="M748" s="1" t="s">
        <v>38</v>
      </c>
      <c r="N748" s="1"/>
      <c r="O748" s="12" t="str">
        <f>IF($J748=Sheet2!$A$2, ROW(), "")</f>
        <v/>
      </c>
      <c r="Q748" s="23" t="s">
        <v>2729</v>
      </c>
    </row>
    <row r="749" spans="1:17" ht="14" customHeight="1" x14ac:dyDescent="0.3">
      <c r="A749" s="1" t="s">
        <v>1119</v>
      </c>
      <c r="B749" s="1">
        <v>20</v>
      </c>
      <c r="C749" s="1" t="s">
        <v>287</v>
      </c>
      <c r="D749" s="1"/>
      <c r="E749" s="1"/>
      <c r="F749" s="1">
        <v>93</v>
      </c>
      <c r="G749" s="1">
        <v>121</v>
      </c>
      <c r="H749" s="1" t="s">
        <v>247</v>
      </c>
      <c r="I749" s="1">
        <v>45</v>
      </c>
      <c r="J749" s="1" t="s">
        <v>1104</v>
      </c>
      <c r="K749" s="1">
        <v>5</v>
      </c>
      <c r="L749" s="1">
        <f t="shared" si="11"/>
        <v>225</v>
      </c>
      <c r="M749" s="1" t="s">
        <v>38</v>
      </c>
      <c r="N749" s="1"/>
      <c r="O749" s="12" t="str">
        <f>IF($J749=Sheet2!$A$2, ROW(), "")</f>
        <v/>
      </c>
      <c r="Q749" s="23" t="s">
        <v>2730</v>
      </c>
    </row>
    <row r="750" spans="1:17" ht="14" customHeight="1" x14ac:dyDescent="0.3">
      <c r="A750" s="1" t="s">
        <v>1120</v>
      </c>
      <c r="B750" s="1">
        <v>28</v>
      </c>
      <c r="C750" s="1" t="s">
        <v>287</v>
      </c>
      <c r="D750" s="1"/>
      <c r="E750" s="1"/>
      <c r="F750" s="1">
        <v>92</v>
      </c>
      <c r="G750" s="1">
        <v>106</v>
      </c>
      <c r="H750" s="1" t="s">
        <v>834</v>
      </c>
      <c r="I750" s="1">
        <v>24</v>
      </c>
      <c r="J750" s="1" t="s">
        <v>1104</v>
      </c>
      <c r="K750" s="1">
        <v>5</v>
      </c>
      <c r="L750" s="1">
        <f t="shared" si="11"/>
        <v>120</v>
      </c>
      <c r="M750" s="1" t="s">
        <v>38</v>
      </c>
      <c r="N750" s="1"/>
      <c r="O750" s="12" t="str">
        <f>IF($J750=Sheet2!$A$2, ROW(), "")</f>
        <v/>
      </c>
      <c r="Q750" s="23" t="s">
        <v>2731</v>
      </c>
    </row>
    <row r="751" spans="1:17" ht="14" customHeight="1" x14ac:dyDescent="0.3">
      <c r="A751" s="1" t="s">
        <v>1121</v>
      </c>
      <c r="B751" s="1">
        <v>30</v>
      </c>
      <c r="C751" s="1" t="s">
        <v>287</v>
      </c>
      <c r="D751" s="1"/>
      <c r="E751" s="1"/>
      <c r="F751" s="1">
        <v>92</v>
      </c>
      <c r="G751" s="1">
        <v>104</v>
      </c>
      <c r="H751" s="1" t="s">
        <v>1</v>
      </c>
      <c r="I751" s="1">
        <v>24</v>
      </c>
      <c r="J751" s="1" t="s">
        <v>737</v>
      </c>
      <c r="K751" s="1">
        <v>5</v>
      </c>
      <c r="L751" s="1">
        <f t="shared" si="11"/>
        <v>120</v>
      </c>
      <c r="M751" s="1" t="s">
        <v>38</v>
      </c>
      <c r="N751" s="1"/>
      <c r="O751" s="12" t="str">
        <f>IF($J751=Sheet2!$A$2, ROW(), "")</f>
        <v/>
      </c>
      <c r="Q751" s="23" t="s">
        <v>2732</v>
      </c>
    </row>
    <row r="752" spans="1:17" ht="14" customHeight="1" x14ac:dyDescent="0.3">
      <c r="A752" s="1" t="s">
        <v>1122</v>
      </c>
      <c r="B752" s="1">
        <v>26</v>
      </c>
      <c r="C752" s="1" t="s">
        <v>287</v>
      </c>
      <c r="D752" s="1"/>
      <c r="E752" s="1"/>
      <c r="F752" s="1">
        <v>118</v>
      </c>
      <c r="G752" s="1">
        <v>118</v>
      </c>
      <c r="H752" s="1" t="s">
        <v>357</v>
      </c>
      <c r="I752" s="1">
        <v>38</v>
      </c>
      <c r="J752" s="1" t="s">
        <v>737</v>
      </c>
      <c r="K752" s="1">
        <v>5</v>
      </c>
      <c r="L752" s="1">
        <f t="shared" si="11"/>
        <v>190</v>
      </c>
      <c r="M752" s="1" t="s">
        <v>38</v>
      </c>
      <c r="N752" s="1"/>
      <c r="O752" s="12" t="str">
        <f>IF($J752=Sheet2!$A$2, ROW(), "")</f>
        <v/>
      </c>
      <c r="Q752" s="23" t="s">
        <v>2733</v>
      </c>
    </row>
    <row r="753" spans="1:17" ht="14" customHeight="1" x14ac:dyDescent="0.3">
      <c r="A753" s="1" t="s">
        <v>1123</v>
      </c>
      <c r="B753" s="1">
        <v>28</v>
      </c>
      <c r="C753" s="1" t="s">
        <v>1124</v>
      </c>
      <c r="D753" s="1"/>
      <c r="E753" s="1"/>
      <c r="F753" s="1">
        <v>120</v>
      </c>
      <c r="G753" s="1">
        <v>122</v>
      </c>
      <c r="H753" s="1" t="s">
        <v>1125</v>
      </c>
      <c r="I753" s="1">
        <v>190</v>
      </c>
      <c r="J753" s="1" t="s">
        <v>1104</v>
      </c>
      <c r="K753" s="1">
        <v>5</v>
      </c>
      <c r="L753" s="1">
        <f t="shared" si="11"/>
        <v>950</v>
      </c>
      <c r="M753" s="1" t="s">
        <v>38</v>
      </c>
      <c r="N753" s="1"/>
      <c r="O753" s="12" t="str">
        <f>IF($J753=Sheet2!$A$2, ROW(), "")</f>
        <v/>
      </c>
      <c r="Q753" s="23" t="s">
        <v>2734</v>
      </c>
    </row>
    <row r="754" spans="1:17" ht="14" customHeight="1" x14ac:dyDescent="0.3">
      <c r="A754" s="1" t="s">
        <v>1126</v>
      </c>
      <c r="B754" s="1">
        <v>23</v>
      </c>
      <c r="C754" s="1" t="s">
        <v>287</v>
      </c>
      <c r="D754" s="1"/>
      <c r="E754" s="1"/>
      <c r="F754" s="1">
        <v>85</v>
      </c>
      <c r="G754" s="1">
        <v>106</v>
      </c>
      <c r="H754" s="1" t="s">
        <v>251</v>
      </c>
      <c r="I754" s="1">
        <v>24</v>
      </c>
      <c r="J754" s="1" t="s">
        <v>1104</v>
      </c>
      <c r="K754" s="1">
        <v>5</v>
      </c>
      <c r="L754" s="1">
        <f t="shared" si="11"/>
        <v>120</v>
      </c>
      <c r="M754" s="1" t="s">
        <v>38</v>
      </c>
      <c r="N754" s="1"/>
      <c r="O754" s="12" t="str">
        <f>IF($J754=Sheet2!$A$2, ROW(), "")</f>
        <v/>
      </c>
      <c r="Q754" s="23" t="s">
        <v>2735</v>
      </c>
    </row>
    <row r="755" spans="1:17" ht="14" customHeight="1" x14ac:dyDescent="0.3">
      <c r="A755" s="1" t="s">
        <v>1127</v>
      </c>
      <c r="B755" s="1">
        <v>34</v>
      </c>
      <c r="C755" s="1" t="s">
        <v>287</v>
      </c>
      <c r="D755" s="1"/>
      <c r="E755" s="1"/>
      <c r="F755" s="1">
        <v>95</v>
      </c>
      <c r="G755" s="1">
        <v>109</v>
      </c>
      <c r="H755" s="1" t="s">
        <v>317</v>
      </c>
      <c r="I755" s="1">
        <v>24</v>
      </c>
      <c r="J755" s="1" t="s">
        <v>1104</v>
      </c>
      <c r="K755" s="1">
        <v>5</v>
      </c>
      <c r="L755" s="1">
        <f t="shared" si="11"/>
        <v>120</v>
      </c>
      <c r="M755" s="1" t="s">
        <v>38</v>
      </c>
      <c r="N755" s="1"/>
      <c r="O755" s="12" t="str">
        <f>IF($J755=Sheet2!$A$2, ROW(), "")</f>
        <v/>
      </c>
      <c r="Q755" s="23" t="s">
        <v>2736</v>
      </c>
    </row>
    <row r="756" spans="1:17" ht="14" customHeight="1" x14ac:dyDescent="0.3">
      <c r="A756" s="1" t="s">
        <v>1128</v>
      </c>
      <c r="B756" s="1">
        <v>30</v>
      </c>
      <c r="C756" s="1" t="s">
        <v>287</v>
      </c>
      <c r="D756" s="1"/>
      <c r="E756" s="1"/>
      <c r="F756" s="1">
        <v>99</v>
      </c>
      <c r="G756" s="1">
        <v>111</v>
      </c>
      <c r="H756" s="1" t="s">
        <v>251</v>
      </c>
      <c r="I756" s="1">
        <v>24</v>
      </c>
      <c r="J756" s="1" t="s">
        <v>1104</v>
      </c>
      <c r="K756" s="1">
        <v>5</v>
      </c>
      <c r="L756" s="1">
        <f t="shared" si="11"/>
        <v>120</v>
      </c>
      <c r="M756" s="1" t="s">
        <v>38</v>
      </c>
      <c r="N756" s="1"/>
      <c r="O756" s="12" t="str">
        <f>IF($J756=Sheet2!$A$2, ROW(), "")</f>
        <v/>
      </c>
      <c r="Q756" s="23" t="s">
        <v>2737</v>
      </c>
    </row>
    <row r="757" spans="1:17" ht="14" customHeight="1" x14ac:dyDescent="0.3">
      <c r="A757" s="1" t="s">
        <v>1129</v>
      </c>
      <c r="B757" s="1">
        <v>33</v>
      </c>
      <c r="C757" s="1" t="s">
        <v>287</v>
      </c>
      <c r="D757" s="1"/>
      <c r="E757" s="1"/>
      <c r="F757" s="1">
        <v>99</v>
      </c>
      <c r="G757" s="1">
        <v>109</v>
      </c>
      <c r="H757" s="1" t="s">
        <v>1130</v>
      </c>
      <c r="I757" s="1">
        <v>24</v>
      </c>
      <c r="J757" s="1" t="s">
        <v>1104</v>
      </c>
      <c r="K757" s="1">
        <v>5</v>
      </c>
      <c r="L757" s="1">
        <f t="shared" si="11"/>
        <v>120</v>
      </c>
      <c r="M757" s="1" t="s">
        <v>38</v>
      </c>
      <c r="N757" s="1"/>
      <c r="O757" s="12" t="str">
        <f>IF($J757=Sheet2!$A$2, ROW(), "")</f>
        <v/>
      </c>
      <c r="Q757" s="23" t="s">
        <v>2738</v>
      </c>
    </row>
    <row r="758" spans="1:17" ht="14" customHeight="1" x14ac:dyDescent="0.3">
      <c r="A758" s="1" t="s">
        <v>1131</v>
      </c>
      <c r="B758" s="1">
        <v>34</v>
      </c>
      <c r="C758" s="1" t="s">
        <v>287</v>
      </c>
      <c r="D758" s="1"/>
      <c r="E758" s="1"/>
      <c r="F758" s="1">
        <v>100</v>
      </c>
      <c r="G758" s="1">
        <v>102</v>
      </c>
      <c r="H758" s="1" t="s">
        <v>550</v>
      </c>
      <c r="I758" s="1">
        <v>40</v>
      </c>
      <c r="J758" s="1" t="s">
        <v>1104</v>
      </c>
      <c r="K758" s="1">
        <v>5</v>
      </c>
      <c r="L758" s="1">
        <f t="shared" si="11"/>
        <v>200</v>
      </c>
      <c r="M758" s="1" t="s">
        <v>38</v>
      </c>
      <c r="N758" s="1"/>
      <c r="O758" s="12" t="str">
        <f>IF($J758=Sheet2!$A$2, ROW(), "")</f>
        <v/>
      </c>
      <c r="Q758" s="23" t="s">
        <v>2739</v>
      </c>
    </row>
    <row r="759" spans="1:17" ht="14" customHeight="1" x14ac:dyDescent="0.3">
      <c r="A759" s="1" t="s">
        <v>1132</v>
      </c>
      <c r="B759" s="1">
        <v>32</v>
      </c>
      <c r="C759" s="1" t="s">
        <v>287</v>
      </c>
      <c r="D759" s="1"/>
      <c r="E759" s="1"/>
      <c r="F759" s="1">
        <v>101</v>
      </c>
      <c r="G759" s="1">
        <v>109</v>
      </c>
      <c r="H759" s="1" t="s">
        <v>260</v>
      </c>
      <c r="I759" s="1">
        <v>40</v>
      </c>
      <c r="J759" s="1" t="s">
        <v>1104</v>
      </c>
      <c r="K759" s="1">
        <v>5</v>
      </c>
      <c r="L759" s="1">
        <f t="shared" si="11"/>
        <v>200</v>
      </c>
      <c r="M759" s="1" t="s">
        <v>38</v>
      </c>
      <c r="N759" s="1"/>
      <c r="O759" s="12" t="str">
        <f>IF($J759=Sheet2!$A$2, ROW(), "")</f>
        <v/>
      </c>
      <c r="Q759" s="23" t="s">
        <v>2740</v>
      </c>
    </row>
    <row r="760" spans="1:17" ht="14" customHeight="1" x14ac:dyDescent="0.3">
      <c r="A760" s="1" t="s">
        <v>1133</v>
      </c>
      <c r="B760" s="1">
        <v>30</v>
      </c>
      <c r="C760" s="1" t="s">
        <v>287</v>
      </c>
      <c r="D760" s="1"/>
      <c r="E760" s="1"/>
      <c r="F760" s="1">
        <v>95</v>
      </c>
      <c r="G760" s="1">
        <v>112</v>
      </c>
      <c r="H760" s="1" t="s">
        <v>834</v>
      </c>
      <c r="I760" s="1">
        <v>30</v>
      </c>
      <c r="J760" s="1" t="s">
        <v>1104</v>
      </c>
      <c r="K760" s="1">
        <v>5</v>
      </c>
      <c r="L760" s="1">
        <f t="shared" si="11"/>
        <v>150</v>
      </c>
      <c r="M760" s="1" t="s">
        <v>38</v>
      </c>
      <c r="N760" s="1"/>
      <c r="O760" s="12" t="str">
        <f>IF($J760=Sheet2!$A$2, ROW(), "")</f>
        <v/>
      </c>
      <c r="Q760" s="23" t="s">
        <v>2741</v>
      </c>
    </row>
    <row r="761" spans="1:17" ht="14" customHeight="1" x14ac:dyDescent="0.3">
      <c r="A761" s="1" t="s">
        <v>1134</v>
      </c>
      <c r="B761" s="1">
        <v>34</v>
      </c>
      <c r="C761" s="1" t="s">
        <v>287</v>
      </c>
      <c r="D761" s="1"/>
      <c r="E761" s="1"/>
      <c r="F761" s="1">
        <v>104</v>
      </c>
      <c r="G761" s="1">
        <v>116</v>
      </c>
      <c r="H761" s="1" t="s">
        <v>357</v>
      </c>
      <c r="I761" s="1">
        <v>45</v>
      </c>
      <c r="J761" s="1" t="s">
        <v>1104</v>
      </c>
      <c r="K761" s="1">
        <v>5</v>
      </c>
      <c r="L761" s="1">
        <f t="shared" si="11"/>
        <v>225</v>
      </c>
      <c r="M761" s="1" t="s">
        <v>38</v>
      </c>
      <c r="N761" s="1"/>
      <c r="O761" s="12" t="str">
        <f>IF($J761=Sheet2!$A$2, ROW(), "")</f>
        <v/>
      </c>
      <c r="Q761" s="23" t="s">
        <v>2742</v>
      </c>
    </row>
    <row r="762" spans="1:17" ht="14" customHeight="1" x14ac:dyDescent="0.3">
      <c r="A762" s="1" t="s">
        <v>1135</v>
      </c>
      <c r="B762" s="1">
        <v>33</v>
      </c>
      <c r="C762" s="1" t="s">
        <v>287</v>
      </c>
      <c r="D762" s="1"/>
      <c r="E762" s="1"/>
      <c r="F762" s="1">
        <v>102</v>
      </c>
      <c r="G762" s="1">
        <v>110</v>
      </c>
      <c r="H762" s="1" t="s">
        <v>357</v>
      </c>
      <c r="I762" s="1">
        <v>45</v>
      </c>
      <c r="J762" s="1" t="s">
        <v>1104</v>
      </c>
      <c r="K762" s="1">
        <v>5</v>
      </c>
      <c r="L762" s="1">
        <f t="shared" si="11"/>
        <v>225</v>
      </c>
      <c r="M762" s="1" t="s">
        <v>38</v>
      </c>
      <c r="N762" s="1"/>
      <c r="O762" s="12" t="str">
        <f>IF($J762=Sheet2!$A$2, ROW(), "")</f>
        <v/>
      </c>
      <c r="Q762" s="23" t="s">
        <v>2743</v>
      </c>
    </row>
    <row r="763" spans="1:17" ht="14" customHeight="1" x14ac:dyDescent="0.3">
      <c r="A763" s="1" t="s">
        <v>1136</v>
      </c>
      <c r="B763" s="1">
        <v>25</v>
      </c>
      <c r="C763" s="1" t="s">
        <v>287</v>
      </c>
      <c r="D763" s="1"/>
      <c r="E763" s="1"/>
      <c r="F763" s="1">
        <v>95</v>
      </c>
      <c r="G763" s="1">
        <v>115</v>
      </c>
      <c r="H763" s="1" t="s">
        <v>247</v>
      </c>
      <c r="I763" s="1">
        <v>25</v>
      </c>
      <c r="J763" s="1" t="s">
        <v>1104</v>
      </c>
      <c r="K763" s="1">
        <v>5</v>
      </c>
      <c r="L763" s="1">
        <f t="shared" si="11"/>
        <v>125</v>
      </c>
      <c r="M763" s="1" t="s">
        <v>38</v>
      </c>
      <c r="N763" s="1"/>
      <c r="O763" s="12" t="str">
        <f>IF($J763=Sheet2!$A$2, ROW(), "")</f>
        <v/>
      </c>
      <c r="Q763" s="23" t="s">
        <v>2744</v>
      </c>
    </row>
    <row r="764" spans="1:17" ht="14" customHeight="1" x14ac:dyDescent="0.3">
      <c r="A764" s="1" t="s">
        <v>1137</v>
      </c>
      <c r="B764" s="1">
        <v>34</v>
      </c>
      <c r="C764" s="1" t="s">
        <v>287</v>
      </c>
      <c r="D764" s="1"/>
      <c r="E764" s="1"/>
      <c r="F764" s="1">
        <v>100</v>
      </c>
      <c r="G764" s="1">
        <v>106</v>
      </c>
      <c r="H764" s="1" t="s">
        <v>357</v>
      </c>
      <c r="I764" s="1">
        <v>30</v>
      </c>
      <c r="J764" s="1" t="s">
        <v>1104</v>
      </c>
      <c r="K764" s="1">
        <v>5</v>
      </c>
      <c r="L764" s="1">
        <f t="shared" si="11"/>
        <v>150</v>
      </c>
      <c r="M764" s="1" t="s">
        <v>38</v>
      </c>
      <c r="N764" s="1"/>
      <c r="O764" s="12" t="str">
        <f>IF($J764=Sheet2!$A$2, ROW(), "")</f>
        <v/>
      </c>
      <c r="Q764" s="23" t="s">
        <v>2745</v>
      </c>
    </row>
    <row r="765" spans="1:17" ht="14" customHeight="1" x14ac:dyDescent="0.3">
      <c r="A765" s="1" t="s">
        <v>1138</v>
      </c>
      <c r="B765" s="1">
        <v>20</v>
      </c>
      <c r="C765" s="1" t="s">
        <v>287</v>
      </c>
      <c r="D765" s="1"/>
      <c r="E765" s="1"/>
      <c r="F765" s="1">
        <v>95</v>
      </c>
      <c r="G765" s="1">
        <v>117</v>
      </c>
      <c r="H765" s="1" t="s">
        <v>260</v>
      </c>
      <c r="I765" s="1">
        <v>40</v>
      </c>
      <c r="J765" s="1" t="s">
        <v>1104</v>
      </c>
      <c r="K765" s="1">
        <v>5</v>
      </c>
      <c r="L765" s="1">
        <f t="shared" si="11"/>
        <v>200</v>
      </c>
      <c r="M765" s="1" t="s">
        <v>38</v>
      </c>
      <c r="N765" s="1"/>
      <c r="O765" s="12" t="str">
        <f>IF($J765=Sheet2!$A$2, ROW(), "")</f>
        <v/>
      </c>
      <c r="Q765" s="23" t="s">
        <v>2746</v>
      </c>
    </row>
    <row r="766" spans="1:17" ht="14" customHeight="1" x14ac:dyDescent="0.3">
      <c r="A766" s="1" t="s">
        <v>1139</v>
      </c>
      <c r="B766" s="1">
        <v>27</v>
      </c>
      <c r="C766" s="1" t="s">
        <v>287</v>
      </c>
      <c r="D766" s="1"/>
      <c r="E766" s="1"/>
      <c r="F766" s="1">
        <v>91</v>
      </c>
      <c r="G766" s="1">
        <v>109</v>
      </c>
      <c r="H766" s="1" t="s">
        <v>260</v>
      </c>
      <c r="I766" s="1">
        <v>24</v>
      </c>
      <c r="J766" s="1" t="s">
        <v>1104</v>
      </c>
      <c r="K766" s="1">
        <v>5</v>
      </c>
      <c r="L766" s="1">
        <f t="shared" si="11"/>
        <v>120</v>
      </c>
      <c r="M766" s="1" t="s">
        <v>38</v>
      </c>
      <c r="N766" s="1"/>
      <c r="O766" s="12" t="str">
        <f>IF($J766=Sheet2!$A$2, ROW(), "")</f>
        <v/>
      </c>
      <c r="Q766" s="23" t="s">
        <v>2747</v>
      </c>
    </row>
    <row r="767" spans="1:17" ht="14" customHeight="1" x14ac:dyDescent="0.3">
      <c r="A767" s="1" t="s">
        <v>1140</v>
      </c>
      <c r="B767" s="1">
        <v>27</v>
      </c>
      <c r="C767" s="1" t="s">
        <v>287</v>
      </c>
      <c r="D767" s="1"/>
      <c r="E767" s="1"/>
      <c r="F767" s="1">
        <v>91</v>
      </c>
      <c r="G767" s="1">
        <v>104</v>
      </c>
      <c r="H767" s="1" t="s">
        <v>1141</v>
      </c>
      <c r="I767" s="1">
        <v>24</v>
      </c>
      <c r="J767" s="1" t="s">
        <v>1104</v>
      </c>
      <c r="K767" s="1">
        <v>5</v>
      </c>
      <c r="L767" s="1">
        <f t="shared" si="11"/>
        <v>120</v>
      </c>
      <c r="M767" s="1" t="s">
        <v>38</v>
      </c>
      <c r="N767" s="1"/>
      <c r="O767" s="12" t="str">
        <f>IF($J767=Sheet2!$A$2, ROW(), "")</f>
        <v/>
      </c>
      <c r="Q767" s="23" t="s">
        <v>2748</v>
      </c>
    </row>
    <row r="768" spans="1:17" ht="14" customHeight="1" x14ac:dyDescent="0.3">
      <c r="A768" s="1" t="s">
        <v>1142</v>
      </c>
      <c r="B768" s="1">
        <v>22</v>
      </c>
      <c r="C768" s="1" t="s">
        <v>1063</v>
      </c>
      <c r="D768" s="1"/>
      <c r="E768" s="1"/>
      <c r="F768" s="1">
        <v>140</v>
      </c>
      <c r="G768" s="1">
        <v>150</v>
      </c>
      <c r="H768" s="1" t="s">
        <v>1143</v>
      </c>
      <c r="I768" s="1">
        <v>230</v>
      </c>
      <c r="J768" s="1" t="s">
        <v>1762</v>
      </c>
      <c r="K768" s="1">
        <v>8.5</v>
      </c>
      <c r="L768" s="1">
        <f t="shared" si="11"/>
        <v>1150</v>
      </c>
      <c r="M768" s="1" t="s">
        <v>38</v>
      </c>
      <c r="N768" s="1"/>
      <c r="O768" s="12" t="str">
        <f>IF($J768=Sheet2!$A$2, ROW(), "")</f>
        <v/>
      </c>
      <c r="Q768" s="23" t="s">
        <v>2749</v>
      </c>
    </row>
    <row r="769" spans="1:17" ht="14" customHeight="1" x14ac:dyDescent="0.3">
      <c r="A769" s="1" t="s">
        <v>1144</v>
      </c>
      <c r="B769" s="1">
        <v>25</v>
      </c>
      <c r="C769" s="1" t="s">
        <v>1145</v>
      </c>
      <c r="D769" s="1"/>
      <c r="E769" s="1"/>
      <c r="F769" s="1">
        <v>136</v>
      </c>
      <c r="G769" s="1">
        <v>136</v>
      </c>
      <c r="H769" s="1" t="s">
        <v>317</v>
      </c>
      <c r="I769" s="1">
        <v>200</v>
      </c>
      <c r="J769" s="1" t="s">
        <v>271</v>
      </c>
      <c r="K769" s="1">
        <v>5</v>
      </c>
      <c r="L769" s="1">
        <f t="shared" si="11"/>
        <v>1000</v>
      </c>
      <c r="M769" s="1" t="s">
        <v>38</v>
      </c>
      <c r="N769" s="1"/>
      <c r="O769" s="12" t="str">
        <f>IF($J769=Sheet2!$A$2, ROW(), "")</f>
        <v/>
      </c>
      <c r="Q769" s="23" t="s">
        <v>2750</v>
      </c>
    </row>
    <row r="770" spans="1:17" ht="14" customHeight="1" x14ac:dyDescent="0.3">
      <c r="A770" s="1" t="s">
        <v>1146</v>
      </c>
      <c r="B770" s="1">
        <v>30</v>
      </c>
      <c r="C770" s="1" t="s">
        <v>283</v>
      </c>
      <c r="D770" s="1"/>
      <c r="E770" s="1"/>
      <c r="F770" s="1">
        <v>116</v>
      </c>
      <c r="G770" s="1">
        <v>124</v>
      </c>
      <c r="H770" s="1" t="s">
        <v>1</v>
      </c>
      <c r="I770" s="1">
        <v>180</v>
      </c>
      <c r="J770" s="1" t="s">
        <v>271</v>
      </c>
      <c r="K770" s="1">
        <v>5</v>
      </c>
      <c r="L770" s="1">
        <f t="shared" ref="L770:L833" si="12">I770*5</f>
        <v>900</v>
      </c>
      <c r="M770" s="1" t="s">
        <v>38</v>
      </c>
      <c r="N770" s="1"/>
      <c r="O770" s="12" t="str">
        <f>IF($J770=Sheet2!$A$2, ROW(), "")</f>
        <v/>
      </c>
      <c r="Q770" s="23" t="s">
        <v>2751</v>
      </c>
    </row>
    <row r="771" spans="1:17" ht="14" customHeight="1" x14ac:dyDescent="0.3">
      <c r="A771" s="1" t="s">
        <v>1147</v>
      </c>
      <c r="B771" s="1">
        <v>22</v>
      </c>
      <c r="C771" s="1" t="s">
        <v>1148</v>
      </c>
      <c r="D771" s="1"/>
      <c r="E771" s="1"/>
      <c r="F771" s="1">
        <v>133</v>
      </c>
      <c r="G771" s="1">
        <v>150</v>
      </c>
      <c r="H771" s="1" t="s">
        <v>260</v>
      </c>
      <c r="I771" s="1">
        <v>180</v>
      </c>
      <c r="J771" s="1" t="s">
        <v>327</v>
      </c>
      <c r="K771" s="1">
        <v>6</v>
      </c>
      <c r="L771" s="1">
        <f t="shared" si="12"/>
        <v>900</v>
      </c>
      <c r="M771" s="1" t="s">
        <v>38</v>
      </c>
      <c r="N771" s="1"/>
      <c r="O771" s="12" t="str">
        <f>IF($J771=Sheet2!$A$2, ROW(), "")</f>
        <v/>
      </c>
      <c r="Q771" s="23" t="s">
        <v>2752</v>
      </c>
    </row>
    <row r="772" spans="1:17" ht="14" customHeight="1" x14ac:dyDescent="0.3">
      <c r="A772" s="1" t="s">
        <v>1149</v>
      </c>
      <c r="B772" s="1">
        <v>27</v>
      </c>
      <c r="C772" s="1" t="s">
        <v>283</v>
      </c>
      <c r="D772" s="1"/>
      <c r="E772" s="1"/>
      <c r="F772" s="1">
        <v>120</v>
      </c>
      <c r="G772" s="1">
        <v>130</v>
      </c>
      <c r="H772" s="1" t="s">
        <v>364</v>
      </c>
      <c r="I772" s="1">
        <v>180</v>
      </c>
      <c r="J772" s="1" t="s">
        <v>1659</v>
      </c>
      <c r="K772" s="1">
        <v>5</v>
      </c>
      <c r="L772" s="1">
        <f t="shared" si="12"/>
        <v>900</v>
      </c>
      <c r="M772" s="1" t="s">
        <v>38</v>
      </c>
      <c r="N772" s="1"/>
      <c r="O772" s="12" t="str">
        <f>IF($J772=Sheet2!$A$2, ROW(), "")</f>
        <v/>
      </c>
      <c r="Q772" s="23" t="s">
        <v>2753</v>
      </c>
    </row>
    <row r="773" spans="1:17" ht="14" customHeight="1" x14ac:dyDescent="0.3">
      <c r="A773" s="1" t="s">
        <v>1150</v>
      </c>
      <c r="B773" s="1">
        <v>35</v>
      </c>
      <c r="C773" s="1" t="s">
        <v>1151</v>
      </c>
      <c r="D773" s="1"/>
      <c r="E773" s="1"/>
      <c r="F773" s="1">
        <v>116</v>
      </c>
      <c r="G773" s="1">
        <v>140</v>
      </c>
      <c r="H773" s="1" t="s">
        <v>1038</v>
      </c>
      <c r="I773" s="1">
        <v>200</v>
      </c>
      <c r="J773" s="1" t="s">
        <v>520</v>
      </c>
      <c r="K773" s="1">
        <v>5</v>
      </c>
      <c r="L773" s="1">
        <f t="shared" si="12"/>
        <v>1000</v>
      </c>
      <c r="M773" s="1" t="s">
        <v>38</v>
      </c>
      <c r="N773" s="1"/>
      <c r="O773" s="12" t="str">
        <f>IF($J773=Sheet2!$A$2, ROW(), "")</f>
        <v/>
      </c>
      <c r="Q773" s="23" t="s">
        <v>2754</v>
      </c>
    </row>
    <row r="774" spans="1:17" ht="14" customHeight="1" x14ac:dyDescent="0.3">
      <c r="A774" s="1" t="s">
        <v>1152</v>
      </c>
      <c r="B774" s="1">
        <v>30</v>
      </c>
      <c r="C774" s="1" t="s">
        <v>1153</v>
      </c>
      <c r="D774" s="1"/>
      <c r="E774" s="1"/>
      <c r="F774" s="1">
        <v>120</v>
      </c>
      <c r="G774" s="1">
        <v>144</v>
      </c>
      <c r="H774" s="1" t="s">
        <v>260</v>
      </c>
      <c r="I774" s="1">
        <v>200</v>
      </c>
      <c r="J774" s="1" t="s">
        <v>520</v>
      </c>
      <c r="K774" s="1">
        <v>5</v>
      </c>
      <c r="L774" s="1">
        <f t="shared" si="12"/>
        <v>1000</v>
      </c>
      <c r="M774" s="1" t="s">
        <v>38</v>
      </c>
      <c r="N774" s="1"/>
      <c r="O774" s="12" t="str">
        <f>IF($J774=Sheet2!$A$2, ROW(), "")</f>
        <v/>
      </c>
      <c r="Q774" s="23" t="s">
        <v>2755</v>
      </c>
    </row>
    <row r="775" spans="1:17" ht="14" customHeight="1" x14ac:dyDescent="0.3">
      <c r="A775" s="1" t="s">
        <v>1154</v>
      </c>
      <c r="B775" s="1">
        <v>33</v>
      </c>
      <c r="C775" s="1" t="s">
        <v>283</v>
      </c>
      <c r="D775" s="1"/>
      <c r="E775" s="1"/>
      <c r="F775" s="1">
        <v>116</v>
      </c>
      <c r="G775" s="1">
        <v>124</v>
      </c>
      <c r="H775" s="1" t="s">
        <v>317</v>
      </c>
      <c r="I775" s="1">
        <v>180</v>
      </c>
      <c r="J775" s="1" t="s">
        <v>520</v>
      </c>
      <c r="K775" s="1">
        <v>5</v>
      </c>
      <c r="L775" s="1">
        <f t="shared" si="12"/>
        <v>900</v>
      </c>
      <c r="M775" s="1" t="s">
        <v>38</v>
      </c>
      <c r="N775" s="1"/>
      <c r="O775" s="12" t="str">
        <f>IF($J775=Sheet2!$A$2, ROW(), "")</f>
        <v/>
      </c>
      <c r="Q775" s="23" t="s">
        <v>2756</v>
      </c>
    </row>
    <row r="776" spans="1:17" ht="14" customHeight="1" x14ac:dyDescent="0.3">
      <c r="A776" s="1" t="s">
        <v>1155</v>
      </c>
      <c r="B776" s="1">
        <v>40</v>
      </c>
      <c r="C776" s="1" t="s">
        <v>1110</v>
      </c>
      <c r="D776" s="1"/>
      <c r="E776" s="1"/>
      <c r="F776" s="1">
        <v>116</v>
      </c>
      <c r="G776" s="1">
        <v>176</v>
      </c>
      <c r="H776" s="1" t="s">
        <v>357</v>
      </c>
      <c r="I776" s="1">
        <v>60</v>
      </c>
      <c r="J776" s="1" t="s">
        <v>1735</v>
      </c>
      <c r="K776" s="1">
        <v>4</v>
      </c>
      <c r="L776" s="1">
        <f t="shared" si="12"/>
        <v>300</v>
      </c>
      <c r="M776" s="1" t="s">
        <v>38</v>
      </c>
      <c r="N776" s="1"/>
      <c r="O776" s="12" t="str">
        <f>IF($J776=Sheet2!$A$2, ROW(), "")</f>
        <v/>
      </c>
      <c r="Q776" s="23" t="s">
        <v>2757</v>
      </c>
    </row>
    <row r="777" spans="1:17" ht="14" customHeight="1" x14ac:dyDescent="0.3">
      <c r="A777" s="1" t="s">
        <v>1157</v>
      </c>
      <c r="B777" s="1">
        <v>26</v>
      </c>
      <c r="C777" s="1" t="s">
        <v>611</v>
      </c>
      <c r="D777" s="1"/>
      <c r="E777" s="1"/>
      <c r="F777" s="1">
        <v>128</v>
      </c>
      <c r="G777" s="1">
        <v>154</v>
      </c>
      <c r="H777" s="1" t="s">
        <v>260</v>
      </c>
      <c r="I777" s="1">
        <v>180</v>
      </c>
      <c r="J777" s="1" t="s">
        <v>1164</v>
      </c>
      <c r="K777" s="1">
        <v>6.5</v>
      </c>
      <c r="L777" s="1">
        <f t="shared" si="12"/>
        <v>900</v>
      </c>
      <c r="M777" s="1" t="s">
        <v>38</v>
      </c>
      <c r="N777" s="1"/>
      <c r="O777" s="12" t="str">
        <f>IF($J777=Sheet2!$A$2, ROW(), "")</f>
        <v/>
      </c>
      <c r="Q777" s="23" t="s">
        <v>2758</v>
      </c>
    </row>
    <row r="778" spans="1:17" ht="14" customHeight="1" x14ac:dyDescent="0.3">
      <c r="A778" s="1" t="s">
        <v>1158</v>
      </c>
      <c r="B778" s="1">
        <v>32</v>
      </c>
      <c r="C778" s="1" t="s">
        <v>1159</v>
      </c>
      <c r="D778" s="1"/>
      <c r="E778" s="1"/>
      <c r="F778" s="1">
        <v>120</v>
      </c>
      <c r="G778" s="1">
        <v>126</v>
      </c>
      <c r="H778" s="1" t="s">
        <v>845</v>
      </c>
      <c r="I778" s="1">
        <v>180</v>
      </c>
      <c r="J778" s="1" t="s">
        <v>520</v>
      </c>
      <c r="K778" s="1">
        <v>5</v>
      </c>
      <c r="L778" s="1">
        <f t="shared" si="12"/>
        <v>900</v>
      </c>
      <c r="M778" s="1" t="s">
        <v>38</v>
      </c>
      <c r="N778" s="1"/>
      <c r="O778" s="12" t="str">
        <f>IF($J778=Sheet2!$A$2, ROW(), "")</f>
        <v/>
      </c>
      <c r="Q778" s="23" t="s">
        <v>2759</v>
      </c>
    </row>
    <row r="779" spans="1:17" ht="14" customHeight="1" x14ac:dyDescent="0.3">
      <c r="A779" s="1" t="s">
        <v>1160</v>
      </c>
      <c r="B779" s="1">
        <v>24</v>
      </c>
      <c r="C779" s="1" t="s">
        <v>1161</v>
      </c>
      <c r="D779" s="1"/>
      <c r="E779" s="1"/>
      <c r="F779" s="1">
        <v>130</v>
      </c>
      <c r="G779" s="1">
        <v>130</v>
      </c>
      <c r="H779" s="1" t="s">
        <v>545</v>
      </c>
      <c r="I779" s="1">
        <v>100</v>
      </c>
      <c r="J779" s="1" t="s">
        <v>315</v>
      </c>
      <c r="K779" s="1">
        <v>5</v>
      </c>
      <c r="L779" s="1">
        <f t="shared" si="12"/>
        <v>500</v>
      </c>
      <c r="M779" s="1" t="s">
        <v>38</v>
      </c>
      <c r="N779" s="1"/>
      <c r="O779" s="12" t="str">
        <f>IF($J779=Sheet2!$A$2, ROW(), "")</f>
        <v/>
      </c>
      <c r="Q779" s="23" t="s">
        <v>2760</v>
      </c>
    </row>
    <row r="780" spans="1:17" ht="14" customHeight="1" x14ac:dyDescent="0.3">
      <c r="A780" s="1" t="s">
        <v>1162</v>
      </c>
      <c r="B780" s="1">
        <v>22</v>
      </c>
      <c r="C780" s="1" t="s">
        <v>642</v>
      </c>
      <c r="D780" s="1"/>
      <c r="E780" s="1"/>
      <c r="F780" s="1">
        <v>135</v>
      </c>
      <c r="G780" s="1">
        <v>150</v>
      </c>
      <c r="H780" s="1" t="s">
        <v>317</v>
      </c>
      <c r="I780" s="1">
        <v>240</v>
      </c>
      <c r="J780" s="1" t="s">
        <v>1164</v>
      </c>
      <c r="K780" s="1">
        <v>5.5</v>
      </c>
      <c r="L780" s="1">
        <f t="shared" si="12"/>
        <v>1200</v>
      </c>
      <c r="M780" s="1" t="s">
        <v>38</v>
      </c>
      <c r="N780" s="1"/>
      <c r="O780" s="12" t="str">
        <f>IF($J780=Sheet2!$A$2, ROW(), "")</f>
        <v/>
      </c>
      <c r="Q780" s="23" t="s">
        <v>2761</v>
      </c>
    </row>
    <row r="781" spans="1:17" ht="14" customHeight="1" x14ac:dyDescent="0.3">
      <c r="A781" s="1" t="s">
        <v>1163</v>
      </c>
      <c r="B781" s="1">
        <v>25</v>
      </c>
      <c r="C781" s="1" t="s">
        <v>283</v>
      </c>
      <c r="D781" s="1"/>
      <c r="E781" s="1"/>
      <c r="F781" s="1">
        <v>120</v>
      </c>
      <c r="G781" s="1">
        <v>120</v>
      </c>
      <c r="H781" s="1" t="s">
        <v>260</v>
      </c>
      <c r="I781" s="1">
        <v>180</v>
      </c>
      <c r="J781" s="1" t="s">
        <v>3313</v>
      </c>
      <c r="K781" s="1">
        <v>5</v>
      </c>
      <c r="L781" s="1">
        <f t="shared" si="12"/>
        <v>900</v>
      </c>
      <c r="M781" s="1"/>
      <c r="N781" s="1"/>
      <c r="O781" s="12" t="str">
        <f>IF($J781=Sheet2!$A$2, ROW(), "")</f>
        <v/>
      </c>
      <c r="Q781" s="23" t="s">
        <v>2762</v>
      </c>
    </row>
    <row r="782" spans="1:17" ht="14" customHeight="1" x14ac:dyDescent="0.3">
      <c r="A782" s="1" t="s">
        <v>1165</v>
      </c>
      <c r="B782" s="1">
        <v>23</v>
      </c>
      <c r="C782" s="1" t="s">
        <v>283</v>
      </c>
      <c r="D782" s="1"/>
      <c r="E782" s="1"/>
      <c r="F782" s="1">
        <v>123</v>
      </c>
      <c r="G782" s="1">
        <v>136</v>
      </c>
      <c r="H782" s="1" t="s">
        <v>1</v>
      </c>
      <c r="I782" s="1">
        <v>180</v>
      </c>
      <c r="J782" s="1" t="s">
        <v>1659</v>
      </c>
      <c r="K782" s="1">
        <v>5</v>
      </c>
      <c r="L782" s="1">
        <f t="shared" si="12"/>
        <v>900</v>
      </c>
      <c r="M782" s="1" t="s">
        <v>38</v>
      </c>
      <c r="N782" s="1"/>
      <c r="O782" s="12" t="str">
        <f>IF($J782=Sheet2!$A$2, ROW(), "")</f>
        <v/>
      </c>
      <c r="Q782" s="23" t="s">
        <v>2763</v>
      </c>
    </row>
    <row r="783" spans="1:17" ht="14" customHeight="1" x14ac:dyDescent="0.3">
      <c r="A783" s="1" t="s">
        <v>1166</v>
      </c>
      <c r="B783" s="1">
        <v>17</v>
      </c>
      <c r="C783" s="1" t="s">
        <v>287</v>
      </c>
      <c r="D783" s="1"/>
      <c r="E783" s="1"/>
      <c r="F783" s="1">
        <v>117</v>
      </c>
      <c r="G783" s="1">
        <v>124</v>
      </c>
      <c r="H783" s="1" t="s">
        <v>1</v>
      </c>
      <c r="I783" s="1">
        <v>24</v>
      </c>
      <c r="J783" s="1" t="s">
        <v>1783</v>
      </c>
      <c r="K783" s="1">
        <v>5.5</v>
      </c>
      <c r="L783" s="1">
        <f t="shared" si="12"/>
        <v>120</v>
      </c>
      <c r="M783" s="1" t="s">
        <v>38</v>
      </c>
      <c r="N783" s="1"/>
      <c r="O783" s="12" t="str">
        <f>IF($J783=Sheet2!$A$2, ROW(), "")</f>
        <v/>
      </c>
      <c r="Q783" s="23" t="s">
        <v>2764</v>
      </c>
    </row>
    <row r="784" spans="1:17" ht="14" customHeight="1" x14ac:dyDescent="0.3">
      <c r="A784" s="1" t="s">
        <v>1167</v>
      </c>
      <c r="B784" s="1">
        <v>28</v>
      </c>
      <c r="C784" s="1" t="s">
        <v>283</v>
      </c>
      <c r="D784" s="1"/>
      <c r="E784" s="1"/>
      <c r="F784" s="1">
        <v>116</v>
      </c>
      <c r="G784" s="1">
        <v>116</v>
      </c>
      <c r="H784" s="1" t="s">
        <v>770</v>
      </c>
      <c r="I784" s="1">
        <v>180</v>
      </c>
      <c r="J784" s="1" t="s">
        <v>1718</v>
      </c>
      <c r="K784" s="1">
        <v>5</v>
      </c>
      <c r="L784" s="1">
        <f t="shared" si="12"/>
        <v>900</v>
      </c>
      <c r="M784" s="1" t="s">
        <v>38</v>
      </c>
      <c r="N784" s="1"/>
      <c r="O784" s="12" t="str">
        <f>IF($J784=Sheet2!$A$2, ROW(), "")</f>
        <v/>
      </c>
      <c r="Q784" s="23" t="s">
        <v>2765</v>
      </c>
    </row>
    <row r="785" spans="1:17" ht="14" customHeight="1" x14ac:dyDescent="0.3">
      <c r="A785" s="1" t="s">
        <v>1168</v>
      </c>
      <c r="B785" s="1">
        <v>30</v>
      </c>
      <c r="C785" s="1" t="s">
        <v>283</v>
      </c>
      <c r="D785" s="1"/>
      <c r="E785" s="1"/>
      <c r="F785" s="1">
        <v>110</v>
      </c>
      <c r="G785" s="1">
        <v>120</v>
      </c>
      <c r="H785" s="1" t="s">
        <v>326</v>
      </c>
      <c r="I785" s="1">
        <v>180</v>
      </c>
      <c r="J785" s="1" t="s">
        <v>271</v>
      </c>
      <c r="K785" s="1">
        <v>5</v>
      </c>
      <c r="L785" s="1">
        <f t="shared" si="12"/>
        <v>900</v>
      </c>
      <c r="M785" s="1" t="s">
        <v>38</v>
      </c>
      <c r="N785" s="1"/>
      <c r="O785" s="12" t="str">
        <f>IF($J785=Sheet2!$A$2, ROW(), "")</f>
        <v/>
      </c>
      <c r="Q785" s="23" t="s">
        <v>2766</v>
      </c>
    </row>
    <row r="786" spans="1:17" ht="14" customHeight="1" x14ac:dyDescent="0.3">
      <c r="A786" s="1" t="s">
        <v>1169</v>
      </c>
      <c r="B786" s="1">
        <v>29</v>
      </c>
      <c r="C786" s="1" t="s">
        <v>283</v>
      </c>
      <c r="D786" s="1"/>
      <c r="E786" s="1"/>
      <c r="F786" s="1">
        <v>103</v>
      </c>
      <c r="G786" s="1">
        <v>111</v>
      </c>
      <c r="H786" s="1" t="s">
        <v>1170</v>
      </c>
      <c r="I786" s="1">
        <v>80</v>
      </c>
      <c r="J786" s="1" t="s">
        <v>520</v>
      </c>
      <c r="K786" s="1">
        <v>5</v>
      </c>
      <c r="L786" s="1">
        <f t="shared" si="12"/>
        <v>400</v>
      </c>
      <c r="M786" s="1" t="s">
        <v>38</v>
      </c>
      <c r="N786" s="1"/>
      <c r="O786" s="12" t="str">
        <f>IF($J786=Sheet2!$A$2, ROW(), "")</f>
        <v/>
      </c>
      <c r="Q786" s="23" t="s">
        <v>2767</v>
      </c>
    </row>
    <row r="787" spans="1:17" ht="14" customHeight="1" x14ac:dyDescent="0.3">
      <c r="A787" s="1" t="s">
        <v>1171</v>
      </c>
      <c r="B787" s="1">
        <v>35</v>
      </c>
      <c r="C787" s="1" t="s">
        <v>283</v>
      </c>
      <c r="D787" s="1"/>
      <c r="E787" s="1"/>
      <c r="F787" s="1">
        <v>116</v>
      </c>
      <c r="G787" s="1">
        <v>124</v>
      </c>
      <c r="H787" s="1" t="s">
        <v>34</v>
      </c>
      <c r="I787" s="1">
        <v>50</v>
      </c>
      <c r="J787" s="1" t="s">
        <v>520</v>
      </c>
      <c r="K787" s="1">
        <v>5</v>
      </c>
      <c r="L787" s="1">
        <f t="shared" si="12"/>
        <v>250</v>
      </c>
      <c r="M787" s="1" t="s">
        <v>38</v>
      </c>
      <c r="N787" s="1"/>
      <c r="O787" s="12" t="str">
        <f>IF($J787=Sheet2!$A$2, ROW(), "")</f>
        <v/>
      </c>
      <c r="Q787" s="23" t="s">
        <v>2768</v>
      </c>
    </row>
    <row r="788" spans="1:17" ht="14" customHeight="1" x14ac:dyDescent="0.3">
      <c r="A788" s="1" t="s">
        <v>1172</v>
      </c>
      <c r="B788" s="1">
        <v>21</v>
      </c>
      <c r="C788" s="1" t="s">
        <v>283</v>
      </c>
      <c r="D788" s="1"/>
      <c r="E788" s="1"/>
      <c r="F788" s="1">
        <v>113</v>
      </c>
      <c r="G788" s="1">
        <v>130</v>
      </c>
      <c r="H788" s="1" t="s">
        <v>317</v>
      </c>
      <c r="I788" s="1">
        <v>40</v>
      </c>
      <c r="J788" s="1" t="s">
        <v>315</v>
      </c>
      <c r="K788" s="1">
        <v>5</v>
      </c>
      <c r="L788" s="1">
        <f t="shared" si="12"/>
        <v>200</v>
      </c>
      <c r="M788" s="1" t="s">
        <v>38</v>
      </c>
      <c r="N788" s="1"/>
      <c r="O788" s="12" t="str">
        <f>IF($J788=Sheet2!$A$2, ROW(), "")</f>
        <v/>
      </c>
      <c r="Q788" s="23" t="s">
        <v>2769</v>
      </c>
    </row>
    <row r="789" spans="1:17" ht="14" customHeight="1" x14ac:dyDescent="0.3">
      <c r="A789" s="1" t="s">
        <v>1173</v>
      </c>
      <c r="B789" s="1">
        <v>26</v>
      </c>
      <c r="C789" s="1" t="s">
        <v>1174</v>
      </c>
      <c r="D789" s="1"/>
      <c r="E789" s="1"/>
      <c r="F789" s="1">
        <v>128</v>
      </c>
      <c r="G789" s="1">
        <v>128</v>
      </c>
      <c r="H789" s="1" t="s">
        <v>1117</v>
      </c>
      <c r="I789" s="1">
        <v>220</v>
      </c>
      <c r="J789" s="1" t="s">
        <v>1717</v>
      </c>
      <c r="K789" s="1">
        <v>5</v>
      </c>
      <c r="L789" s="1">
        <f t="shared" si="12"/>
        <v>1100</v>
      </c>
      <c r="M789" s="1" t="s">
        <v>38</v>
      </c>
      <c r="N789" s="1"/>
      <c r="O789" s="12" t="str">
        <f>IF($J789=Sheet2!$A$2, ROW(), "")</f>
        <v/>
      </c>
      <c r="Q789" s="23" t="s">
        <v>2770</v>
      </c>
    </row>
    <row r="790" spans="1:17" ht="14" customHeight="1" x14ac:dyDescent="0.3">
      <c r="A790" s="1" t="s">
        <v>1175</v>
      </c>
      <c r="B790" s="1">
        <v>19</v>
      </c>
      <c r="C790" s="1" t="s">
        <v>708</v>
      </c>
      <c r="D790" s="1"/>
      <c r="E790" s="1"/>
      <c r="F790" s="1">
        <v>120</v>
      </c>
      <c r="G790" s="1">
        <v>160</v>
      </c>
      <c r="H790" s="1" t="s">
        <v>1176</v>
      </c>
      <c r="I790" s="1">
        <v>210</v>
      </c>
      <c r="J790" s="1" t="s">
        <v>233</v>
      </c>
      <c r="K790" s="1">
        <v>5</v>
      </c>
      <c r="L790" s="1">
        <f t="shared" si="12"/>
        <v>1050</v>
      </c>
      <c r="M790" s="1" t="s">
        <v>38</v>
      </c>
      <c r="N790" s="1"/>
      <c r="O790" s="12" t="str">
        <f>IF($J790=Sheet2!$A$2, ROW(), "")</f>
        <v/>
      </c>
      <c r="Q790" s="23" t="s">
        <v>2771</v>
      </c>
    </row>
    <row r="791" spans="1:17" ht="14" customHeight="1" x14ac:dyDescent="0.3">
      <c r="A791" s="1" t="s">
        <v>1177</v>
      </c>
      <c r="B791" s="1">
        <v>23</v>
      </c>
      <c r="C791" s="1" t="s">
        <v>1178</v>
      </c>
      <c r="D791" s="1"/>
      <c r="E791" s="1"/>
      <c r="F791" s="1">
        <v>126</v>
      </c>
      <c r="G791" s="1">
        <v>138</v>
      </c>
      <c r="H791" s="1" t="s">
        <v>1179</v>
      </c>
      <c r="I791" s="1">
        <v>200</v>
      </c>
      <c r="J791" s="1" t="s">
        <v>1866</v>
      </c>
      <c r="K791" s="1">
        <v>5</v>
      </c>
      <c r="L791" s="1">
        <f t="shared" si="12"/>
        <v>1000</v>
      </c>
      <c r="M791" s="1" t="s">
        <v>38</v>
      </c>
      <c r="N791" s="1"/>
      <c r="O791" s="12" t="str">
        <f>IF($J791=Sheet2!$A$2, ROW(), "")</f>
        <v/>
      </c>
      <c r="Q791" s="23" t="s">
        <v>2772</v>
      </c>
    </row>
    <row r="792" spans="1:17" ht="14" customHeight="1" x14ac:dyDescent="0.3">
      <c r="A792" s="1" t="s">
        <v>1180</v>
      </c>
      <c r="B792" s="1">
        <v>19</v>
      </c>
      <c r="C792" s="1" t="s">
        <v>0</v>
      </c>
      <c r="D792" s="1"/>
      <c r="E792" s="1"/>
      <c r="F792" s="1">
        <v>120</v>
      </c>
      <c r="G792" s="1">
        <v>135</v>
      </c>
      <c r="H792" s="1" t="s">
        <v>1</v>
      </c>
      <c r="I792" s="1">
        <v>24</v>
      </c>
      <c r="J792" s="1" t="s">
        <v>315</v>
      </c>
      <c r="K792" s="1">
        <v>5</v>
      </c>
      <c r="L792" s="1">
        <f t="shared" si="12"/>
        <v>120</v>
      </c>
      <c r="M792" s="1" t="s">
        <v>38</v>
      </c>
      <c r="N792" s="1"/>
      <c r="O792" s="12" t="str">
        <f>IF($J792=Sheet2!$A$2, ROW(), "")</f>
        <v/>
      </c>
      <c r="Q792" s="23" t="s">
        <v>2773</v>
      </c>
    </row>
    <row r="793" spans="1:17" ht="14" customHeight="1" x14ac:dyDescent="0.3">
      <c r="A793" s="1" t="s">
        <v>1181</v>
      </c>
      <c r="B793" s="1">
        <v>19</v>
      </c>
      <c r="C793" s="1" t="s">
        <v>0</v>
      </c>
      <c r="D793" s="1"/>
      <c r="E793" s="1"/>
      <c r="F793" s="1">
        <v>123</v>
      </c>
      <c r="G793" s="1">
        <v>140</v>
      </c>
      <c r="H793" s="1" t="s">
        <v>545</v>
      </c>
      <c r="I793" s="1">
        <v>69</v>
      </c>
      <c r="J793" s="1" t="s">
        <v>1834</v>
      </c>
      <c r="K793" s="1">
        <v>8</v>
      </c>
      <c r="L793" s="1">
        <f t="shared" si="12"/>
        <v>345</v>
      </c>
      <c r="M793" s="1" t="s">
        <v>98</v>
      </c>
      <c r="N793" s="1"/>
      <c r="O793" s="12" t="str">
        <f>IF($J793=Sheet2!$A$2, ROW(), "")</f>
        <v/>
      </c>
      <c r="Q793" s="23" t="s">
        <v>2774</v>
      </c>
    </row>
    <row r="794" spans="1:17" ht="14" customHeight="1" x14ac:dyDescent="0.3">
      <c r="A794" s="1" t="s">
        <v>1182</v>
      </c>
      <c r="B794" s="1">
        <v>22</v>
      </c>
      <c r="C794" s="1" t="s">
        <v>0</v>
      </c>
      <c r="D794" s="1"/>
      <c r="E794" s="1"/>
      <c r="F794" s="1">
        <v>131</v>
      </c>
      <c r="G794" s="1">
        <v>131</v>
      </c>
      <c r="H794" s="1" t="s">
        <v>1183</v>
      </c>
      <c r="I794" s="1">
        <v>24</v>
      </c>
      <c r="J794" s="1" t="s">
        <v>315</v>
      </c>
      <c r="K794" s="1">
        <v>5</v>
      </c>
      <c r="L794" s="1">
        <f t="shared" si="12"/>
        <v>120</v>
      </c>
      <c r="M794" s="1" t="s">
        <v>38</v>
      </c>
      <c r="N794" s="1"/>
      <c r="O794" s="12" t="str">
        <f>IF($J794=Sheet2!$A$2, ROW(), "")</f>
        <v/>
      </c>
      <c r="Q794" s="23" t="s">
        <v>2775</v>
      </c>
    </row>
    <row r="795" spans="1:17" ht="14" customHeight="1" x14ac:dyDescent="0.3">
      <c r="A795" s="1" t="s">
        <v>1184</v>
      </c>
      <c r="B795" s="1">
        <v>19</v>
      </c>
      <c r="C795" s="1" t="s">
        <v>0</v>
      </c>
      <c r="D795" s="1"/>
      <c r="E795" s="1"/>
      <c r="F795" s="1">
        <v>120</v>
      </c>
      <c r="G795" s="1">
        <v>137</v>
      </c>
      <c r="H795" s="1" t="s">
        <v>1</v>
      </c>
      <c r="I795" s="1">
        <v>150</v>
      </c>
      <c r="J795" s="1" t="s">
        <v>1892</v>
      </c>
      <c r="K795" s="1">
        <v>4</v>
      </c>
      <c r="L795" s="1">
        <f t="shared" si="12"/>
        <v>750</v>
      </c>
      <c r="M795" s="1" t="s">
        <v>98</v>
      </c>
      <c r="N795" s="1"/>
      <c r="O795" s="12" t="str">
        <f>IF($J795=Sheet2!$A$2, ROW(), "")</f>
        <v/>
      </c>
      <c r="Q795" s="23" t="s">
        <v>2776</v>
      </c>
    </row>
    <row r="796" spans="1:17" ht="14" customHeight="1" x14ac:dyDescent="0.3">
      <c r="A796" s="1" t="s">
        <v>1185</v>
      </c>
      <c r="B796" s="1">
        <v>21</v>
      </c>
      <c r="C796" s="1" t="s">
        <v>1186</v>
      </c>
      <c r="D796" s="1"/>
      <c r="E796" s="1"/>
      <c r="F796" s="1">
        <v>129</v>
      </c>
      <c r="G796" s="1">
        <v>151</v>
      </c>
      <c r="H796" s="1" t="s">
        <v>260</v>
      </c>
      <c r="I796" s="1">
        <v>100</v>
      </c>
      <c r="J796" s="1" t="s">
        <v>238</v>
      </c>
      <c r="K796" s="1">
        <v>5</v>
      </c>
      <c r="L796" s="1">
        <f t="shared" si="12"/>
        <v>500</v>
      </c>
      <c r="M796" s="1" t="s">
        <v>38</v>
      </c>
      <c r="N796" s="1"/>
      <c r="O796" s="12" t="str">
        <f>IF($J796=Sheet2!$A$2, ROW(), "")</f>
        <v/>
      </c>
      <c r="Q796" s="23" t="s">
        <v>2777</v>
      </c>
    </row>
    <row r="797" spans="1:17" ht="14" customHeight="1" x14ac:dyDescent="0.3">
      <c r="A797" s="1" t="s">
        <v>1187</v>
      </c>
      <c r="B797" s="1">
        <v>20</v>
      </c>
      <c r="C797" s="1" t="s">
        <v>0</v>
      </c>
      <c r="D797" s="1"/>
      <c r="E797" s="1"/>
      <c r="F797" s="1">
        <v>129</v>
      </c>
      <c r="G797" s="1">
        <v>129</v>
      </c>
      <c r="H797" s="1" t="s">
        <v>1188</v>
      </c>
      <c r="I797" s="1">
        <v>50</v>
      </c>
      <c r="J797" s="1" t="s">
        <v>271</v>
      </c>
      <c r="K797" s="1">
        <v>5</v>
      </c>
      <c r="L797" s="1">
        <f t="shared" si="12"/>
        <v>250</v>
      </c>
      <c r="M797" s="1" t="s">
        <v>98</v>
      </c>
      <c r="N797" s="1"/>
      <c r="O797" s="12" t="str">
        <f>IF($J797=Sheet2!$A$2, ROW(), "")</f>
        <v/>
      </c>
      <c r="Q797" s="23" t="s">
        <v>2778</v>
      </c>
    </row>
    <row r="798" spans="1:17" ht="14" customHeight="1" x14ac:dyDescent="0.3">
      <c r="A798" s="1" t="s">
        <v>1189</v>
      </c>
      <c r="B798" s="1">
        <v>19</v>
      </c>
      <c r="C798" s="1" t="s">
        <v>0</v>
      </c>
      <c r="D798" s="1"/>
      <c r="E798" s="1"/>
      <c r="F798" s="1">
        <v>125</v>
      </c>
      <c r="G798" s="1">
        <v>162</v>
      </c>
      <c r="H798" s="1" t="s">
        <v>1</v>
      </c>
      <c r="I798" s="1">
        <v>24</v>
      </c>
      <c r="J798" s="1" t="s">
        <v>1718</v>
      </c>
      <c r="K798" s="1">
        <v>6</v>
      </c>
      <c r="L798" s="1">
        <f t="shared" si="12"/>
        <v>120</v>
      </c>
      <c r="M798" s="1" t="s">
        <v>98</v>
      </c>
      <c r="N798" s="1"/>
      <c r="O798" s="12" t="str">
        <f>IF($J798=Sheet2!$A$2, ROW(), "")</f>
        <v/>
      </c>
      <c r="Q798" s="23" t="s">
        <v>2779</v>
      </c>
    </row>
    <row r="799" spans="1:17" ht="14" customHeight="1" x14ac:dyDescent="0.3">
      <c r="A799" s="1" t="s">
        <v>1190</v>
      </c>
      <c r="B799" s="1">
        <v>21</v>
      </c>
      <c r="C799" s="1" t="s">
        <v>1191</v>
      </c>
      <c r="D799" s="1"/>
      <c r="E799" s="1"/>
      <c r="F799" s="1">
        <v>100</v>
      </c>
      <c r="G799" s="1">
        <v>142</v>
      </c>
      <c r="H799" s="1" t="s">
        <v>15</v>
      </c>
      <c r="I799" s="1">
        <v>24</v>
      </c>
      <c r="J799" s="1" t="s">
        <v>609</v>
      </c>
      <c r="K799" s="1">
        <v>6</v>
      </c>
      <c r="L799" s="1">
        <f t="shared" si="12"/>
        <v>120</v>
      </c>
      <c r="M799" s="1" t="s">
        <v>98</v>
      </c>
      <c r="N799" s="1"/>
      <c r="O799" s="12" t="str">
        <f>IF($J799=Sheet2!$A$2, ROW(), "")</f>
        <v/>
      </c>
      <c r="Q799" s="23" t="s">
        <v>2780</v>
      </c>
    </row>
    <row r="800" spans="1:17" ht="14" customHeight="1" x14ac:dyDescent="0.3">
      <c r="A800" s="1" t="s">
        <v>1192</v>
      </c>
      <c r="B800" s="1">
        <v>24</v>
      </c>
      <c r="C800" s="1" t="s">
        <v>1193</v>
      </c>
      <c r="D800" s="1"/>
      <c r="E800" s="1"/>
      <c r="F800" s="1">
        <v>132</v>
      </c>
      <c r="G800" s="1">
        <v>150</v>
      </c>
      <c r="H800" s="1" t="s">
        <v>357</v>
      </c>
      <c r="I800" s="1">
        <v>200</v>
      </c>
      <c r="J800" s="1" t="s">
        <v>1717</v>
      </c>
      <c r="K800" s="1">
        <v>6.5</v>
      </c>
      <c r="L800" s="1">
        <f t="shared" si="12"/>
        <v>1000</v>
      </c>
      <c r="M800" s="1" t="s">
        <v>38</v>
      </c>
      <c r="N800" s="1"/>
      <c r="O800" s="12" t="str">
        <f>IF($J800=Sheet2!$A$2, ROW(), "")</f>
        <v/>
      </c>
      <c r="Q800" s="23" t="s">
        <v>2781</v>
      </c>
    </row>
    <row r="801" spans="1:17" ht="14" customHeight="1" x14ac:dyDescent="0.3">
      <c r="A801" s="1" t="s">
        <v>1194</v>
      </c>
      <c r="B801" s="1">
        <v>22</v>
      </c>
      <c r="C801" s="1" t="s">
        <v>312</v>
      </c>
      <c r="D801" s="1"/>
      <c r="E801" s="1"/>
      <c r="F801" s="1">
        <v>128</v>
      </c>
      <c r="G801" s="1">
        <v>150</v>
      </c>
      <c r="H801" s="1" t="s">
        <v>895</v>
      </c>
      <c r="I801" s="1">
        <v>160</v>
      </c>
      <c r="J801" s="1" t="s">
        <v>1866</v>
      </c>
      <c r="K801" s="1">
        <v>5</v>
      </c>
      <c r="L801" s="1">
        <f t="shared" si="12"/>
        <v>800</v>
      </c>
      <c r="M801" s="1" t="s">
        <v>38</v>
      </c>
      <c r="N801" s="1"/>
      <c r="O801" s="12" t="str">
        <f>IF($J801=Sheet2!$A$2, ROW(), "")</f>
        <v/>
      </c>
      <c r="Q801" s="23" t="s">
        <v>2782</v>
      </c>
    </row>
    <row r="802" spans="1:17" ht="14" customHeight="1" x14ac:dyDescent="0.3">
      <c r="A802" s="1" t="s">
        <v>1195</v>
      </c>
      <c r="B802" s="1">
        <v>38</v>
      </c>
      <c r="C802" s="1" t="s">
        <v>1196</v>
      </c>
      <c r="D802" s="1"/>
      <c r="E802" s="1"/>
      <c r="F802" s="1">
        <v>116</v>
      </c>
      <c r="G802" s="1">
        <v>155</v>
      </c>
      <c r="H802" s="1" t="s">
        <v>317</v>
      </c>
      <c r="I802" s="1">
        <v>80</v>
      </c>
      <c r="J802" s="1" t="s">
        <v>3246</v>
      </c>
      <c r="K802" s="1">
        <v>5</v>
      </c>
      <c r="L802" s="1">
        <f t="shared" si="12"/>
        <v>400</v>
      </c>
      <c r="M802" s="1" t="s">
        <v>38</v>
      </c>
      <c r="N802" s="1"/>
      <c r="O802" s="12" t="str">
        <f>IF($J802=Sheet2!$A$2, ROW(), "")</f>
        <v/>
      </c>
      <c r="Q802" s="23" t="s">
        <v>2783</v>
      </c>
    </row>
    <row r="803" spans="1:17" ht="14" customHeight="1" x14ac:dyDescent="0.3">
      <c r="A803" s="1" t="s">
        <v>1197</v>
      </c>
      <c r="B803" s="1">
        <v>35</v>
      </c>
      <c r="C803" s="1" t="s">
        <v>1198</v>
      </c>
      <c r="D803" s="1"/>
      <c r="E803" s="1"/>
      <c r="F803" s="1">
        <v>115</v>
      </c>
      <c r="G803" s="1">
        <v>140</v>
      </c>
      <c r="H803" s="1" t="s">
        <v>260</v>
      </c>
      <c r="I803" s="1">
        <v>150</v>
      </c>
      <c r="J803" s="1" t="s">
        <v>268</v>
      </c>
      <c r="K803" s="1">
        <v>5</v>
      </c>
      <c r="L803" s="1">
        <f t="shared" si="12"/>
        <v>750</v>
      </c>
      <c r="M803" s="1" t="s">
        <v>38</v>
      </c>
      <c r="N803" s="1"/>
      <c r="O803" s="12" t="str">
        <f>IF($J803=Sheet2!$A$2, ROW(), "")</f>
        <v/>
      </c>
      <c r="Q803" s="23" t="s">
        <v>2784</v>
      </c>
    </row>
    <row r="804" spans="1:17" ht="14" customHeight="1" x14ac:dyDescent="0.3">
      <c r="A804" s="1" t="s">
        <v>1199</v>
      </c>
      <c r="B804" s="1">
        <v>32</v>
      </c>
      <c r="C804" s="1" t="s">
        <v>1200</v>
      </c>
      <c r="D804" s="1"/>
      <c r="E804" s="1"/>
      <c r="F804" s="1">
        <v>120</v>
      </c>
      <c r="G804" s="1">
        <v>130</v>
      </c>
      <c r="H804" s="1" t="s">
        <v>1201</v>
      </c>
      <c r="I804" s="1">
        <v>120</v>
      </c>
      <c r="J804" s="1" t="s">
        <v>1721</v>
      </c>
      <c r="K804" s="1">
        <v>5</v>
      </c>
      <c r="L804" s="1">
        <f t="shared" si="12"/>
        <v>600</v>
      </c>
      <c r="M804" s="1" t="s">
        <v>38</v>
      </c>
      <c r="N804" s="1"/>
      <c r="O804" s="12" t="str">
        <f>IF($J804=Sheet2!$A$2, ROW(), "")</f>
        <v/>
      </c>
      <c r="Q804" s="23" t="s">
        <v>2785</v>
      </c>
    </row>
    <row r="805" spans="1:17" ht="14" customHeight="1" x14ac:dyDescent="0.3">
      <c r="A805" s="1" t="s">
        <v>1202</v>
      </c>
      <c r="B805" s="1">
        <v>32</v>
      </c>
      <c r="C805" s="1" t="s">
        <v>1203</v>
      </c>
      <c r="D805" s="1"/>
      <c r="E805" s="1"/>
      <c r="F805" s="1">
        <v>122</v>
      </c>
      <c r="G805" s="1">
        <v>126</v>
      </c>
      <c r="H805" s="1" t="s">
        <v>247</v>
      </c>
      <c r="I805" s="1">
        <v>100</v>
      </c>
      <c r="J805" s="1" t="s">
        <v>520</v>
      </c>
      <c r="K805" s="1">
        <v>5</v>
      </c>
      <c r="L805" s="1">
        <f t="shared" si="12"/>
        <v>500</v>
      </c>
      <c r="M805" s="1" t="s">
        <v>38</v>
      </c>
      <c r="N805" s="1"/>
      <c r="O805" s="12" t="str">
        <f>IF($J805=Sheet2!$A$2, ROW(), "")</f>
        <v/>
      </c>
      <c r="Q805" s="23" t="s">
        <v>2786</v>
      </c>
    </row>
    <row r="806" spans="1:17" ht="14" customHeight="1" x14ac:dyDescent="0.3">
      <c r="A806" s="1" t="s">
        <v>1204</v>
      </c>
      <c r="B806" s="1">
        <v>39</v>
      </c>
      <c r="C806" s="1" t="s">
        <v>1205</v>
      </c>
      <c r="D806" s="1"/>
      <c r="E806" s="1"/>
      <c r="F806" s="1">
        <v>112</v>
      </c>
      <c r="G806" s="1">
        <v>158</v>
      </c>
      <c r="H806" s="1" t="s">
        <v>834</v>
      </c>
      <c r="I806" s="1">
        <v>25</v>
      </c>
      <c r="J806" s="1" t="s">
        <v>3246</v>
      </c>
      <c r="K806" s="1">
        <v>5</v>
      </c>
      <c r="L806" s="1">
        <f t="shared" si="12"/>
        <v>125</v>
      </c>
      <c r="M806" s="1" t="s">
        <v>38</v>
      </c>
      <c r="N806" s="1"/>
      <c r="O806" s="12" t="str">
        <f>IF($J806=Sheet2!$A$2, ROW(), "")</f>
        <v/>
      </c>
      <c r="Q806" s="23" t="s">
        <v>2787</v>
      </c>
    </row>
    <row r="807" spans="1:17" ht="14" customHeight="1" x14ac:dyDescent="0.3">
      <c r="A807" s="1" t="s">
        <v>1206</v>
      </c>
      <c r="B807" s="1">
        <v>30</v>
      </c>
      <c r="C807" s="1" t="s">
        <v>1207</v>
      </c>
      <c r="D807" s="1"/>
      <c r="E807" s="1"/>
      <c r="F807" s="1">
        <v>113</v>
      </c>
      <c r="G807" s="1">
        <v>120</v>
      </c>
      <c r="H807" s="1" t="s">
        <v>247</v>
      </c>
      <c r="I807" s="1">
        <v>175</v>
      </c>
      <c r="J807" s="1" t="s">
        <v>278</v>
      </c>
      <c r="K807" s="1">
        <v>5</v>
      </c>
      <c r="L807" s="1">
        <f t="shared" si="12"/>
        <v>875</v>
      </c>
      <c r="M807" s="1" t="s">
        <v>38</v>
      </c>
      <c r="N807" s="1"/>
      <c r="O807" s="12" t="str">
        <f>IF($J807=Sheet2!$A$2, ROW(), "")</f>
        <v/>
      </c>
      <c r="Q807" s="23" t="s">
        <v>2788</v>
      </c>
    </row>
    <row r="808" spans="1:17" ht="14" customHeight="1" x14ac:dyDescent="0.3">
      <c r="A808" s="1" t="s">
        <v>1208</v>
      </c>
      <c r="B808" s="1">
        <v>20</v>
      </c>
      <c r="C808" s="1" t="s">
        <v>1203</v>
      </c>
      <c r="D808" s="1"/>
      <c r="E808" s="1"/>
      <c r="F808" s="1">
        <v>118</v>
      </c>
      <c r="G808" s="1">
        <v>150</v>
      </c>
      <c r="H808" s="1" t="s">
        <v>15</v>
      </c>
      <c r="I808" s="1">
        <v>85</v>
      </c>
      <c r="J808" s="1" t="s">
        <v>1855</v>
      </c>
      <c r="K808" s="1">
        <v>6</v>
      </c>
      <c r="L808" s="1">
        <f t="shared" si="12"/>
        <v>425</v>
      </c>
      <c r="M808" s="1" t="s">
        <v>38</v>
      </c>
      <c r="N808" s="1"/>
      <c r="O808" s="12" t="str">
        <f>IF($J808=Sheet2!$A$2, ROW(), "")</f>
        <v/>
      </c>
      <c r="Q808" s="23" t="s">
        <v>2789</v>
      </c>
    </row>
    <row r="809" spans="1:17" ht="14" customHeight="1" x14ac:dyDescent="0.3">
      <c r="A809" s="1" t="s">
        <v>1209</v>
      </c>
      <c r="B809" s="1">
        <v>21</v>
      </c>
      <c r="C809" s="1" t="s">
        <v>1210</v>
      </c>
      <c r="D809" s="1"/>
      <c r="E809" s="1"/>
      <c r="F809" s="1">
        <v>126</v>
      </c>
      <c r="G809" s="1">
        <v>140</v>
      </c>
      <c r="H809" s="1" t="s">
        <v>317</v>
      </c>
      <c r="I809" s="1">
        <v>80</v>
      </c>
      <c r="J809" s="1" t="s">
        <v>1854</v>
      </c>
      <c r="K809" s="1">
        <v>5</v>
      </c>
      <c r="L809" s="1">
        <f t="shared" si="12"/>
        <v>400</v>
      </c>
      <c r="M809" s="1" t="s">
        <v>38</v>
      </c>
      <c r="N809" s="1"/>
      <c r="O809" s="12" t="str">
        <f>IF($J809=Sheet2!$A$2, ROW(), "")</f>
        <v/>
      </c>
      <c r="Q809" s="23" t="s">
        <v>2790</v>
      </c>
    </row>
    <row r="810" spans="1:17" ht="14" customHeight="1" x14ac:dyDescent="0.3">
      <c r="A810" s="1" t="s">
        <v>1211</v>
      </c>
      <c r="B810" s="1">
        <v>21</v>
      </c>
      <c r="C810" s="1" t="s">
        <v>1203</v>
      </c>
      <c r="D810" s="1"/>
      <c r="E810" s="1"/>
      <c r="F810" s="1">
        <v>126</v>
      </c>
      <c r="G810" s="1">
        <v>140</v>
      </c>
      <c r="H810" s="1" t="s">
        <v>317</v>
      </c>
      <c r="I810" s="1">
        <v>70</v>
      </c>
      <c r="J810" s="1" t="s">
        <v>1888</v>
      </c>
      <c r="K810" s="1">
        <v>5</v>
      </c>
      <c r="L810" s="1">
        <f t="shared" si="12"/>
        <v>350</v>
      </c>
      <c r="M810" s="1" t="s">
        <v>38</v>
      </c>
      <c r="N810" s="1"/>
      <c r="O810" s="12" t="str">
        <f>IF($J810=Sheet2!$A$2, ROW(), "")</f>
        <v/>
      </c>
      <c r="Q810" s="23" t="s">
        <v>2791</v>
      </c>
    </row>
    <row r="811" spans="1:17" ht="14" customHeight="1" x14ac:dyDescent="0.3">
      <c r="A811" s="1" t="s">
        <v>1212</v>
      </c>
      <c r="B811" s="1">
        <v>22</v>
      </c>
      <c r="C811" s="1" t="s">
        <v>283</v>
      </c>
      <c r="D811" s="1"/>
      <c r="E811" s="1"/>
      <c r="F811" s="1">
        <v>129</v>
      </c>
      <c r="G811" s="1">
        <v>130</v>
      </c>
      <c r="H811" s="1" t="s">
        <v>357</v>
      </c>
      <c r="I811" s="1">
        <v>80</v>
      </c>
      <c r="J811" s="1" t="s">
        <v>327</v>
      </c>
      <c r="K811" s="1">
        <v>5</v>
      </c>
      <c r="L811" s="1">
        <f t="shared" si="12"/>
        <v>400</v>
      </c>
      <c r="M811" s="1" t="s">
        <v>38</v>
      </c>
      <c r="N811" s="1"/>
      <c r="O811" s="12" t="str">
        <f>IF($J811=Sheet2!$A$2, ROW(), "")</f>
        <v/>
      </c>
      <c r="Q811" s="23" t="s">
        <v>2792</v>
      </c>
    </row>
    <row r="812" spans="1:17" ht="14" customHeight="1" x14ac:dyDescent="0.3">
      <c r="A812" s="1" t="s">
        <v>1213</v>
      </c>
      <c r="B812" s="1">
        <v>28</v>
      </c>
      <c r="C812" s="1" t="s">
        <v>283</v>
      </c>
      <c r="D812" s="1"/>
      <c r="E812" s="1"/>
      <c r="F812" s="1">
        <v>120</v>
      </c>
      <c r="G812" s="1">
        <v>120</v>
      </c>
      <c r="H812" s="1" t="s">
        <v>357</v>
      </c>
      <c r="I812" s="1">
        <v>80</v>
      </c>
      <c r="J812" s="1" t="s">
        <v>1918</v>
      </c>
      <c r="K812" s="1">
        <v>5</v>
      </c>
      <c r="L812" s="1">
        <f t="shared" si="12"/>
        <v>400</v>
      </c>
      <c r="M812" s="1" t="s">
        <v>38</v>
      </c>
      <c r="N812" s="1"/>
      <c r="O812" s="12" t="str">
        <f>IF($J812=Sheet2!$A$2, ROW(), "")</f>
        <v/>
      </c>
      <c r="Q812" s="23" t="s">
        <v>2793</v>
      </c>
    </row>
    <row r="813" spans="1:17" ht="14" customHeight="1" x14ac:dyDescent="0.3">
      <c r="A813" s="1" t="s">
        <v>1214</v>
      </c>
      <c r="B813" s="1">
        <v>23</v>
      </c>
      <c r="C813" s="1" t="s">
        <v>246</v>
      </c>
      <c r="D813" s="1"/>
      <c r="E813" s="1"/>
      <c r="F813" s="1">
        <v>131</v>
      </c>
      <c r="G813" s="1">
        <v>150</v>
      </c>
      <c r="H813" s="1" t="s">
        <v>317</v>
      </c>
      <c r="I813" s="1">
        <v>150</v>
      </c>
      <c r="J813" s="1" t="s">
        <v>238</v>
      </c>
      <c r="K813" s="1">
        <v>5</v>
      </c>
      <c r="L813" s="1">
        <f t="shared" si="12"/>
        <v>750</v>
      </c>
      <c r="M813" s="1" t="s">
        <v>38</v>
      </c>
      <c r="N813" s="1"/>
      <c r="O813" s="12" t="str">
        <f>IF($J813=Sheet2!$A$2, ROW(), "")</f>
        <v/>
      </c>
      <c r="Q813" s="23" t="s">
        <v>2794</v>
      </c>
    </row>
    <row r="814" spans="1:17" ht="14" customHeight="1" x14ac:dyDescent="0.3">
      <c r="A814" s="1" t="s">
        <v>1215</v>
      </c>
      <c r="B814" s="1">
        <v>31</v>
      </c>
      <c r="C814" s="1" t="s">
        <v>283</v>
      </c>
      <c r="D814" s="1"/>
      <c r="E814" s="1"/>
      <c r="F814" s="1">
        <v>120</v>
      </c>
      <c r="G814" s="1">
        <v>124</v>
      </c>
      <c r="H814" s="1" t="s">
        <v>247</v>
      </c>
      <c r="I814" s="1">
        <v>150</v>
      </c>
      <c r="J814" s="1" t="s">
        <v>835</v>
      </c>
      <c r="K814" s="1">
        <v>5</v>
      </c>
      <c r="L814" s="1">
        <f t="shared" si="12"/>
        <v>750</v>
      </c>
      <c r="M814" s="1" t="s">
        <v>38</v>
      </c>
      <c r="N814" s="1"/>
      <c r="O814" s="12" t="str">
        <f>IF($J814=Sheet2!$A$2, ROW(), "")</f>
        <v/>
      </c>
      <c r="Q814" s="23" t="s">
        <v>2795</v>
      </c>
    </row>
    <row r="815" spans="1:17" ht="14" customHeight="1" x14ac:dyDescent="0.3">
      <c r="A815" s="1" t="s">
        <v>1216</v>
      </c>
      <c r="B815" s="1">
        <v>26</v>
      </c>
      <c r="C815" s="1" t="s">
        <v>1161</v>
      </c>
      <c r="D815" s="1"/>
      <c r="E815" s="1"/>
      <c r="F815" s="1">
        <v>126</v>
      </c>
      <c r="G815" s="1">
        <v>126</v>
      </c>
      <c r="H815" s="1" t="s">
        <v>969</v>
      </c>
      <c r="I815" s="1">
        <v>130</v>
      </c>
      <c r="J815" s="1" t="s">
        <v>1783</v>
      </c>
      <c r="K815" s="1">
        <v>5</v>
      </c>
      <c r="L815" s="1">
        <f t="shared" si="12"/>
        <v>650</v>
      </c>
      <c r="M815" s="1" t="s">
        <v>38</v>
      </c>
      <c r="N815" s="1"/>
      <c r="O815" s="12" t="str">
        <f>IF($J815=Sheet2!$A$2, ROW(), "")</f>
        <v/>
      </c>
      <c r="Q815" s="23" t="s">
        <v>2796</v>
      </c>
    </row>
    <row r="816" spans="1:17" ht="14" customHeight="1" x14ac:dyDescent="0.3">
      <c r="A816" s="1" t="s">
        <v>1217</v>
      </c>
      <c r="B816" s="1">
        <v>22</v>
      </c>
      <c r="C816" s="1" t="s">
        <v>590</v>
      </c>
      <c r="D816" s="1"/>
      <c r="E816" s="1"/>
      <c r="F816" s="1">
        <v>131</v>
      </c>
      <c r="G816" s="1">
        <v>146</v>
      </c>
      <c r="H816" s="1" t="s">
        <v>939</v>
      </c>
      <c r="I816" s="1">
        <v>150</v>
      </c>
      <c r="J816" s="1" t="s">
        <v>1717</v>
      </c>
      <c r="K816" s="1">
        <v>6.5</v>
      </c>
      <c r="L816" s="1">
        <f t="shared" si="12"/>
        <v>750</v>
      </c>
      <c r="M816" s="1" t="s">
        <v>38</v>
      </c>
      <c r="N816" s="1"/>
      <c r="O816" s="12" t="str">
        <f>IF($J816=Sheet2!$A$2, ROW(), "")</f>
        <v/>
      </c>
      <c r="Q816" s="23" t="s">
        <v>2797</v>
      </c>
    </row>
    <row r="817" spans="1:17" ht="14" customHeight="1" x14ac:dyDescent="0.3">
      <c r="A817" s="1" t="s">
        <v>1218</v>
      </c>
      <c r="B817" s="1">
        <v>28</v>
      </c>
      <c r="C817" s="1" t="s">
        <v>283</v>
      </c>
      <c r="D817" s="1"/>
      <c r="E817" s="1"/>
      <c r="F817" s="1">
        <v>114</v>
      </c>
      <c r="G817" s="1">
        <v>114</v>
      </c>
      <c r="H817" s="1" t="s">
        <v>317</v>
      </c>
      <c r="I817" s="1">
        <v>100</v>
      </c>
      <c r="J817" s="1" t="s">
        <v>561</v>
      </c>
      <c r="K817" s="1">
        <v>5</v>
      </c>
      <c r="L817" s="1">
        <f t="shared" si="12"/>
        <v>500</v>
      </c>
      <c r="M817" s="1" t="s">
        <v>38</v>
      </c>
      <c r="N817" s="1"/>
      <c r="O817" s="12" t="str">
        <f>IF($J817=Sheet2!$A$2, ROW(), "")</f>
        <v/>
      </c>
      <c r="Q817" s="23" t="s">
        <v>2798</v>
      </c>
    </row>
    <row r="818" spans="1:17" ht="14" customHeight="1" x14ac:dyDescent="0.3">
      <c r="A818" s="1" t="s">
        <v>1219</v>
      </c>
      <c r="B818" s="1">
        <v>27</v>
      </c>
      <c r="C818" s="1" t="s">
        <v>1220</v>
      </c>
      <c r="D818" s="1"/>
      <c r="E818" s="1"/>
      <c r="F818" s="1">
        <v>122</v>
      </c>
      <c r="G818" s="1">
        <v>126</v>
      </c>
      <c r="H818" s="1" t="s">
        <v>1076</v>
      </c>
      <c r="I818" s="1">
        <v>110</v>
      </c>
      <c r="J818" s="1" t="s">
        <v>683</v>
      </c>
      <c r="K818" s="1">
        <v>5</v>
      </c>
      <c r="L818" s="1">
        <f t="shared" si="12"/>
        <v>550</v>
      </c>
      <c r="M818" s="1" t="s">
        <v>38</v>
      </c>
      <c r="N818" s="1"/>
      <c r="O818" s="12" t="str">
        <f>IF($J818=Sheet2!$A$2, ROW(), "")</f>
        <v/>
      </c>
      <c r="Q818" s="23" t="s">
        <v>2799</v>
      </c>
    </row>
    <row r="819" spans="1:17" ht="14" customHeight="1" x14ac:dyDescent="0.3">
      <c r="A819" s="1" t="s">
        <v>1221</v>
      </c>
      <c r="B819" s="1">
        <v>23</v>
      </c>
      <c r="C819" s="1" t="s">
        <v>285</v>
      </c>
      <c r="D819" s="1"/>
      <c r="E819" s="1"/>
      <c r="F819" s="1">
        <v>144</v>
      </c>
      <c r="G819" s="1">
        <v>146</v>
      </c>
      <c r="H819" s="1" t="s">
        <v>317</v>
      </c>
      <c r="I819" s="1">
        <v>110</v>
      </c>
      <c r="J819" s="1" t="s">
        <v>1762</v>
      </c>
      <c r="K819" s="1">
        <v>5</v>
      </c>
      <c r="L819" s="1">
        <f t="shared" si="12"/>
        <v>550</v>
      </c>
      <c r="M819" s="1" t="s">
        <v>38</v>
      </c>
      <c r="N819" s="1"/>
      <c r="O819" s="12" t="str">
        <f>IF($J819=Sheet2!$A$2, ROW(), "")</f>
        <v/>
      </c>
      <c r="Q819" s="23" t="s">
        <v>2800</v>
      </c>
    </row>
    <row r="820" spans="1:17" ht="14" customHeight="1" x14ac:dyDescent="0.3">
      <c r="A820" s="1" t="s">
        <v>1222</v>
      </c>
      <c r="B820" s="1">
        <v>33</v>
      </c>
      <c r="C820" s="1" t="s">
        <v>1151</v>
      </c>
      <c r="D820" s="1"/>
      <c r="E820" s="1"/>
      <c r="F820" s="1">
        <v>114</v>
      </c>
      <c r="G820" s="1">
        <v>118</v>
      </c>
      <c r="H820" s="1" t="s">
        <v>277</v>
      </c>
      <c r="I820" s="1">
        <v>110</v>
      </c>
      <c r="J820" s="1" t="s">
        <v>238</v>
      </c>
      <c r="K820" s="1">
        <v>5</v>
      </c>
      <c r="L820" s="1">
        <f t="shared" si="12"/>
        <v>550</v>
      </c>
      <c r="M820" s="1" t="s">
        <v>38</v>
      </c>
      <c r="N820" s="1"/>
      <c r="O820" s="12" t="str">
        <f>IF($J820=Sheet2!$A$2, ROW(), "")</f>
        <v/>
      </c>
      <c r="Q820" s="23" t="s">
        <v>2801</v>
      </c>
    </row>
    <row r="821" spans="1:17" ht="14" customHeight="1" x14ac:dyDescent="0.3">
      <c r="A821" s="1" t="s">
        <v>1223</v>
      </c>
      <c r="B821" s="1">
        <v>31</v>
      </c>
      <c r="C821" s="1" t="s">
        <v>1224</v>
      </c>
      <c r="D821" s="1"/>
      <c r="E821" s="1"/>
      <c r="F821" s="1">
        <v>120</v>
      </c>
      <c r="G821" s="1">
        <v>126</v>
      </c>
      <c r="H821" s="1" t="s">
        <v>326</v>
      </c>
      <c r="I821" s="1">
        <v>170</v>
      </c>
      <c r="J821" s="1" t="s">
        <v>1932</v>
      </c>
      <c r="K821" s="1">
        <v>6</v>
      </c>
      <c r="L821" s="1">
        <f t="shared" si="12"/>
        <v>850</v>
      </c>
      <c r="M821" s="1" t="s">
        <v>38</v>
      </c>
      <c r="N821" s="1"/>
      <c r="O821" s="12" t="str">
        <f>IF($J821=Sheet2!$A$2, ROW(), "")</f>
        <v/>
      </c>
      <c r="Q821" s="23" t="s">
        <v>2802</v>
      </c>
    </row>
    <row r="822" spans="1:17" ht="14" customHeight="1" x14ac:dyDescent="0.3">
      <c r="A822" s="1" t="s">
        <v>1225</v>
      </c>
      <c r="B822" s="1">
        <v>29</v>
      </c>
      <c r="C822" s="1" t="s">
        <v>1161</v>
      </c>
      <c r="D822" s="1"/>
      <c r="E822" s="1"/>
      <c r="F822" s="1">
        <v>120</v>
      </c>
      <c r="G822" s="1">
        <v>126</v>
      </c>
      <c r="H822" s="1" t="s">
        <v>761</v>
      </c>
      <c r="I822" s="1">
        <v>170</v>
      </c>
      <c r="J822" s="1" t="s">
        <v>1783</v>
      </c>
      <c r="K822" s="1">
        <v>5</v>
      </c>
      <c r="L822" s="1">
        <f t="shared" si="12"/>
        <v>850</v>
      </c>
      <c r="M822" s="1" t="s">
        <v>38</v>
      </c>
      <c r="N822" s="1"/>
      <c r="O822" s="12" t="str">
        <f>IF($J822=Sheet2!$A$2, ROW(), "")</f>
        <v/>
      </c>
      <c r="Q822" s="23" t="s">
        <v>2803</v>
      </c>
    </row>
    <row r="823" spans="1:17" ht="14" customHeight="1" x14ac:dyDescent="0.3">
      <c r="A823" s="1" t="s">
        <v>1226</v>
      </c>
      <c r="B823" s="1">
        <v>26</v>
      </c>
      <c r="C823" s="1" t="s">
        <v>1159</v>
      </c>
      <c r="D823" s="1"/>
      <c r="E823" s="1"/>
      <c r="F823" s="1">
        <v>127</v>
      </c>
      <c r="G823" s="1">
        <v>118</v>
      </c>
      <c r="H823" s="1" t="s">
        <v>1125</v>
      </c>
      <c r="I823" s="1">
        <v>70</v>
      </c>
      <c r="J823" s="1" t="s">
        <v>308</v>
      </c>
      <c r="K823" s="1">
        <v>5</v>
      </c>
      <c r="L823" s="1">
        <f t="shared" si="12"/>
        <v>350</v>
      </c>
      <c r="M823" s="1" t="s">
        <v>38</v>
      </c>
      <c r="N823" s="1"/>
      <c r="O823" s="12" t="str">
        <f>IF($J823=Sheet2!$A$2, ROW(), "")</f>
        <v/>
      </c>
      <c r="Q823" s="23" t="s">
        <v>2804</v>
      </c>
    </row>
    <row r="824" spans="1:17" ht="14" customHeight="1" x14ac:dyDescent="0.3">
      <c r="A824" s="1" t="s">
        <v>1227</v>
      </c>
      <c r="B824" s="1">
        <v>24</v>
      </c>
      <c r="C824" s="1" t="s">
        <v>1228</v>
      </c>
      <c r="D824" s="1"/>
      <c r="E824" s="1"/>
      <c r="F824" s="1">
        <v>110</v>
      </c>
      <c r="G824" s="1">
        <v>126</v>
      </c>
      <c r="H824" s="1" t="s">
        <v>1229</v>
      </c>
      <c r="I824" s="1">
        <v>160</v>
      </c>
      <c r="J824" s="1" t="s">
        <v>1752</v>
      </c>
      <c r="K824" s="1">
        <v>5</v>
      </c>
      <c r="L824" s="1">
        <f t="shared" si="12"/>
        <v>800</v>
      </c>
      <c r="M824" s="1" t="s">
        <v>38</v>
      </c>
      <c r="N824" s="1"/>
      <c r="O824" s="12" t="str">
        <f>IF($J824=Sheet2!$A$2, ROW(), "")</f>
        <v/>
      </c>
      <c r="Q824" s="23" t="s">
        <v>2805</v>
      </c>
    </row>
    <row r="825" spans="1:17" ht="14" customHeight="1" x14ac:dyDescent="0.3">
      <c r="A825" s="1" t="s">
        <v>1230</v>
      </c>
      <c r="B825" s="1">
        <v>26</v>
      </c>
      <c r="C825" s="1" t="s">
        <v>283</v>
      </c>
      <c r="D825" s="1"/>
      <c r="E825" s="1"/>
      <c r="F825" s="1">
        <v>131</v>
      </c>
      <c r="G825" s="1">
        <v>134</v>
      </c>
      <c r="H825" s="1" t="s">
        <v>277</v>
      </c>
      <c r="I825" s="1">
        <v>120</v>
      </c>
      <c r="J825" s="1" t="s">
        <v>308</v>
      </c>
      <c r="K825" s="1">
        <v>6</v>
      </c>
      <c r="L825" s="1">
        <f t="shared" si="12"/>
        <v>600</v>
      </c>
      <c r="M825" s="1" t="s">
        <v>38</v>
      </c>
      <c r="N825" s="1"/>
      <c r="O825" s="12" t="str">
        <f>IF($J825=Sheet2!$A$2, ROW(), "")</f>
        <v/>
      </c>
      <c r="Q825" s="23" t="s">
        <v>2806</v>
      </c>
    </row>
    <row r="826" spans="1:17" ht="14" customHeight="1" x14ac:dyDescent="0.3">
      <c r="A826" s="1" t="s">
        <v>1231</v>
      </c>
      <c r="B826" s="1">
        <v>21</v>
      </c>
      <c r="C826" s="1" t="s">
        <v>1232</v>
      </c>
      <c r="D826" s="1"/>
      <c r="E826" s="1"/>
      <c r="F826" s="1">
        <v>127</v>
      </c>
      <c r="G826" s="1">
        <v>130</v>
      </c>
      <c r="H826" s="1" t="s">
        <v>1102</v>
      </c>
      <c r="I826" s="1">
        <v>40</v>
      </c>
      <c r="J826" s="1" t="s">
        <v>1932</v>
      </c>
      <c r="K826" s="1">
        <v>6</v>
      </c>
      <c r="L826" s="1">
        <f t="shared" si="12"/>
        <v>200</v>
      </c>
      <c r="M826" s="1" t="s">
        <v>38</v>
      </c>
      <c r="N826" s="1"/>
      <c r="O826" s="12" t="str">
        <f>IF($J826=Sheet2!$A$2, ROW(), "")</f>
        <v/>
      </c>
      <c r="Q826" s="23" t="s">
        <v>2807</v>
      </c>
    </row>
    <row r="827" spans="1:17" ht="14" customHeight="1" x14ac:dyDescent="0.3">
      <c r="A827" s="1" t="s">
        <v>1233</v>
      </c>
      <c r="B827" s="1">
        <v>21</v>
      </c>
      <c r="C827" s="1" t="s">
        <v>1063</v>
      </c>
      <c r="D827" s="1"/>
      <c r="E827" s="1"/>
      <c r="F827" s="1">
        <v>123</v>
      </c>
      <c r="G827" s="1">
        <v>140</v>
      </c>
      <c r="H827" s="1" t="s">
        <v>1234</v>
      </c>
      <c r="I827" s="1">
        <v>40</v>
      </c>
      <c r="J827" s="1" t="s">
        <v>3231</v>
      </c>
      <c r="K827" s="1">
        <v>5</v>
      </c>
      <c r="L827" s="1">
        <f t="shared" si="12"/>
        <v>200</v>
      </c>
      <c r="M827" s="1" t="s">
        <v>38</v>
      </c>
      <c r="N827" s="1"/>
      <c r="O827" s="12" t="str">
        <f>IF($J827=Sheet2!$A$2, ROW(), "")</f>
        <v/>
      </c>
      <c r="Q827" s="23" t="s">
        <v>2808</v>
      </c>
    </row>
    <row r="828" spans="1:17" ht="14" customHeight="1" x14ac:dyDescent="0.3">
      <c r="A828" s="1" t="s">
        <v>1235</v>
      </c>
      <c r="B828" s="1">
        <v>27</v>
      </c>
      <c r="C828" s="1" t="s">
        <v>642</v>
      </c>
      <c r="D828" s="1"/>
      <c r="E828" s="1"/>
      <c r="F828" s="1">
        <v>130</v>
      </c>
      <c r="G828" s="1">
        <v>142</v>
      </c>
      <c r="H828" s="1" t="s">
        <v>550</v>
      </c>
      <c r="I828" s="1">
        <v>180</v>
      </c>
      <c r="J828" s="1" t="s">
        <v>1718</v>
      </c>
      <c r="K828" s="1">
        <v>5</v>
      </c>
      <c r="L828" s="1">
        <f t="shared" si="12"/>
        <v>900</v>
      </c>
      <c r="M828" s="1" t="s">
        <v>38</v>
      </c>
      <c r="N828" s="1"/>
      <c r="O828" s="12" t="str">
        <f>IF($J828=Sheet2!$A$2, ROW(), "")</f>
        <v/>
      </c>
      <c r="Q828" s="23" t="s">
        <v>2809</v>
      </c>
    </row>
    <row r="829" spans="1:17" ht="14" customHeight="1" x14ac:dyDescent="0.3">
      <c r="A829" s="1" t="s">
        <v>1236</v>
      </c>
      <c r="B829" s="1">
        <v>30</v>
      </c>
      <c r="C829" s="1" t="s">
        <v>1063</v>
      </c>
      <c r="D829" s="1"/>
      <c r="E829" s="1"/>
      <c r="F829" s="1">
        <v>110</v>
      </c>
      <c r="G829" s="1">
        <v>116</v>
      </c>
      <c r="H829" s="1" t="s">
        <v>1</v>
      </c>
      <c r="I829" s="1">
        <v>40</v>
      </c>
      <c r="J829" s="1" t="s">
        <v>1763</v>
      </c>
      <c r="K829" s="1">
        <v>5</v>
      </c>
      <c r="L829" s="1">
        <f t="shared" si="12"/>
        <v>200</v>
      </c>
      <c r="M829" s="1" t="s">
        <v>98</v>
      </c>
      <c r="N829" s="1"/>
      <c r="O829" s="12">
        <f>IF($J829=Sheet2!$A$2, ROW(), "")</f>
        <v>829</v>
      </c>
      <c r="Q829" s="23" t="s">
        <v>2810</v>
      </c>
    </row>
    <row r="830" spans="1:17" ht="14" customHeight="1" x14ac:dyDescent="0.3">
      <c r="A830" s="1" t="s">
        <v>1237</v>
      </c>
      <c r="B830" s="1">
        <v>37</v>
      </c>
      <c r="C830" s="1" t="s">
        <v>283</v>
      </c>
      <c r="D830" s="1"/>
      <c r="E830" s="1"/>
      <c r="F830" s="1">
        <v>113</v>
      </c>
      <c r="G830" s="1">
        <v>120</v>
      </c>
      <c r="H830" s="1" t="s">
        <v>545</v>
      </c>
      <c r="I830" s="1">
        <v>40</v>
      </c>
      <c r="J830" s="1" t="s">
        <v>683</v>
      </c>
      <c r="K830" s="1">
        <v>5</v>
      </c>
      <c r="L830" s="1">
        <f t="shared" si="12"/>
        <v>200</v>
      </c>
      <c r="M830" s="1" t="s">
        <v>98</v>
      </c>
      <c r="N830" s="1"/>
      <c r="O830" s="12" t="str">
        <f>IF($J830=Sheet2!$A$2, ROW(), "")</f>
        <v/>
      </c>
      <c r="Q830" s="23" t="s">
        <v>2811</v>
      </c>
    </row>
    <row r="831" spans="1:17" ht="14" customHeight="1" x14ac:dyDescent="0.3">
      <c r="A831" s="1" t="s">
        <v>1238</v>
      </c>
      <c r="B831" s="1">
        <v>34</v>
      </c>
      <c r="C831" s="1" t="s">
        <v>611</v>
      </c>
      <c r="D831" s="1"/>
      <c r="E831" s="1"/>
      <c r="F831" s="1">
        <v>120</v>
      </c>
      <c r="G831" s="1">
        <v>142</v>
      </c>
      <c r="H831" s="1" t="s">
        <v>277</v>
      </c>
      <c r="I831" s="1">
        <v>200</v>
      </c>
      <c r="J831" s="1" t="s">
        <v>520</v>
      </c>
      <c r="K831" s="1">
        <v>5</v>
      </c>
      <c r="L831" s="1">
        <f t="shared" si="12"/>
        <v>1000</v>
      </c>
      <c r="M831" s="1" t="s">
        <v>38</v>
      </c>
      <c r="N831" s="1"/>
      <c r="O831" s="12" t="str">
        <f>IF($J831=Sheet2!$A$2, ROW(), "")</f>
        <v/>
      </c>
      <c r="Q831" s="23" t="s">
        <v>2812</v>
      </c>
    </row>
    <row r="832" spans="1:17" ht="14" customHeight="1" x14ac:dyDescent="0.3">
      <c r="A832" s="1" t="s">
        <v>1239</v>
      </c>
      <c r="B832" s="1">
        <v>21</v>
      </c>
      <c r="C832" s="1" t="s">
        <v>1063</v>
      </c>
      <c r="D832" s="1"/>
      <c r="E832" s="1"/>
      <c r="F832" s="1">
        <v>121</v>
      </c>
      <c r="G832" s="1">
        <v>140</v>
      </c>
      <c r="H832" s="1" t="s">
        <v>1064</v>
      </c>
      <c r="I832" s="1">
        <v>40</v>
      </c>
      <c r="J832" s="1" t="s">
        <v>1977</v>
      </c>
      <c r="K832" s="1">
        <v>5</v>
      </c>
      <c r="L832" s="1">
        <f t="shared" si="12"/>
        <v>200</v>
      </c>
      <c r="M832" s="1" t="s">
        <v>98</v>
      </c>
      <c r="N832" s="1"/>
      <c r="O832" s="12" t="str">
        <f>IF($J832=Sheet2!$A$2, ROW(), "")</f>
        <v/>
      </c>
      <c r="Q832" s="23" t="s">
        <v>2813</v>
      </c>
    </row>
    <row r="833" spans="1:17" ht="14" customHeight="1" x14ac:dyDescent="0.3">
      <c r="A833" s="1" t="s">
        <v>1240</v>
      </c>
      <c r="B833" s="1">
        <v>21</v>
      </c>
      <c r="C833" s="1" t="s">
        <v>1063</v>
      </c>
      <c r="D833" s="1"/>
      <c r="E833" s="1"/>
      <c r="F833" s="1">
        <v>126</v>
      </c>
      <c r="G833" s="1">
        <v>160</v>
      </c>
      <c r="H833" s="1" t="s">
        <v>1</v>
      </c>
      <c r="I833" s="1">
        <v>200</v>
      </c>
      <c r="J833" s="1" t="s">
        <v>1888</v>
      </c>
      <c r="K833" s="1">
        <v>7</v>
      </c>
      <c r="L833" s="1">
        <f t="shared" si="12"/>
        <v>1000</v>
      </c>
      <c r="M833" s="1" t="s">
        <v>38</v>
      </c>
      <c r="N833" s="1"/>
      <c r="O833" s="12" t="str">
        <f>IF($J833=Sheet2!$A$2, ROW(), "")</f>
        <v/>
      </c>
      <c r="Q833" s="23" t="s">
        <v>2814</v>
      </c>
    </row>
    <row r="834" spans="1:17" ht="14" customHeight="1" x14ac:dyDescent="0.3">
      <c r="A834" s="1" t="s">
        <v>1241</v>
      </c>
      <c r="B834" s="1">
        <v>26</v>
      </c>
      <c r="C834" s="1" t="s">
        <v>1148</v>
      </c>
      <c r="D834" s="1"/>
      <c r="E834" s="1"/>
      <c r="F834" s="1">
        <v>128</v>
      </c>
      <c r="G834" s="1">
        <v>135</v>
      </c>
      <c r="H834" s="1" t="s">
        <v>317</v>
      </c>
      <c r="I834" s="1">
        <v>170</v>
      </c>
      <c r="J834" s="1" t="s">
        <v>1854</v>
      </c>
      <c r="K834" s="1">
        <v>6</v>
      </c>
      <c r="L834" s="1">
        <f t="shared" ref="L834:L897" si="13">I834*5</f>
        <v>850</v>
      </c>
      <c r="M834" s="1" t="s">
        <v>38</v>
      </c>
      <c r="N834" s="1"/>
      <c r="O834" s="12" t="str">
        <f>IF($J834=Sheet2!$A$2, ROW(), "")</f>
        <v/>
      </c>
      <c r="Q834" s="23" t="s">
        <v>2815</v>
      </c>
    </row>
    <row r="835" spans="1:17" ht="14" customHeight="1" x14ac:dyDescent="0.3">
      <c r="A835" s="1" t="s">
        <v>1242</v>
      </c>
      <c r="B835" s="1">
        <v>24</v>
      </c>
      <c r="C835" s="1" t="s">
        <v>1200</v>
      </c>
      <c r="D835" s="1"/>
      <c r="E835" s="1"/>
      <c r="F835" s="1">
        <v>128</v>
      </c>
      <c r="G835" s="1">
        <v>128</v>
      </c>
      <c r="H835" s="1" t="s">
        <v>357</v>
      </c>
      <c r="I835" s="1">
        <v>80</v>
      </c>
      <c r="J835" s="1" t="s">
        <v>1932</v>
      </c>
      <c r="K835" s="1">
        <v>5</v>
      </c>
      <c r="L835" s="1">
        <f t="shared" si="13"/>
        <v>400</v>
      </c>
      <c r="M835" s="1" t="s">
        <v>38</v>
      </c>
      <c r="N835" s="1"/>
      <c r="O835" s="12" t="str">
        <f>IF($J835=Sheet2!$A$2, ROW(), "")</f>
        <v/>
      </c>
      <c r="Q835" s="23" t="s">
        <v>2816</v>
      </c>
    </row>
    <row r="836" spans="1:17" ht="14" customHeight="1" x14ac:dyDescent="0.3">
      <c r="A836" s="1" t="s">
        <v>1243</v>
      </c>
      <c r="B836" s="1">
        <v>26</v>
      </c>
      <c r="C836" s="1" t="s">
        <v>732</v>
      </c>
      <c r="D836" s="1"/>
      <c r="E836" s="1"/>
      <c r="F836" s="1">
        <v>118</v>
      </c>
      <c r="G836" s="1">
        <v>118</v>
      </c>
      <c r="H836" s="1" t="s">
        <v>1244</v>
      </c>
      <c r="I836" s="1">
        <v>30</v>
      </c>
      <c r="J836" s="1" t="s">
        <v>490</v>
      </c>
      <c r="K836" s="1">
        <v>5</v>
      </c>
      <c r="L836" s="1">
        <f t="shared" si="13"/>
        <v>150</v>
      </c>
      <c r="M836" s="1" t="s">
        <v>38</v>
      </c>
      <c r="N836" s="1"/>
      <c r="O836" s="12" t="str">
        <f>IF($J836=Sheet2!$A$2, ROW(), "")</f>
        <v/>
      </c>
      <c r="Q836" s="23" t="s">
        <v>2817</v>
      </c>
    </row>
    <row r="837" spans="1:17" ht="14" customHeight="1" x14ac:dyDescent="0.3">
      <c r="A837" s="1" t="s">
        <v>1245</v>
      </c>
      <c r="B837" s="1">
        <v>29</v>
      </c>
      <c r="C837" s="1" t="s">
        <v>283</v>
      </c>
      <c r="D837" s="1"/>
      <c r="E837" s="1"/>
      <c r="F837" s="1">
        <v>118</v>
      </c>
      <c r="G837" s="1">
        <v>124</v>
      </c>
      <c r="H837" s="1" t="s">
        <v>277</v>
      </c>
      <c r="I837" s="1">
        <v>110</v>
      </c>
      <c r="J837" s="1" t="s">
        <v>490</v>
      </c>
      <c r="K837" s="1">
        <v>5</v>
      </c>
      <c r="L837" s="1">
        <f t="shared" si="13"/>
        <v>550</v>
      </c>
      <c r="M837" s="1" t="s">
        <v>38</v>
      </c>
      <c r="N837" s="1"/>
      <c r="O837" s="12" t="str">
        <f>IF($J837=Sheet2!$A$2, ROW(), "")</f>
        <v/>
      </c>
      <c r="Q837" s="23" t="s">
        <v>2818</v>
      </c>
    </row>
    <row r="838" spans="1:17" ht="14" customHeight="1" x14ac:dyDescent="0.3">
      <c r="A838" s="1" t="s">
        <v>1246</v>
      </c>
      <c r="B838" s="1">
        <v>28</v>
      </c>
      <c r="C838" s="1" t="s">
        <v>283</v>
      </c>
      <c r="D838" s="1"/>
      <c r="E838" s="1"/>
      <c r="F838" s="1">
        <v>116</v>
      </c>
      <c r="G838" s="1">
        <v>118</v>
      </c>
      <c r="H838" s="1" t="s">
        <v>277</v>
      </c>
      <c r="I838" s="1">
        <v>70</v>
      </c>
      <c r="J838" s="1" t="s">
        <v>490</v>
      </c>
      <c r="K838" s="1">
        <v>5</v>
      </c>
      <c r="L838" s="1">
        <f t="shared" si="13"/>
        <v>350</v>
      </c>
      <c r="M838" s="1" t="s">
        <v>98</v>
      </c>
      <c r="N838" s="1"/>
      <c r="O838" s="12" t="str">
        <f>IF($J838=Sheet2!$A$2, ROW(), "")</f>
        <v/>
      </c>
      <c r="Q838" s="23" t="s">
        <v>2819</v>
      </c>
    </row>
    <row r="839" spans="1:17" ht="14" customHeight="1" x14ac:dyDescent="0.3">
      <c r="A839" s="1" t="s">
        <v>1247</v>
      </c>
      <c r="B839" s="1">
        <v>30</v>
      </c>
      <c r="C839" s="1" t="s">
        <v>283</v>
      </c>
      <c r="D839" s="1"/>
      <c r="E839" s="1"/>
      <c r="F839" s="1">
        <v>110</v>
      </c>
      <c r="G839" s="1">
        <v>116</v>
      </c>
      <c r="H839" s="1" t="s">
        <v>1244</v>
      </c>
      <c r="I839" s="1">
        <v>65</v>
      </c>
      <c r="J839" s="1" t="s">
        <v>490</v>
      </c>
      <c r="K839" s="1">
        <v>4.5</v>
      </c>
      <c r="L839" s="1">
        <f t="shared" si="13"/>
        <v>325</v>
      </c>
      <c r="M839" s="1" t="s">
        <v>98</v>
      </c>
      <c r="N839" s="1"/>
      <c r="O839" s="12" t="str">
        <f>IF($J839=Sheet2!$A$2, ROW(), "")</f>
        <v/>
      </c>
      <c r="Q839" s="23" t="s">
        <v>2820</v>
      </c>
    </row>
    <row r="840" spans="1:17" ht="14" customHeight="1" x14ac:dyDescent="0.3">
      <c r="A840" s="1" t="s">
        <v>1248</v>
      </c>
      <c r="B840" s="1">
        <v>33</v>
      </c>
      <c r="C840" s="1" t="s">
        <v>1159</v>
      </c>
      <c r="D840" s="1"/>
      <c r="E840" s="1"/>
      <c r="F840" s="1">
        <v>116</v>
      </c>
      <c r="G840" s="1">
        <v>126</v>
      </c>
      <c r="H840" s="1" t="s">
        <v>340</v>
      </c>
      <c r="I840" s="1">
        <v>80</v>
      </c>
      <c r="J840" s="1" t="s">
        <v>490</v>
      </c>
      <c r="K840" s="1">
        <v>5</v>
      </c>
      <c r="L840" s="1">
        <f t="shared" si="13"/>
        <v>400</v>
      </c>
      <c r="M840" s="1" t="s">
        <v>38</v>
      </c>
      <c r="N840" s="1"/>
      <c r="O840" s="12" t="str">
        <f>IF($J840=Sheet2!$A$2, ROW(), "")</f>
        <v/>
      </c>
      <c r="Q840" s="23" t="s">
        <v>2821</v>
      </c>
    </row>
    <row r="841" spans="1:17" ht="14" customHeight="1" x14ac:dyDescent="0.3">
      <c r="A841" s="1" t="s">
        <v>1249</v>
      </c>
      <c r="B841" s="1">
        <v>20</v>
      </c>
      <c r="C841" s="1" t="s">
        <v>1110</v>
      </c>
      <c r="D841" s="1"/>
      <c r="E841" s="1"/>
      <c r="F841" s="1">
        <v>130</v>
      </c>
      <c r="G841" s="1">
        <v>150</v>
      </c>
      <c r="H841" s="1" t="s">
        <v>251</v>
      </c>
      <c r="I841" s="1">
        <v>190</v>
      </c>
      <c r="J841" s="1" t="s">
        <v>1718</v>
      </c>
      <c r="K841" s="1">
        <v>5</v>
      </c>
      <c r="L841" s="1">
        <f t="shared" si="13"/>
        <v>950</v>
      </c>
      <c r="M841" s="1" t="s">
        <v>38</v>
      </c>
      <c r="N841" s="1"/>
      <c r="O841" s="12" t="str">
        <f>IF($J841=Sheet2!$A$2, ROW(), "")</f>
        <v/>
      </c>
      <c r="Q841" s="23" t="s">
        <v>2822</v>
      </c>
    </row>
    <row r="842" spans="1:17" ht="14" customHeight="1" x14ac:dyDescent="0.3">
      <c r="A842" s="1" t="s">
        <v>1250</v>
      </c>
      <c r="B842" s="1">
        <v>33</v>
      </c>
      <c r="C842" s="1" t="s">
        <v>1251</v>
      </c>
      <c r="D842" s="1"/>
      <c r="E842" s="1"/>
      <c r="F842" s="1">
        <v>110</v>
      </c>
      <c r="G842" s="1">
        <v>142</v>
      </c>
      <c r="H842" s="1" t="s">
        <v>969</v>
      </c>
      <c r="I842" s="1">
        <v>100</v>
      </c>
      <c r="J842" s="1" t="s">
        <v>264</v>
      </c>
      <c r="K842" s="1">
        <v>5</v>
      </c>
      <c r="L842" s="1">
        <f t="shared" si="13"/>
        <v>500</v>
      </c>
      <c r="M842" s="1" t="s">
        <v>38</v>
      </c>
      <c r="N842" s="1"/>
      <c r="O842" s="12" t="str">
        <f>IF($J842=Sheet2!$A$2, ROW(), "")</f>
        <v/>
      </c>
      <c r="Q842" s="23" t="s">
        <v>2823</v>
      </c>
    </row>
    <row r="843" spans="1:17" ht="14" customHeight="1" x14ac:dyDescent="0.3">
      <c r="A843" s="1" t="s">
        <v>1252</v>
      </c>
      <c r="B843" s="1">
        <v>21</v>
      </c>
      <c r="C843" s="1" t="s">
        <v>1110</v>
      </c>
      <c r="D843" s="1"/>
      <c r="E843" s="1"/>
      <c r="F843" s="1">
        <v>144</v>
      </c>
      <c r="G843" s="1">
        <v>150</v>
      </c>
      <c r="H843" s="1" t="s">
        <v>1102</v>
      </c>
      <c r="I843" s="1">
        <v>150</v>
      </c>
      <c r="J843" s="1" t="s">
        <v>1762</v>
      </c>
      <c r="K843" s="1">
        <v>5</v>
      </c>
      <c r="L843" s="1">
        <f t="shared" si="13"/>
        <v>750</v>
      </c>
      <c r="M843" s="1" t="s">
        <v>38</v>
      </c>
      <c r="N843" s="1"/>
      <c r="O843" s="12" t="str">
        <f>IF($J843=Sheet2!$A$2, ROW(), "")</f>
        <v/>
      </c>
      <c r="Q843" s="23" t="s">
        <v>2824</v>
      </c>
    </row>
    <row r="844" spans="1:17" ht="14" customHeight="1" x14ac:dyDescent="0.3">
      <c r="A844" s="1" t="s">
        <v>1253</v>
      </c>
      <c r="B844" s="1">
        <v>27</v>
      </c>
      <c r="C844" s="1" t="s">
        <v>283</v>
      </c>
      <c r="D844" s="1"/>
      <c r="E844" s="1"/>
      <c r="F844" s="1">
        <v>112</v>
      </c>
      <c r="G844" s="1">
        <v>112</v>
      </c>
      <c r="H844" s="1" t="s">
        <v>353</v>
      </c>
      <c r="I844" s="1">
        <v>50</v>
      </c>
      <c r="J844" s="1" t="s">
        <v>264</v>
      </c>
      <c r="K844" s="1">
        <v>5</v>
      </c>
      <c r="L844" s="1">
        <f t="shared" si="13"/>
        <v>250</v>
      </c>
      <c r="M844" s="1" t="s">
        <v>98</v>
      </c>
      <c r="N844" s="1"/>
      <c r="O844" s="12" t="str">
        <f>IF($J844=Sheet2!$A$2, ROW(), "")</f>
        <v/>
      </c>
      <c r="Q844" s="23" t="s">
        <v>2825</v>
      </c>
    </row>
    <row r="845" spans="1:17" ht="14" customHeight="1" x14ac:dyDescent="0.3">
      <c r="A845" s="1" t="s">
        <v>1254</v>
      </c>
      <c r="B845" s="1">
        <v>33</v>
      </c>
      <c r="C845" s="1" t="s">
        <v>1161</v>
      </c>
      <c r="D845" s="1"/>
      <c r="E845" s="1"/>
      <c r="F845" s="1">
        <v>116</v>
      </c>
      <c r="G845" s="1">
        <v>120</v>
      </c>
      <c r="H845" s="1" t="s">
        <v>1</v>
      </c>
      <c r="I845" s="1">
        <v>80</v>
      </c>
      <c r="J845" s="1" t="s">
        <v>130</v>
      </c>
      <c r="K845" s="1">
        <v>5</v>
      </c>
      <c r="L845" s="1">
        <f t="shared" si="13"/>
        <v>400</v>
      </c>
      <c r="M845" s="1" t="s">
        <v>38</v>
      </c>
      <c r="N845" s="1"/>
      <c r="O845" s="12" t="str">
        <f>IF($J845=Sheet2!$A$2, ROW(), "")</f>
        <v/>
      </c>
      <c r="Q845" s="23" t="s">
        <v>2826</v>
      </c>
    </row>
    <row r="846" spans="1:17" ht="14" customHeight="1" x14ac:dyDescent="0.3">
      <c r="A846" s="1" t="s">
        <v>1255</v>
      </c>
      <c r="B846" s="1">
        <v>26</v>
      </c>
      <c r="C846" s="1" t="s">
        <v>283</v>
      </c>
      <c r="D846" s="1"/>
      <c r="E846" s="1"/>
      <c r="F846" s="1">
        <v>130</v>
      </c>
      <c r="G846" s="1">
        <v>130</v>
      </c>
      <c r="H846" s="1" t="s">
        <v>1106</v>
      </c>
      <c r="I846" s="1">
        <v>180</v>
      </c>
      <c r="J846" s="1" t="s">
        <v>264</v>
      </c>
      <c r="K846" s="1">
        <v>5</v>
      </c>
      <c r="L846" s="1">
        <f t="shared" si="13"/>
        <v>900</v>
      </c>
      <c r="M846" s="1" t="s">
        <v>38</v>
      </c>
      <c r="N846" s="1"/>
      <c r="O846" s="12" t="str">
        <f>IF($J846=Sheet2!$A$2, ROW(), "")</f>
        <v/>
      </c>
      <c r="Q846" s="23" t="s">
        <v>2827</v>
      </c>
    </row>
    <row r="847" spans="1:17" ht="14" customHeight="1" x14ac:dyDescent="0.3">
      <c r="A847" s="1" t="s">
        <v>1256</v>
      </c>
      <c r="B847" s="1">
        <v>32</v>
      </c>
      <c r="C847" s="1" t="s">
        <v>1159</v>
      </c>
      <c r="D847" s="1"/>
      <c r="E847" s="1"/>
      <c r="F847" s="1">
        <v>120</v>
      </c>
      <c r="G847" s="1">
        <v>130</v>
      </c>
      <c r="H847" s="1" t="s">
        <v>260</v>
      </c>
      <c r="I847" s="1">
        <v>180</v>
      </c>
      <c r="J847" s="1" t="s">
        <v>308</v>
      </c>
      <c r="K847" s="1">
        <v>5</v>
      </c>
      <c r="L847" s="1">
        <f t="shared" si="13"/>
        <v>900</v>
      </c>
      <c r="M847" s="1" t="s">
        <v>38</v>
      </c>
      <c r="N847" s="1"/>
      <c r="O847" s="12" t="str">
        <f>IF($J847=Sheet2!$A$2, ROW(), "")</f>
        <v/>
      </c>
      <c r="Q847" s="23" t="s">
        <v>2828</v>
      </c>
    </row>
    <row r="848" spans="1:17" ht="14" customHeight="1" x14ac:dyDescent="0.3">
      <c r="A848" s="1" t="s">
        <v>1257</v>
      </c>
      <c r="B848" s="1">
        <v>28</v>
      </c>
      <c r="C848" s="1" t="s">
        <v>1153</v>
      </c>
      <c r="D848" s="1"/>
      <c r="E848" s="1"/>
      <c r="F848" s="1">
        <v>120</v>
      </c>
      <c r="G848" s="1">
        <v>120</v>
      </c>
      <c r="H848" s="1" t="s">
        <v>709</v>
      </c>
      <c r="I848" s="1">
        <v>60</v>
      </c>
      <c r="J848" s="1" t="s">
        <v>130</v>
      </c>
      <c r="K848" s="1">
        <v>5</v>
      </c>
      <c r="L848" s="1">
        <f t="shared" si="13"/>
        <v>300</v>
      </c>
      <c r="M848" s="1" t="s">
        <v>38</v>
      </c>
      <c r="N848" s="1"/>
      <c r="O848" s="12" t="str">
        <f>IF($J848=Sheet2!$A$2, ROW(), "")</f>
        <v/>
      </c>
      <c r="Q848" s="23" t="s">
        <v>2829</v>
      </c>
    </row>
    <row r="849" spans="1:17" ht="14" customHeight="1" x14ac:dyDescent="0.3">
      <c r="A849" s="1" t="s">
        <v>1258</v>
      </c>
      <c r="B849" s="1">
        <v>30</v>
      </c>
      <c r="C849" s="1" t="s">
        <v>1159</v>
      </c>
      <c r="D849" s="1"/>
      <c r="E849" s="1"/>
      <c r="F849" s="1">
        <v>118</v>
      </c>
      <c r="G849" s="1">
        <v>130</v>
      </c>
      <c r="H849" s="1" t="s">
        <v>674</v>
      </c>
      <c r="I849" s="1">
        <v>90</v>
      </c>
      <c r="J849" s="1" t="s">
        <v>130</v>
      </c>
      <c r="K849" s="1">
        <v>5</v>
      </c>
      <c r="L849" s="1">
        <f t="shared" si="13"/>
        <v>450</v>
      </c>
      <c r="M849" s="1" t="s">
        <v>38</v>
      </c>
      <c r="N849" s="1"/>
      <c r="O849" s="12" t="str">
        <f>IF($J849=Sheet2!$A$2, ROW(), "")</f>
        <v/>
      </c>
      <c r="Q849" s="23" t="s">
        <v>2830</v>
      </c>
    </row>
    <row r="850" spans="1:17" ht="14" customHeight="1" x14ac:dyDescent="0.3">
      <c r="A850" s="1" t="s">
        <v>1259</v>
      </c>
      <c r="B850" s="1">
        <v>23</v>
      </c>
      <c r="C850" s="1" t="s">
        <v>592</v>
      </c>
      <c r="D850" s="1"/>
      <c r="E850" s="1"/>
      <c r="F850" s="1">
        <v>139</v>
      </c>
      <c r="G850" s="1">
        <v>146</v>
      </c>
      <c r="H850" s="1" t="s">
        <v>307</v>
      </c>
      <c r="I850" s="1">
        <v>180</v>
      </c>
      <c r="J850" s="1" t="s">
        <v>1762</v>
      </c>
      <c r="K850" s="1">
        <v>5</v>
      </c>
      <c r="L850" s="1">
        <f t="shared" si="13"/>
        <v>900</v>
      </c>
      <c r="M850" s="1" t="s">
        <v>38</v>
      </c>
      <c r="N850" s="1"/>
      <c r="O850" s="12" t="str">
        <f>IF($J850=Sheet2!$A$2, ROW(), "")</f>
        <v/>
      </c>
      <c r="Q850" s="23" t="s">
        <v>2831</v>
      </c>
    </row>
    <row r="851" spans="1:17" ht="14" customHeight="1" x14ac:dyDescent="0.3">
      <c r="A851" s="1" t="s">
        <v>1260</v>
      </c>
      <c r="B851" s="1">
        <v>34</v>
      </c>
      <c r="C851" s="1" t="s">
        <v>1159</v>
      </c>
      <c r="D851" s="1"/>
      <c r="E851" s="1"/>
      <c r="F851" s="1">
        <v>118</v>
      </c>
      <c r="G851" s="1">
        <v>130</v>
      </c>
      <c r="H851" s="1" t="s">
        <v>1261</v>
      </c>
      <c r="I851" s="1">
        <v>80</v>
      </c>
      <c r="J851" s="1" t="s">
        <v>3246</v>
      </c>
      <c r="K851" s="1">
        <v>5</v>
      </c>
      <c r="L851" s="1">
        <f t="shared" si="13"/>
        <v>400</v>
      </c>
      <c r="M851" s="1" t="s">
        <v>38</v>
      </c>
      <c r="N851" s="1"/>
      <c r="O851" s="12" t="str">
        <f>IF($J851=Sheet2!$A$2, ROW(), "")</f>
        <v/>
      </c>
      <c r="Q851" s="23" t="s">
        <v>2832</v>
      </c>
    </row>
    <row r="852" spans="1:17" ht="14" customHeight="1" x14ac:dyDescent="0.3">
      <c r="A852" s="1" t="s">
        <v>1171</v>
      </c>
      <c r="B852" s="1">
        <v>34</v>
      </c>
      <c r="C852" s="1" t="s">
        <v>1159</v>
      </c>
      <c r="D852" s="1"/>
      <c r="E852" s="1"/>
      <c r="F852" s="1">
        <v>116</v>
      </c>
      <c r="G852" s="1">
        <v>124</v>
      </c>
      <c r="H852" s="1" t="s">
        <v>1262</v>
      </c>
      <c r="I852" s="1">
        <v>80</v>
      </c>
      <c r="J852" s="1" t="s">
        <v>3246</v>
      </c>
      <c r="K852" s="1">
        <v>5</v>
      </c>
      <c r="L852" s="1">
        <f t="shared" si="13"/>
        <v>400</v>
      </c>
      <c r="M852" s="1" t="s">
        <v>38</v>
      </c>
      <c r="N852" s="1"/>
      <c r="O852" s="12" t="str">
        <f>IF($J852=Sheet2!$A$2, ROW(), "")</f>
        <v/>
      </c>
      <c r="Q852" s="23" t="s">
        <v>2833</v>
      </c>
    </row>
    <row r="853" spans="1:17" ht="14" customHeight="1" x14ac:dyDescent="0.3">
      <c r="A853" s="1" t="s">
        <v>1263</v>
      </c>
      <c r="B853" s="1">
        <v>28</v>
      </c>
      <c r="C853" s="1" t="s">
        <v>1178</v>
      </c>
      <c r="D853" s="1"/>
      <c r="E853" s="1"/>
      <c r="F853" s="1">
        <v>112</v>
      </c>
      <c r="G853" s="1">
        <v>122</v>
      </c>
      <c r="H853" s="1" t="s">
        <v>21</v>
      </c>
      <c r="I853" s="1">
        <v>160</v>
      </c>
      <c r="J853" s="1" t="s">
        <v>1759</v>
      </c>
      <c r="K853" s="1">
        <v>6</v>
      </c>
      <c r="L853" s="1">
        <f t="shared" si="13"/>
        <v>800</v>
      </c>
      <c r="M853" s="1" t="s">
        <v>38</v>
      </c>
      <c r="N853" s="1"/>
      <c r="O853" s="12" t="str">
        <f>IF($J853=Sheet2!$A$2, ROW(), "")</f>
        <v/>
      </c>
      <c r="Q853" s="23" t="s">
        <v>2834</v>
      </c>
    </row>
    <row r="854" spans="1:17" ht="14" customHeight="1" x14ac:dyDescent="0.3">
      <c r="A854" s="1" t="s">
        <v>1264</v>
      </c>
      <c r="B854" s="1">
        <v>23</v>
      </c>
      <c r="C854" s="1" t="s">
        <v>1110</v>
      </c>
      <c r="D854" s="1"/>
      <c r="E854" s="1"/>
      <c r="F854" s="1">
        <v>134</v>
      </c>
      <c r="G854" s="1">
        <v>150</v>
      </c>
      <c r="H854" s="1" t="s">
        <v>1102</v>
      </c>
      <c r="I854" s="1">
        <v>190</v>
      </c>
      <c r="J854" s="1" t="s">
        <v>130</v>
      </c>
      <c r="K854" s="1">
        <v>6.5</v>
      </c>
      <c r="L854" s="1">
        <f t="shared" si="13"/>
        <v>950</v>
      </c>
      <c r="M854" s="1" t="s">
        <v>38</v>
      </c>
      <c r="N854" s="1"/>
      <c r="O854" s="12" t="str">
        <f>IF($J854=Sheet2!$A$2, ROW(), "")</f>
        <v/>
      </c>
      <c r="Q854" s="23" t="s">
        <v>2835</v>
      </c>
    </row>
    <row r="855" spans="1:17" ht="14" customHeight="1" x14ac:dyDescent="0.3">
      <c r="A855" s="1" t="s">
        <v>1265</v>
      </c>
      <c r="B855" s="1">
        <v>31</v>
      </c>
      <c r="C855" s="1" t="s">
        <v>230</v>
      </c>
      <c r="D855" s="1"/>
      <c r="E855" s="1"/>
      <c r="F855" s="1">
        <v>115</v>
      </c>
      <c r="G855" s="1">
        <v>148</v>
      </c>
      <c r="H855" s="1" t="s">
        <v>357</v>
      </c>
      <c r="I855" s="1">
        <v>150</v>
      </c>
      <c r="J855" s="1" t="s">
        <v>238</v>
      </c>
      <c r="K855" s="1">
        <v>5</v>
      </c>
      <c r="L855" s="1">
        <f t="shared" si="13"/>
        <v>750</v>
      </c>
      <c r="M855" s="1" t="s">
        <v>38</v>
      </c>
      <c r="N855" s="1"/>
      <c r="O855" s="12" t="str">
        <f>IF($J855=Sheet2!$A$2, ROW(), "")</f>
        <v/>
      </c>
      <c r="Q855" s="23" t="s">
        <v>2836</v>
      </c>
    </row>
    <row r="856" spans="1:17" ht="14" customHeight="1" x14ac:dyDescent="0.3">
      <c r="A856" s="1" t="s">
        <v>1266</v>
      </c>
      <c r="B856" s="1">
        <v>23</v>
      </c>
      <c r="C856" s="1" t="s">
        <v>285</v>
      </c>
      <c r="D856" s="1"/>
      <c r="E856" s="1"/>
      <c r="F856" s="1">
        <v>140</v>
      </c>
      <c r="G856" s="1">
        <v>140</v>
      </c>
      <c r="H856" s="1" t="s">
        <v>317</v>
      </c>
      <c r="I856" s="1">
        <v>170</v>
      </c>
      <c r="J856" s="1" t="s">
        <v>264</v>
      </c>
      <c r="K856" s="1">
        <v>5</v>
      </c>
      <c r="L856" s="1">
        <f t="shared" si="13"/>
        <v>850</v>
      </c>
      <c r="M856" s="1" t="s">
        <v>38</v>
      </c>
      <c r="N856" s="1"/>
      <c r="O856" s="12" t="str">
        <f>IF($J856=Sheet2!$A$2, ROW(), "")</f>
        <v/>
      </c>
      <c r="Q856" s="23" t="s">
        <v>2837</v>
      </c>
    </row>
    <row r="857" spans="1:17" ht="14" customHeight="1" x14ac:dyDescent="0.3">
      <c r="A857" s="1" t="s">
        <v>1267</v>
      </c>
      <c r="B857" s="1">
        <v>28</v>
      </c>
      <c r="C857" s="1" t="s">
        <v>849</v>
      </c>
      <c r="D857" s="1"/>
      <c r="E857" s="1"/>
      <c r="F857" s="1">
        <v>144</v>
      </c>
      <c r="G857" s="1">
        <v>160</v>
      </c>
      <c r="H857" s="1" t="s">
        <v>1268</v>
      </c>
      <c r="I857" s="1">
        <v>0</v>
      </c>
      <c r="J857" s="1" t="s">
        <v>1762</v>
      </c>
      <c r="K857" s="1"/>
      <c r="L857" s="1">
        <f t="shared" si="13"/>
        <v>0</v>
      </c>
      <c r="M857" s="1"/>
      <c r="N857" s="1"/>
      <c r="O857" s="12" t="str">
        <f>IF($J857=Sheet2!$A$2, ROW(), "")</f>
        <v/>
      </c>
      <c r="Q857" s="23" t="s">
        <v>2838</v>
      </c>
    </row>
    <row r="858" spans="1:17" ht="14" customHeight="1" x14ac:dyDescent="0.3">
      <c r="A858" s="1" t="s">
        <v>1269</v>
      </c>
      <c r="B858" s="1">
        <v>29</v>
      </c>
      <c r="C858" s="1" t="s">
        <v>1270</v>
      </c>
      <c r="D858" s="1"/>
      <c r="E858" s="1"/>
      <c r="F858" s="1">
        <v>135</v>
      </c>
      <c r="G858" s="1">
        <v>150</v>
      </c>
      <c r="H858" s="1" t="s">
        <v>1271</v>
      </c>
      <c r="I858" s="1">
        <v>240</v>
      </c>
      <c r="J858" s="1" t="s">
        <v>1272</v>
      </c>
      <c r="K858" s="1"/>
      <c r="L858" s="1">
        <f t="shared" si="13"/>
        <v>1200</v>
      </c>
      <c r="M858" s="1"/>
      <c r="N858" s="1"/>
      <c r="O858" s="12" t="str">
        <f>IF($J858=Sheet2!$A$2, ROW(), "")</f>
        <v/>
      </c>
      <c r="Q858" s="23" t="s">
        <v>2839</v>
      </c>
    </row>
    <row r="859" spans="1:17" ht="14" customHeight="1" x14ac:dyDescent="0.3">
      <c r="A859" s="1" t="s">
        <v>1273</v>
      </c>
      <c r="B859" s="1">
        <v>30</v>
      </c>
      <c r="C859" s="1" t="s">
        <v>611</v>
      </c>
      <c r="D859" s="1"/>
      <c r="E859" s="1"/>
      <c r="F859" s="1">
        <v>135</v>
      </c>
      <c r="G859" s="1">
        <v>152</v>
      </c>
      <c r="H859" s="1" t="s">
        <v>969</v>
      </c>
      <c r="I859" s="1">
        <v>370</v>
      </c>
      <c r="J859" s="1" t="s">
        <v>1272</v>
      </c>
      <c r="K859" s="1"/>
      <c r="L859" s="1">
        <f t="shared" si="13"/>
        <v>1850</v>
      </c>
      <c r="M859" s="1"/>
      <c r="N859" s="1"/>
      <c r="O859" s="12" t="str">
        <f>IF($J859=Sheet2!$A$2, ROW(), "")</f>
        <v/>
      </c>
      <c r="Q859" s="23" t="s">
        <v>2840</v>
      </c>
    </row>
    <row r="860" spans="1:17" ht="14" customHeight="1" x14ac:dyDescent="0.3">
      <c r="A860" s="1" t="s">
        <v>1274</v>
      </c>
      <c r="B860" s="1">
        <v>37</v>
      </c>
      <c r="C860" s="1" t="s">
        <v>230</v>
      </c>
      <c r="D860" s="1"/>
      <c r="E860" s="1"/>
      <c r="F860" s="1">
        <v>135</v>
      </c>
      <c r="G860" s="1">
        <v>166</v>
      </c>
      <c r="H860" s="1" t="s">
        <v>263</v>
      </c>
      <c r="I860" s="1">
        <v>300</v>
      </c>
      <c r="J860" s="1" t="s">
        <v>1272</v>
      </c>
      <c r="K860" s="1"/>
      <c r="L860" s="1">
        <f t="shared" si="13"/>
        <v>1500</v>
      </c>
      <c r="M860" s="1"/>
      <c r="N860" s="1"/>
      <c r="O860" s="12" t="str">
        <f>IF($J860=Sheet2!$A$2, ROW(), "")</f>
        <v/>
      </c>
      <c r="Q860" s="23" t="s">
        <v>2841</v>
      </c>
    </row>
    <row r="861" spans="1:17" ht="14" customHeight="1" x14ac:dyDescent="0.3">
      <c r="A861" s="1" t="s">
        <v>1275</v>
      </c>
      <c r="B861" s="1">
        <v>36</v>
      </c>
      <c r="C861" s="1" t="s">
        <v>611</v>
      </c>
      <c r="D861" s="1"/>
      <c r="E861" s="1"/>
      <c r="F861" s="1">
        <v>134</v>
      </c>
      <c r="G861" s="1">
        <v>151</v>
      </c>
      <c r="H861" s="1" t="s">
        <v>1276</v>
      </c>
      <c r="I861" s="1">
        <v>244</v>
      </c>
      <c r="J861" s="1" t="s">
        <v>1272</v>
      </c>
      <c r="K861" s="1"/>
      <c r="L861" s="1">
        <f t="shared" si="13"/>
        <v>1220</v>
      </c>
      <c r="M861" s="1"/>
      <c r="N861" s="1"/>
      <c r="O861" s="12" t="str">
        <f>IF($J861=Sheet2!$A$2, ROW(), "")</f>
        <v/>
      </c>
      <c r="Q861" s="23" t="s">
        <v>2842</v>
      </c>
    </row>
    <row r="862" spans="1:17" ht="14" customHeight="1" x14ac:dyDescent="0.3">
      <c r="A862" s="1" t="s">
        <v>1277</v>
      </c>
      <c r="B862" s="1">
        <v>37</v>
      </c>
      <c r="C862" s="1" t="s">
        <v>230</v>
      </c>
      <c r="D862" s="1"/>
      <c r="E862" s="1"/>
      <c r="F862" s="1">
        <v>135</v>
      </c>
      <c r="G862" s="1">
        <v>155</v>
      </c>
      <c r="H862" s="1" t="s">
        <v>277</v>
      </c>
      <c r="I862" s="1">
        <v>310</v>
      </c>
      <c r="J862" s="1" t="s">
        <v>1272</v>
      </c>
      <c r="K862" s="1"/>
      <c r="L862" s="1">
        <f t="shared" si="13"/>
        <v>1550</v>
      </c>
      <c r="M862" s="1"/>
      <c r="N862" s="1"/>
      <c r="O862" s="12" t="str">
        <f>IF($J862=Sheet2!$A$2, ROW(), "")</f>
        <v/>
      </c>
      <c r="Q862" s="23" t="s">
        <v>2843</v>
      </c>
    </row>
    <row r="863" spans="1:17" ht="14" customHeight="1" x14ac:dyDescent="0.3">
      <c r="A863" s="1" t="s">
        <v>1278</v>
      </c>
      <c r="B863" s="1">
        <v>34</v>
      </c>
      <c r="C863" s="1" t="s">
        <v>246</v>
      </c>
      <c r="D863" s="1"/>
      <c r="E863" s="1"/>
      <c r="F863" s="1">
        <v>140</v>
      </c>
      <c r="G863" s="1">
        <v>155</v>
      </c>
      <c r="H863" s="1" t="s">
        <v>1279</v>
      </c>
      <c r="I863" s="1">
        <v>0</v>
      </c>
      <c r="J863" s="1" t="s">
        <v>1762</v>
      </c>
      <c r="K863" s="1"/>
      <c r="L863" s="1">
        <f t="shared" si="13"/>
        <v>0</v>
      </c>
      <c r="M863" s="1"/>
      <c r="N863" s="1"/>
      <c r="O863" s="12" t="str">
        <f>IF($J863=Sheet2!$A$2, ROW(), "")</f>
        <v/>
      </c>
      <c r="Q863" s="23" t="s">
        <v>2844</v>
      </c>
    </row>
    <row r="864" spans="1:17" ht="14" customHeight="1" x14ac:dyDescent="0.3">
      <c r="A864" s="1" t="s">
        <v>1280</v>
      </c>
      <c r="B864" s="1">
        <v>38</v>
      </c>
      <c r="C864" s="1" t="s">
        <v>1281</v>
      </c>
      <c r="D864" s="1"/>
      <c r="E864" s="1"/>
      <c r="F864" s="1">
        <v>126</v>
      </c>
      <c r="G864" s="1">
        <v>168</v>
      </c>
      <c r="H864" s="1" t="s">
        <v>260</v>
      </c>
      <c r="I864" s="1">
        <v>220</v>
      </c>
      <c r="J864" s="1" t="s">
        <v>1272</v>
      </c>
      <c r="K864" s="1"/>
      <c r="L864" s="1">
        <f t="shared" si="13"/>
        <v>1100</v>
      </c>
      <c r="M864" s="1"/>
      <c r="N864" s="1"/>
      <c r="O864" s="12" t="str">
        <f>IF($J864=Sheet2!$A$2, ROW(), "")</f>
        <v/>
      </c>
      <c r="Q864" s="23" t="s">
        <v>2845</v>
      </c>
    </row>
    <row r="865" spans="1:17" ht="14" customHeight="1" x14ac:dyDescent="0.3">
      <c r="A865" s="1" t="s">
        <v>1282</v>
      </c>
      <c r="B865" s="1">
        <v>34</v>
      </c>
      <c r="C865" s="1" t="s">
        <v>230</v>
      </c>
      <c r="D865" s="1"/>
      <c r="E865" s="1"/>
      <c r="F865" s="1">
        <v>145</v>
      </c>
      <c r="G865" s="1">
        <v>174</v>
      </c>
      <c r="H865" s="1" t="s">
        <v>260</v>
      </c>
      <c r="I865" s="1">
        <v>0</v>
      </c>
      <c r="J865" s="1" t="s">
        <v>1762</v>
      </c>
      <c r="K865" s="1"/>
      <c r="L865" s="1">
        <f t="shared" si="13"/>
        <v>0</v>
      </c>
      <c r="M865" s="1"/>
      <c r="N865" s="1"/>
      <c r="O865" s="12" t="str">
        <f>IF($J865=Sheet2!$A$2, ROW(), "")</f>
        <v/>
      </c>
      <c r="Q865" s="23" t="s">
        <v>2846</v>
      </c>
    </row>
    <row r="866" spans="1:17" ht="14" customHeight="1" x14ac:dyDescent="0.3">
      <c r="A866" s="1" t="s">
        <v>1283</v>
      </c>
      <c r="B866" s="1">
        <v>39</v>
      </c>
      <c r="C866" s="1" t="s">
        <v>611</v>
      </c>
      <c r="D866" s="1"/>
      <c r="E866" s="1"/>
      <c r="F866" s="1">
        <v>145</v>
      </c>
      <c r="G866" s="1">
        <v>174</v>
      </c>
      <c r="H866" s="1" t="s">
        <v>1284</v>
      </c>
      <c r="I866" s="1">
        <v>0</v>
      </c>
      <c r="J866" s="1" t="s">
        <v>1762</v>
      </c>
      <c r="K866" s="1"/>
      <c r="L866" s="1">
        <f t="shared" si="13"/>
        <v>0</v>
      </c>
      <c r="M866" s="1"/>
      <c r="N866" s="1"/>
      <c r="O866" s="12" t="str">
        <f>IF($J866=Sheet2!$A$2, ROW(), "")</f>
        <v/>
      </c>
      <c r="Q866" s="23" t="s">
        <v>2847</v>
      </c>
    </row>
    <row r="867" spans="1:17" ht="14" customHeight="1" x14ac:dyDescent="0.3">
      <c r="A867" s="1" t="s">
        <v>1285</v>
      </c>
      <c r="B867" s="1">
        <v>24</v>
      </c>
      <c r="C867" s="1" t="s">
        <v>624</v>
      </c>
      <c r="D867" s="1"/>
      <c r="E867" s="1"/>
      <c r="F867" s="1">
        <v>125</v>
      </c>
      <c r="G867" s="1">
        <v>132</v>
      </c>
      <c r="H867" s="1" t="s">
        <v>824</v>
      </c>
      <c r="I867" s="1">
        <v>120</v>
      </c>
      <c r="J867" s="1" t="s">
        <v>835</v>
      </c>
      <c r="K867" s="1">
        <v>5</v>
      </c>
      <c r="L867" s="1">
        <f t="shared" si="13"/>
        <v>600</v>
      </c>
      <c r="M867" s="1" t="s">
        <v>38</v>
      </c>
      <c r="N867" s="1"/>
      <c r="O867" s="12" t="str">
        <f>IF($J867=Sheet2!$A$2, ROW(), "")</f>
        <v/>
      </c>
      <c r="Q867" s="23" t="s">
        <v>2848</v>
      </c>
    </row>
    <row r="868" spans="1:17" ht="14" customHeight="1" x14ac:dyDescent="0.3">
      <c r="A868" s="1" t="s">
        <v>1286</v>
      </c>
      <c r="B868" s="1">
        <v>28</v>
      </c>
      <c r="C868" s="1" t="s">
        <v>517</v>
      </c>
      <c r="D868" s="1"/>
      <c r="E868" s="1"/>
      <c r="F868" s="1">
        <v>120</v>
      </c>
      <c r="G868" s="1">
        <v>139</v>
      </c>
      <c r="H868" s="1" t="s">
        <v>260</v>
      </c>
      <c r="I868" s="1">
        <v>120</v>
      </c>
      <c r="J868" s="1" t="s">
        <v>835</v>
      </c>
      <c r="K868" s="1"/>
      <c r="L868" s="1">
        <f t="shared" si="13"/>
        <v>600</v>
      </c>
      <c r="M868" s="1"/>
      <c r="N868" s="1"/>
      <c r="O868" s="12" t="str">
        <f>IF($J868=Sheet2!$A$2, ROW(), "")</f>
        <v/>
      </c>
      <c r="Q868" s="23" t="s">
        <v>2849</v>
      </c>
    </row>
    <row r="869" spans="1:17" ht="14" customHeight="1" x14ac:dyDescent="0.3">
      <c r="A869" s="1" t="s">
        <v>1287</v>
      </c>
      <c r="B869" s="1">
        <v>36</v>
      </c>
      <c r="C869" s="1" t="s">
        <v>699</v>
      </c>
      <c r="D869" s="1"/>
      <c r="E869" s="1"/>
      <c r="F869" s="1">
        <v>118</v>
      </c>
      <c r="G869" s="1">
        <v>148</v>
      </c>
      <c r="H869" s="1" t="s">
        <v>1288</v>
      </c>
      <c r="I869" s="1">
        <v>120</v>
      </c>
      <c r="J869" s="1" t="s">
        <v>835</v>
      </c>
      <c r="K869" s="1">
        <v>5</v>
      </c>
      <c r="L869" s="1">
        <f t="shared" si="13"/>
        <v>600</v>
      </c>
      <c r="M869" s="1" t="s">
        <v>38</v>
      </c>
      <c r="N869" s="1"/>
      <c r="O869" s="12" t="str">
        <f>IF($J869=Sheet2!$A$2, ROW(), "")</f>
        <v/>
      </c>
      <c r="Q869" s="23" t="s">
        <v>2850</v>
      </c>
    </row>
    <row r="870" spans="1:17" ht="14" customHeight="1" x14ac:dyDescent="0.3">
      <c r="A870" s="1" t="s">
        <v>1289</v>
      </c>
      <c r="B870" s="1">
        <v>36</v>
      </c>
      <c r="C870" s="1" t="s">
        <v>1200</v>
      </c>
      <c r="D870" s="1"/>
      <c r="E870" s="1"/>
      <c r="F870" s="1">
        <v>118</v>
      </c>
      <c r="G870" s="1">
        <v>120</v>
      </c>
      <c r="H870" s="1" t="s">
        <v>260</v>
      </c>
      <c r="I870" s="1">
        <v>100</v>
      </c>
      <c r="J870" s="1" t="s">
        <v>835</v>
      </c>
      <c r="K870" s="1">
        <v>5</v>
      </c>
      <c r="L870" s="1">
        <f t="shared" si="13"/>
        <v>500</v>
      </c>
      <c r="M870" s="1" t="s">
        <v>38</v>
      </c>
      <c r="N870" s="1"/>
      <c r="O870" s="12" t="str">
        <f>IF($J870=Sheet2!$A$2, ROW(), "")</f>
        <v/>
      </c>
      <c r="Q870" s="23" t="s">
        <v>2851</v>
      </c>
    </row>
    <row r="871" spans="1:17" ht="14" customHeight="1" x14ac:dyDescent="0.3">
      <c r="A871" s="1" t="s">
        <v>1290</v>
      </c>
      <c r="B871" s="1">
        <v>29</v>
      </c>
      <c r="C871" s="1" t="s">
        <v>283</v>
      </c>
      <c r="D871" s="1"/>
      <c r="E871" s="1"/>
      <c r="F871" s="1">
        <v>118</v>
      </c>
      <c r="G871" s="1">
        <v>125</v>
      </c>
      <c r="H871" s="1" t="s">
        <v>1</v>
      </c>
      <c r="I871" s="1">
        <v>120</v>
      </c>
      <c r="J871" s="1" t="s">
        <v>1924</v>
      </c>
      <c r="K871" s="1">
        <v>5</v>
      </c>
      <c r="L871" s="1">
        <f t="shared" si="13"/>
        <v>600</v>
      </c>
      <c r="M871" s="1" t="s">
        <v>38</v>
      </c>
      <c r="N871" s="1"/>
      <c r="O871" s="12" t="str">
        <f>IF($J871=Sheet2!$A$2, ROW(), "")</f>
        <v/>
      </c>
      <c r="Q871" s="23" t="s">
        <v>2852</v>
      </c>
    </row>
    <row r="872" spans="1:17" ht="14" customHeight="1" x14ac:dyDescent="0.3">
      <c r="A872" s="1" t="s">
        <v>1292</v>
      </c>
      <c r="B872" s="1">
        <v>33</v>
      </c>
      <c r="C872" s="1" t="s">
        <v>246</v>
      </c>
      <c r="D872" s="1"/>
      <c r="E872" s="1"/>
      <c r="F872" s="1">
        <v>114</v>
      </c>
      <c r="G872" s="1">
        <v>126</v>
      </c>
      <c r="H872" s="1" t="s">
        <v>317</v>
      </c>
      <c r="I872" s="1">
        <v>110</v>
      </c>
      <c r="J872" s="1" t="s">
        <v>1951</v>
      </c>
      <c r="K872" s="1">
        <v>5</v>
      </c>
      <c r="L872" s="1">
        <f t="shared" si="13"/>
        <v>550</v>
      </c>
      <c r="M872" s="1" t="s">
        <v>38</v>
      </c>
      <c r="N872" s="1"/>
      <c r="O872" s="12" t="str">
        <f>IF($J872=Sheet2!$A$2, ROW(), "")</f>
        <v/>
      </c>
      <c r="Q872" s="23" t="s">
        <v>2853</v>
      </c>
    </row>
    <row r="873" spans="1:17" ht="14" customHeight="1" x14ac:dyDescent="0.3">
      <c r="A873" s="1" t="s">
        <v>1293</v>
      </c>
      <c r="B873" s="1">
        <v>36</v>
      </c>
      <c r="C873" s="1" t="s">
        <v>708</v>
      </c>
      <c r="D873" s="1"/>
      <c r="E873" s="1"/>
      <c r="F873" s="1">
        <v>120</v>
      </c>
      <c r="G873" s="1">
        <v>124</v>
      </c>
      <c r="H873" s="1" t="s">
        <v>277</v>
      </c>
      <c r="I873" s="1">
        <v>140</v>
      </c>
      <c r="J873" s="1" t="s">
        <v>1891</v>
      </c>
      <c r="K873" s="1">
        <v>5</v>
      </c>
      <c r="L873" s="1">
        <f t="shared" si="13"/>
        <v>700</v>
      </c>
      <c r="M873" s="1" t="s">
        <v>38</v>
      </c>
      <c r="N873" s="1"/>
      <c r="O873" s="12" t="str">
        <f>IF($J873=Sheet2!$A$2, ROW(), "")</f>
        <v/>
      </c>
      <c r="Q873" s="23" t="s">
        <v>2854</v>
      </c>
    </row>
    <row r="874" spans="1:17" ht="14" customHeight="1" x14ac:dyDescent="0.3">
      <c r="A874" s="1" t="s">
        <v>1294</v>
      </c>
      <c r="B874" s="1">
        <v>30</v>
      </c>
      <c r="C874" s="1" t="s">
        <v>924</v>
      </c>
      <c r="D874" s="1"/>
      <c r="E874" s="1"/>
      <c r="F874" s="1">
        <v>120</v>
      </c>
      <c r="G874" s="1">
        <v>135</v>
      </c>
      <c r="H874" s="1" t="s">
        <v>1295</v>
      </c>
      <c r="I874" s="1">
        <v>40</v>
      </c>
      <c r="J874" s="1" t="s">
        <v>1932</v>
      </c>
      <c r="K874" s="1">
        <v>6</v>
      </c>
      <c r="L874" s="1">
        <f t="shared" si="13"/>
        <v>200</v>
      </c>
      <c r="M874" s="1" t="s">
        <v>38</v>
      </c>
      <c r="N874" s="1"/>
      <c r="O874" s="12" t="str">
        <f>IF($J874=Sheet2!$A$2, ROW(), "")</f>
        <v/>
      </c>
      <c r="Q874" s="23" t="s">
        <v>2855</v>
      </c>
    </row>
    <row r="875" spans="1:17" ht="14" customHeight="1" x14ac:dyDescent="0.3">
      <c r="A875" s="1" t="s">
        <v>1296</v>
      </c>
      <c r="B875" s="1">
        <v>33</v>
      </c>
      <c r="C875" s="1" t="s">
        <v>1063</v>
      </c>
      <c r="D875" s="1"/>
      <c r="E875" s="1"/>
      <c r="F875" s="1">
        <v>120</v>
      </c>
      <c r="G875" s="1">
        <v>126</v>
      </c>
      <c r="H875" s="1" t="s">
        <v>895</v>
      </c>
      <c r="I875" s="1">
        <v>130</v>
      </c>
      <c r="J875" s="1" t="s">
        <v>1924</v>
      </c>
      <c r="K875" s="1">
        <v>5</v>
      </c>
      <c r="L875" s="1">
        <f t="shared" si="13"/>
        <v>650</v>
      </c>
      <c r="M875" s="1" t="s">
        <v>38</v>
      </c>
      <c r="N875" s="1"/>
      <c r="O875" s="12" t="str">
        <f>IF($J875=Sheet2!$A$2, ROW(), "")</f>
        <v/>
      </c>
      <c r="Q875" s="23" t="s">
        <v>2856</v>
      </c>
    </row>
    <row r="876" spans="1:17" ht="14" customHeight="1" x14ac:dyDescent="0.3">
      <c r="A876" s="1" t="s">
        <v>1297</v>
      </c>
      <c r="B876" s="1">
        <v>24</v>
      </c>
      <c r="C876" s="1" t="s">
        <v>1298</v>
      </c>
      <c r="D876" s="1"/>
      <c r="E876" s="1"/>
      <c r="F876" s="1">
        <v>122</v>
      </c>
      <c r="G876" s="1">
        <v>141</v>
      </c>
      <c r="H876" s="1" t="s">
        <v>357</v>
      </c>
      <c r="I876" s="1">
        <v>150</v>
      </c>
      <c r="J876" s="1" t="s">
        <v>1156</v>
      </c>
      <c r="K876" s="1">
        <v>5</v>
      </c>
      <c r="L876" s="1">
        <f t="shared" si="13"/>
        <v>750</v>
      </c>
      <c r="M876" s="1" t="s">
        <v>38</v>
      </c>
      <c r="N876" s="1"/>
      <c r="O876" s="12" t="str">
        <f>IF($J876=Sheet2!$A$2, ROW(), "")</f>
        <v/>
      </c>
      <c r="Q876" s="23" t="s">
        <v>2857</v>
      </c>
    </row>
    <row r="877" spans="1:17" ht="14" customHeight="1" x14ac:dyDescent="0.3">
      <c r="A877" s="1" t="s">
        <v>1299</v>
      </c>
      <c r="B877" s="1">
        <v>36</v>
      </c>
      <c r="C877" s="1" t="s">
        <v>624</v>
      </c>
      <c r="D877" s="1"/>
      <c r="E877" s="1"/>
      <c r="F877" s="1">
        <v>114</v>
      </c>
      <c r="G877" s="1">
        <v>139</v>
      </c>
      <c r="H877" s="1" t="s">
        <v>944</v>
      </c>
      <c r="I877" s="1">
        <v>120</v>
      </c>
      <c r="J877" s="1" t="s">
        <v>1156</v>
      </c>
      <c r="K877" s="1">
        <v>5</v>
      </c>
      <c r="L877" s="1">
        <f t="shared" si="13"/>
        <v>600</v>
      </c>
      <c r="M877" s="1" t="s">
        <v>38</v>
      </c>
      <c r="N877" s="1"/>
      <c r="O877" s="12" t="str">
        <f>IF($J877=Sheet2!$A$2, ROW(), "")</f>
        <v/>
      </c>
      <c r="Q877" s="23" t="s">
        <v>2858</v>
      </c>
    </row>
    <row r="878" spans="1:17" ht="14" customHeight="1" x14ac:dyDescent="0.3">
      <c r="A878" s="1" t="s">
        <v>1300</v>
      </c>
      <c r="B878" s="1">
        <v>26</v>
      </c>
      <c r="C878" s="1" t="s">
        <v>624</v>
      </c>
      <c r="D878" s="1"/>
      <c r="E878" s="1"/>
      <c r="F878" s="1">
        <v>125</v>
      </c>
      <c r="G878" s="1">
        <v>132</v>
      </c>
      <c r="H878" s="1" t="s">
        <v>845</v>
      </c>
      <c r="I878" s="1">
        <v>150</v>
      </c>
      <c r="J878" s="1" t="s">
        <v>1156</v>
      </c>
      <c r="K878" s="1">
        <v>5</v>
      </c>
      <c r="L878" s="1">
        <f t="shared" si="13"/>
        <v>750</v>
      </c>
      <c r="M878" s="1" t="s">
        <v>38</v>
      </c>
      <c r="N878" s="1"/>
      <c r="O878" s="12" t="str">
        <f>IF($J878=Sheet2!$A$2, ROW(), "")</f>
        <v/>
      </c>
      <c r="Q878" s="23" t="s">
        <v>2859</v>
      </c>
    </row>
    <row r="879" spans="1:17" ht="14" customHeight="1" x14ac:dyDescent="0.3">
      <c r="A879" s="1" t="s">
        <v>1301</v>
      </c>
      <c r="B879" s="1">
        <v>21</v>
      </c>
      <c r="C879" s="1" t="s">
        <v>499</v>
      </c>
      <c r="D879" s="1"/>
      <c r="E879" s="1"/>
      <c r="F879" s="1">
        <v>123</v>
      </c>
      <c r="G879" s="1">
        <v>160</v>
      </c>
      <c r="H879" s="1" t="s">
        <v>1302</v>
      </c>
      <c r="I879" s="1">
        <v>140</v>
      </c>
      <c r="J879" s="1" t="s">
        <v>1156</v>
      </c>
      <c r="K879" s="1">
        <v>5</v>
      </c>
      <c r="L879" s="1">
        <f t="shared" si="13"/>
        <v>700</v>
      </c>
      <c r="M879" s="1" t="s">
        <v>38</v>
      </c>
      <c r="N879" s="1"/>
      <c r="O879" s="12" t="str">
        <f>IF($J879=Sheet2!$A$2, ROW(), "")</f>
        <v/>
      </c>
      <c r="Q879" s="23" t="s">
        <v>2860</v>
      </c>
    </row>
    <row r="880" spans="1:17" ht="14" customHeight="1" x14ac:dyDescent="0.3">
      <c r="A880" s="1" t="s">
        <v>1303</v>
      </c>
      <c r="B880" s="1">
        <v>19</v>
      </c>
      <c r="C880" s="1" t="s">
        <v>0</v>
      </c>
      <c r="D880" s="1"/>
      <c r="E880" s="1"/>
      <c r="F880" s="1">
        <v>126</v>
      </c>
      <c r="G880" s="1">
        <v>132</v>
      </c>
      <c r="H880" s="1" t="s">
        <v>1304</v>
      </c>
      <c r="I880" s="1">
        <v>24</v>
      </c>
      <c r="J880" s="1" t="s">
        <v>264</v>
      </c>
      <c r="K880" s="1">
        <v>5</v>
      </c>
      <c r="L880" s="1">
        <f t="shared" si="13"/>
        <v>120</v>
      </c>
      <c r="M880" s="1" t="s">
        <v>38</v>
      </c>
      <c r="N880" s="1"/>
      <c r="O880" s="12" t="str">
        <f>IF($J880=Sheet2!$A$2, ROW(), "")</f>
        <v/>
      </c>
      <c r="Q880" s="23" t="s">
        <v>2861</v>
      </c>
    </row>
    <row r="881" spans="1:17" ht="14" customHeight="1" x14ac:dyDescent="0.3">
      <c r="A881" s="1" t="s">
        <v>1305</v>
      </c>
      <c r="B881" s="1">
        <v>19</v>
      </c>
      <c r="C881" s="1" t="s">
        <v>0</v>
      </c>
      <c r="D881" s="1"/>
      <c r="E881" s="1"/>
      <c r="F881" s="1">
        <v>126</v>
      </c>
      <c r="G881" s="1">
        <v>136</v>
      </c>
      <c r="H881" s="1" t="s">
        <v>1306</v>
      </c>
      <c r="I881" s="1">
        <v>24</v>
      </c>
      <c r="J881" s="1" t="s">
        <v>1888</v>
      </c>
      <c r="K881" s="1">
        <v>5</v>
      </c>
      <c r="L881" s="1">
        <f t="shared" si="13"/>
        <v>120</v>
      </c>
      <c r="M881" s="1" t="s">
        <v>38</v>
      </c>
      <c r="N881" s="1"/>
      <c r="O881" s="12" t="str">
        <f>IF($J881=Sheet2!$A$2, ROW(), "")</f>
        <v/>
      </c>
      <c r="Q881" s="23" t="s">
        <v>2862</v>
      </c>
    </row>
    <row r="882" spans="1:17" ht="14" customHeight="1" x14ac:dyDescent="0.3">
      <c r="A882" s="1" t="s">
        <v>1307</v>
      </c>
      <c r="B882" s="1">
        <v>19</v>
      </c>
      <c r="C882" s="1" t="s">
        <v>0</v>
      </c>
      <c r="D882" s="1"/>
      <c r="E882" s="1"/>
      <c r="F882" s="1">
        <v>127</v>
      </c>
      <c r="G882" s="1">
        <v>136</v>
      </c>
      <c r="H882" s="1" t="s">
        <v>260</v>
      </c>
      <c r="I882" s="1">
        <v>24</v>
      </c>
      <c r="J882" s="1" t="s">
        <v>1164</v>
      </c>
      <c r="K882" s="1">
        <v>5</v>
      </c>
      <c r="L882" s="1">
        <f t="shared" si="13"/>
        <v>120</v>
      </c>
      <c r="M882" s="1" t="s">
        <v>38</v>
      </c>
      <c r="N882" s="1"/>
      <c r="O882" s="12" t="str">
        <f>IF($J882=Sheet2!$A$2, ROW(), "")</f>
        <v/>
      </c>
      <c r="Q882" s="23" t="s">
        <v>2863</v>
      </c>
    </row>
    <row r="883" spans="1:17" ht="14" customHeight="1" x14ac:dyDescent="0.3">
      <c r="A883" s="1" t="s">
        <v>1308</v>
      </c>
      <c r="B883" s="1">
        <v>19</v>
      </c>
      <c r="C883" s="1" t="s">
        <v>863</v>
      </c>
      <c r="D883" s="1"/>
      <c r="E883" s="1"/>
      <c r="F883" s="1">
        <v>125</v>
      </c>
      <c r="G883" s="1">
        <v>138</v>
      </c>
      <c r="H883" s="1" t="s">
        <v>901</v>
      </c>
      <c r="I883" s="1">
        <v>24</v>
      </c>
      <c r="J883" s="1" t="s">
        <v>1855</v>
      </c>
      <c r="K883" s="1">
        <v>5</v>
      </c>
      <c r="L883" s="1">
        <f t="shared" si="13"/>
        <v>120</v>
      </c>
      <c r="M883" s="1" t="s">
        <v>38</v>
      </c>
      <c r="N883" s="1"/>
      <c r="O883" s="12" t="str">
        <f>IF($J883=Sheet2!$A$2, ROW(), "")</f>
        <v/>
      </c>
      <c r="Q883" s="23" t="s">
        <v>2864</v>
      </c>
    </row>
    <row r="884" spans="1:17" ht="14" customHeight="1" x14ac:dyDescent="0.3">
      <c r="A884" s="1" t="s">
        <v>1309</v>
      </c>
      <c r="B884" s="1">
        <v>18</v>
      </c>
      <c r="C884" s="1" t="s">
        <v>0</v>
      </c>
      <c r="D884" s="1"/>
      <c r="E884" s="1"/>
      <c r="F884" s="1">
        <v>132</v>
      </c>
      <c r="G884" s="1">
        <v>139</v>
      </c>
      <c r="H884" s="1" t="s">
        <v>260</v>
      </c>
      <c r="I884" s="1">
        <v>24</v>
      </c>
      <c r="J884" s="1" t="s">
        <v>315</v>
      </c>
      <c r="K884" s="1">
        <v>5</v>
      </c>
      <c r="L884" s="1">
        <f t="shared" si="13"/>
        <v>120</v>
      </c>
      <c r="M884" s="1" t="s">
        <v>38</v>
      </c>
      <c r="N884" s="1"/>
      <c r="O884" s="12" t="str">
        <f>IF($J884=Sheet2!$A$2, ROW(), "")</f>
        <v/>
      </c>
      <c r="Q884" s="23" t="s">
        <v>2865</v>
      </c>
    </row>
    <row r="885" spans="1:17" ht="14" customHeight="1" x14ac:dyDescent="0.3">
      <c r="A885" s="1" t="s">
        <v>1310</v>
      </c>
      <c r="B885" s="1">
        <v>17</v>
      </c>
      <c r="C885" s="1" t="s">
        <v>0</v>
      </c>
      <c r="D885" s="1"/>
      <c r="E885" s="1"/>
      <c r="F885" s="1">
        <v>126</v>
      </c>
      <c r="G885" s="1">
        <v>134</v>
      </c>
      <c r="H885" s="1" t="s">
        <v>1311</v>
      </c>
      <c r="I885" s="1">
        <v>24</v>
      </c>
      <c r="J885" s="1" t="s">
        <v>315</v>
      </c>
      <c r="K885" s="1">
        <v>5</v>
      </c>
      <c r="L885" s="1">
        <f t="shared" si="13"/>
        <v>120</v>
      </c>
      <c r="M885" s="1" t="s">
        <v>38</v>
      </c>
      <c r="N885" s="1"/>
      <c r="O885" s="12" t="str">
        <f>IF($J885=Sheet2!$A$2, ROW(), "")</f>
        <v/>
      </c>
      <c r="Q885" s="23" t="s">
        <v>2866</v>
      </c>
    </row>
    <row r="886" spans="1:17" ht="14" customHeight="1" x14ac:dyDescent="0.3">
      <c r="A886" s="1" t="s">
        <v>1312</v>
      </c>
      <c r="B886" s="1">
        <v>18</v>
      </c>
      <c r="C886" s="1" t="s">
        <v>0</v>
      </c>
      <c r="D886" s="1"/>
      <c r="E886" s="1"/>
      <c r="F886" s="1">
        <v>129</v>
      </c>
      <c r="G886" s="1">
        <v>138</v>
      </c>
      <c r="H886" s="1" t="s">
        <v>1</v>
      </c>
      <c r="I886" s="1">
        <v>24</v>
      </c>
      <c r="J886" s="1" t="s">
        <v>248</v>
      </c>
      <c r="K886" s="1">
        <v>9</v>
      </c>
      <c r="L886" s="1">
        <f t="shared" si="13"/>
        <v>120</v>
      </c>
      <c r="M886" s="1" t="s">
        <v>38</v>
      </c>
      <c r="N886" s="1"/>
      <c r="O886" s="12">
        <f>IF($J886=Sheet2!$A$2, ROW(), "")</f>
        <v>886</v>
      </c>
      <c r="Q886" s="23" t="s">
        <v>2867</v>
      </c>
    </row>
    <row r="887" spans="1:17" ht="14" customHeight="1" x14ac:dyDescent="0.3">
      <c r="A887" s="1" t="s">
        <v>1313</v>
      </c>
      <c r="B887" s="1">
        <v>19</v>
      </c>
      <c r="C887" s="1" t="s">
        <v>1314</v>
      </c>
      <c r="D887" s="1"/>
      <c r="E887" s="1"/>
      <c r="F887" s="1">
        <v>127</v>
      </c>
      <c r="G887" s="1">
        <v>137</v>
      </c>
      <c r="H887" s="1" t="s">
        <v>357</v>
      </c>
      <c r="I887" s="1">
        <v>24</v>
      </c>
      <c r="J887" s="1" t="s">
        <v>315</v>
      </c>
      <c r="K887" s="1">
        <v>5</v>
      </c>
      <c r="L887" s="1">
        <f t="shared" si="13"/>
        <v>120</v>
      </c>
      <c r="M887" s="1" t="s">
        <v>38</v>
      </c>
      <c r="N887" s="1"/>
      <c r="O887" s="12" t="str">
        <f>IF($J887=Sheet2!$A$2, ROW(), "")</f>
        <v/>
      </c>
      <c r="Q887" s="23" t="s">
        <v>2868</v>
      </c>
    </row>
    <row r="888" spans="1:17" ht="14" customHeight="1" x14ac:dyDescent="0.3">
      <c r="A888" s="1" t="s">
        <v>1315</v>
      </c>
      <c r="B888" s="1">
        <v>18</v>
      </c>
      <c r="C888" s="1" t="s">
        <v>0</v>
      </c>
      <c r="D888" s="1"/>
      <c r="E888" s="1"/>
      <c r="F888" s="1">
        <v>127</v>
      </c>
      <c r="G888" s="1">
        <v>137</v>
      </c>
      <c r="H888" s="1" t="s">
        <v>864</v>
      </c>
      <c r="I888" s="1">
        <v>24</v>
      </c>
      <c r="J888" s="1" t="s">
        <v>1848</v>
      </c>
      <c r="K888" s="1">
        <v>5</v>
      </c>
      <c r="L888" s="1">
        <f t="shared" si="13"/>
        <v>120</v>
      </c>
      <c r="M888" s="1" t="s">
        <v>38</v>
      </c>
      <c r="N888" s="1"/>
      <c r="O888" s="12" t="str">
        <f>IF($J888=Sheet2!$A$2, ROW(), "")</f>
        <v/>
      </c>
      <c r="Q888" s="23" t="s">
        <v>2869</v>
      </c>
    </row>
    <row r="889" spans="1:17" ht="14" customHeight="1" x14ac:dyDescent="0.3">
      <c r="A889" s="1" t="s">
        <v>1316</v>
      </c>
      <c r="B889" s="1">
        <v>18</v>
      </c>
      <c r="C889" s="1" t="s">
        <v>0</v>
      </c>
      <c r="D889" s="1"/>
      <c r="E889" s="1"/>
      <c r="F889" s="1">
        <v>126</v>
      </c>
      <c r="G889" s="1">
        <v>138</v>
      </c>
      <c r="H889" s="1" t="s">
        <v>1317</v>
      </c>
      <c r="I889" s="1">
        <v>24</v>
      </c>
      <c r="J889" s="1" t="s">
        <v>1721</v>
      </c>
      <c r="K889" s="1">
        <v>5</v>
      </c>
      <c r="L889" s="1">
        <f t="shared" si="13"/>
        <v>120</v>
      </c>
      <c r="M889" s="1" t="s">
        <v>38</v>
      </c>
      <c r="N889" s="1"/>
      <c r="O889" s="12" t="str">
        <f>IF($J889=Sheet2!$A$2, ROW(), "")</f>
        <v/>
      </c>
      <c r="Q889" s="23" t="s">
        <v>2870</v>
      </c>
    </row>
    <row r="890" spans="1:17" ht="14" customHeight="1" x14ac:dyDescent="0.3">
      <c r="A890" s="1" t="s">
        <v>1318</v>
      </c>
      <c r="B890" s="1">
        <v>19</v>
      </c>
      <c r="C890" s="1" t="s">
        <v>0</v>
      </c>
      <c r="D890" s="1"/>
      <c r="E890" s="1"/>
      <c r="F890" s="1">
        <v>126</v>
      </c>
      <c r="G890" s="1">
        <v>139</v>
      </c>
      <c r="H890" s="1" t="s">
        <v>317</v>
      </c>
      <c r="I890" s="1">
        <v>24</v>
      </c>
      <c r="J890" s="1" t="s">
        <v>1718</v>
      </c>
      <c r="K890" s="1">
        <v>5</v>
      </c>
      <c r="L890" s="1">
        <f t="shared" si="13"/>
        <v>120</v>
      </c>
      <c r="M890" s="1" t="s">
        <v>38</v>
      </c>
      <c r="N890" s="1"/>
      <c r="O890" s="12" t="str">
        <f>IF($J890=Sheet2!$A$2, ROW(), "")</f>
        <v/>
      </c>
      <c r="Q890" s="23" t="s">
        <v>2871</v>
      </c>
    </row>
    <row r="891" spans="1:17" ht="14" customHeight="1" x14ac:dyDescent="0.3">
      <c r="A891" s="1" t="s">
        <v>1319</v>
      </c>
      <c r="B891" s="1">
        <v>20</v>
      </c>
      <c r="C891" s="1" t="s">
        <v>1320</v>
      </c>
      <c r="D891" s="1"/>
      <c r="E891" s="1"/>
      <c r="F891" s="1">
        <v>127</v>
      </c>
      <c r="G891" s="1">
        <v>136</v>
      </c>
      <c r="H891" s="1" t="s">
        <v>834</v>
      </c>
      <c r="I891" s="1">
        <v>24</v>
      </c>
      <c r="J891" s="1" t="s">
        <v>1888</v>
      </c>
      <c r="K891" s="1">
        <v>5</v>
      </c>
      <c r="L891" s="1">
        <f t="shared" si="13"/>
        <v>120</v>
      </c>
      <c r="M891" s="1" t="s">
        <v>38</v>
      </c>
      <c r="N891" s="1"/>
      <c r="O891" s="12" t="str">
        <f>IF($J891=Sheet2!$A$2, ROW(), "")</f>
        <v/>
      </c>
      <c r="Q891" s="23" t="s">
        <v>2872</v>
      </c>
    </row>
    <row r="892" spans="1:17" ht="14" customHeight="1" x14ac:dyDescent="0.3">
      <c r="A892" s="1" t="s">
        <v>1321</v>
      </c>
      <c r="B892" s="1">
        <v>15</v>
      </c>
      <c r="C892" s="1" t="s">
        <v>1322</v>
      </c>
      <c r="D892" s="1"/>
      <c r="E892" s="1"/>
      <c r="F892" s="1">
        <v>124</v>
      </c>
      <c r="G892" s="1">
        <v>142</v>
      </c>
      <c r="H892" s="1" t="s">
        <v>1323</v>
      </c>
      <c r="I892" s="1">
        <v>24</v>
      </c>
      <c r="J892" s="1" t="s">
        <v>1766</v>
      </c>
      <c r="K892" s="1">
        <v>5</v>
      </c>
      <c r="L892" s="1">
        <f t="shared" si="13"/>
        <v>120</v>
      </c>
      <c r="M892" s="1" t="s">
        <v>38</v>
      </c>
      <c r="N892" s="1"/>
      <c r="O892" s="12" t="str">
        <f>IF($J892=Sheet2!$A$2, ROW(), "")</f>
        <v/>
      </c>
      <c r="Q892" s="23" t="s">
        <v>2873</v>
      </c>
    </row>
    <row r="893" spans="1:17" ht="14" customHeight="1" x14ac:dyDescent="0.3">
      <c r="A893" s="1" t="s">
        <v>1324</v>
      </c>
      <c r="B893" s="1">
        <v>17</v>
      </c>
      <c r="C893" s="1" t="s">
        <v>1325</v>
      </c>
      <c r="D893" s="1"/>
      <c r="E893" s="1"/>
      <c r="F893" s="1">
        <v>124</v>
      </c>
      <c r="G893" s="1">
        <v>127</v>
      </c>
      <c r="H893" s="1" t="s">
        <v>247</v>
      </c>
      <c r="I893" s="1">
        <v>24</v>
      </c>
      <c r="J893" s="1" t="s">
        <v>264</v>
      </c>
      <c r="K893" s="1">
        <v>5</v>
      </c>
      <c r="L893" s="1">
        <f t="shared" si="13"/>
        <v>120</v>
      </c>
      <c r="M893" s="1" t="s">
        <v>38</v>
      </c>
      <c r="N893" s="1"/>
      <c r="O893" s="12" t="str">
        <f>IF($J893=Sheet2!$A$2, ROW(), "")</f>
        <v/>
      </c>
      <c r="Q893" s="23" t="s">
        <v>2874</v>
      </c>
    </row>
    <row r="894" spans="1:17" ht="14" customHeight="1" x14ac:dyDescent="0.3">
      <c r="A894" s="1" t="s">
        <v>1326</v>
      </c>
      <c r="B894" s="1">
        <v>19</v>
      </c>
      <c r="C894" s="1" t="s">
        <v>745</v>
      </c>
      <c r="D894" s="1"/>
      <c r="E894" s="1"/>
      <c r="F894" s="1">
        <v>109</v>
      </c>
      <c r="G894" s="1">
        <v>129</v>
      </c>
      <c r="H894" s="1" t="s">
        <v>1</v>
      </c>
      <c r="I894" s="1">
        <v>24</v>
      </c>
      <c r="J894" s="1" t="s">
        <v>1717</v>
      </c>
      <c r="K894" s="1">
        <v>5</v>
      </c>
      <c r="L894" s="1">
        <f t="shared" si="13"/>
        <v>120</v>
      </c>
      <c r="M894" s="1" t="s">
        <v>38</v>
      </c>
      <c r="N894" s="1"/>
      <c r="O894" s="12" t="str">
        <f>IF($J894=Sheet2!$A$2, ROW(), "")</f>
        <v/>
      </c>
      <c r="Q894" s="23" t="s">
        <v>2875</v>
      </c>
    </row>
    <row r="895" spans="1:17" ht="14" customHeight="1" x14ac:dyDescent="0.3">
      <c r="A895" s="1" t="s">
        <v>1327</v>
      </c>
      <c r="B895" s="1">
        <v>24</v>
      </c>
      <c r="C895" s="1" t="s">
        <v>592</v>
      </c>
      <c r="D895" s="1"/>
      <c r="E895" s="1"/>
      <c r="F895" s="1">
        <v>134</v>
      </c>
      <c r="G895" s="1">
        <v>148</v>
      </c>
      <c r="H895" s="1" t="s">
        <v>317</v>
      </c>
      <c r="I895" s="1">
        <v>120</v>
      </c>
      <c r="J895" s="1" t="s">
        <v>315</v>
      </c>
      <c r="K895" s="1">
        <v>5</v>
      </c>
      <c r="L895" s="1">
        <f t="shared" si="13"/>
        <v>600</v>
      </c>
      <c r="M895" s="1" t="s">
        <v>38</v>
      </c>
      <c r="N895" s="1"/>
      <c r="O895" s="12" t="str">
        <f>IF($J895=Sheet2!$A$2, ROW(), "")</f>
        <v/>
      </c>
      <c r="Q895" s="23" t="s">
        <v>2876</v>
      </c>
    </row>
    <row r="896" spans="1:17" ht="14" customHeight="1" x14ac:dyDescent="0.3">
      <c r="A896" s="1" t="s">
        <v>1328</v>
      </c>
      <c r="B896" s="1">
        <v>22</v>
      </c>
      <c r="C896" s="1" t="s">
        <v>1011</v>
      </c>
      <c r="D896" s="1"/>
      <c r="E896" s="1"/>
      <c r="F896" s="1">
        <v>132</v>
      </c>
      <c r="G896" s="1">
        <v>146</v>
      </c>
      <c r="H896" s="1" t="s">
        <v>834</v>
      </c>
      <c r="I896" s="1">
        <v>140</v>
      </c>
      <c r="J896" s="1" t="s">
        <v>1717</v>
      </c>
      <c r="K896" s="1">
        <v>6</v>
      </c>
      <c r="L896" s="1">
        <f t="shared" si="13"/>
        <v>700</v>
      </c>
      <c r="M896" s="1" t="s">
        <v>38</v>
      </c>
      <c r="N896" s="1"/>
      <c r="O896" s="12" t="str">
        <f>IF($J896=Sheet2!$A$2, ROW(), "")</f>
        <v/>
      </c>
      <c r="Q896" s="23" t="s">
        <v>2877</v>
      </c>
    </row>
    <row r="897" spans="1:17" ht="14" customHeight="1" x14ac:dyDescent="0.3">
      <c r="A897" s="1" t="s">
        <v>1329</v>
      </c>
      <c r="B897" s="1">
        <v>24</v>
      </c>
      <c r="C897" s="1" t="s">
        <v>1011</v>
      </c>
      <c r="D897" s="1"/>
      <c r="E897" s="1"/>
      <c r="F897" s="1">
        <v>120</v>
      </c>
      <c r="G897" s="1">
        <v>150</v>
      </c>
      <c r="H897" s="1" t="s">
        <v>697</v>
      </c>
      <c r="I897" s="1">
        <v>190</v>
      </c>
      <c r="J897" s="1" t="s">
        <v>233</v>
      </c>
      <c r="K897" s="1">
        <v>6</v>
      </c>
      <c r="L897" s="1">
        <f t="shared" si="13"/>
        <v>950</v>
      </c>
      <c r="M897" s="1" t="s">
        <v>38</v>
      </c>
      <c r="N897" s="1"/>
      <c r="O897" s="12" t="str">
        <f>IF($J897=Sheet2!$A$2, ROW(), "")</f>
        <v/>
      </c>
      <c r="Q897" s="23" t="s">
        <v>2878</v>
      </c>
    </row>
    <row r="898" spans="1:17" ht="14" customHeight="1" x14ac:dyDescent="0.3">
      <c r="A898" s="1" t="s">
        <v>1330</v>
      </c>
      <c r="B898" s="1">
        <v>20</v>
      </c>
      <c r="C898" s="1" t="s">
        <v>1011</v>
      </c>
      <c r="D898" s="1"/>
      <c r="E898" s="1"/>
      <c r="F898" s="1">
        <v>118</v>
      </c>
      <c r="G898" s="1">
        <v>150</v>
      </c>
      <c r="H898" s="1" t="s">
        <v>317</v>
      </c>
      <c r="I898" s="1">
        <v>160</v>
      </c>
      <c r="J898" s="1" t="s">
        <v>233</v>
      </c>
      <c r="K898" s="1">
        <v>6</v>
      </c>
      <c r="L898" s="1">
        <f t="shared" ref="L898:L961" si="14">I898*5</f>
        <v>800</v>
      </c>
      <c r="M898" s="1" t="s">
        <v>38</v>
      </c>
      <c r="N898" s="1"/>
      <c r="O898" s="12" t="str">
        <f>IF($J898=Sheet2!$A$2, ROW(), "")</f>
        <v/>
      </c>
      <c r="Q898" s="23" t="s">
        <v>2879</v>
      </c>
    </row>
    <row r="899" spans="1:17" ht="14" customHeight="1" x14ac:dyDescent="0.3">
      <c r="A899" s="1" t="s">
        <v>1331</v>
      </c>
      <c r="B899" s="1">
        <v>20</v>
      </c>
      <c r="C899" s="1" t="s">
        <v>1063</v>
      </c>
      <c r="D899" s="1"/>
      <c r="E899" s="1"/>
      <c r="F899" s="1">
        <v>112</v>
      </c>
      <c r="G899" s="1">
        <v>150</v>
      </c>
      <c r="H899" s="1" t="s">
        <v>1295</v>
      </c>
      <c r="I899" s="1">
        <v>170</v>
      </c>
      <c r="J899" s="1" t="s">
        <v>233</v>
      </c>
      <c r="K899" s="1">
        <v>5</v>
      </c>
      <c r="L899" s="1">
        <f t="shared" si="14"/>
        <v>850</v>
      </c>
      <c r="M899" s="1" t="s">
        <v>38</v>
      </c>
      <c r="N899" s="1"/>
      <c r="O899" s="12" t="str">
        <f>IF($J899=Sheet2!$A$2, ROW(), "")</f>
        <v/>
      </c>
      <c r="Q899" s="23" t="s">
        <v>2880</v>
      </c>
    </row>
    <row r="900" spans="1:17" ht="14" customHeight="1" x14ac:dyDescent="0.3">
      <c r="A900" s="1" t="s">
        <v>1332</v>
      </c>
      <c r="B900" s="1">
        <v>34</v>
      </c>
      <c r="C900" s="1" t="s">
        <v>1011</v>
      </c>
      <c r="D900" s="1"/>
      <c r="E900" s="1"/>
      <c r="F900" s="1">
        <v>122</v>
      </c>
      <c r="G900" s="1">
        <v>130</v>
      </c>
      <c r="H900" s="1" t="s">
        <v>969</v>
      </c>
      <c r="I900" s="1">
        <v>110</v>
      </c>
      <c r="J900" s="1" t="s">
        <v>1659</v>
      </c>
      <c r="K900" s="1">
        <v>5</v>
      </c>
      <c r="L900" s="1">
        <f t="shared" si="14"/>
        <v>550</v>
      </c>
      <c r="M900" s="1" t="s">
        <v>38</v>
      </c>
      <c r="N900" s="1"/>
      <c r="O900" s="12" t="str">
        <f>IF($J900=Sheet2!$A$2, ROW(), "")</f>
        <v/>
      </c>
      <c r="Q900" s="23" t="s">
        <v>2881</v>
      </c>
    </row>
    <row r="901" spans="1:17" ht="14" customHeight="1" x14ac:dyDescent="0.3">
      <c r="A901" s="1" t="s">
        <v>1333</v>
      </c>
      <c r="B901" s="1">
        <v>22</v>
      </c>
      <c r="C901" s="1" t="s">
        <v>611</v>
      </c>
      <c r="D901" s="1"/>
      <c r="E901" s="1"/>
      <c r="F901" s="1">
        <v>130</v>
      </c>
      <c r="G901" s="1">
        <v>152</v>
      </c>
      <c r="H901" s="1" t="s">
        <v>1770</v>
      </c>
      <c r="I901" s="1">
        <v>210</v>
      </c>
      <c r="J901" s="1" t="s">
        <v>1866</v>
      </c>
      <c r="K901" s="1">
        <v>6</v>
      </c>
      <c r="L901" s="1">
        <f t="shared" si="14"/>
        <v>1050</v>
      </c>
      <c r="M901" s="1" t="s">
        <v>38</v>
      </c>
      <c r="N901" s="1"/>
      <c r="O901" s="12" t="str">
        <f>IF($J901=Sheet2!$A$2, ROW(), "")</f>
        <v/>
      </c>
      <c r="Q901" s="23" t="s">
        <v>2882</v>
      </c>
    </row>
    <row r="902" spans="1:17" ht="14" customHeight="1" x14ac:dyDescent="0.3">
      <c r="A902" s="1" t="s">
        <v>1334</v>
      </c>
      <c r="B902" s="1">
        <v>24</v>
      </c>
      <c r="C902" s="1" t="s">
        <v>1011</v>
      </c>
      <c r="D902" s="1"/>
      <c r="E902" s="1"/>
      <c r="F902" s="1">
        <v>128</v>
      </c>
      <c r="G902" s="1">
        <v>134</v>
      </c>
      <c r="H902" s="1" t="s">
        <v>317</v>
      </c>
      <c r="I902" s="1">
        <v>150</v>
      </c>
      <c r="J902" s="1" t="s">
        <v>1854</v>
      </c>
      <c r="K902" s="1">
        <v>5</v>
      </c>
      <c r="L902" s="1">
        <f t="shared" si="14"/>
        <v>750</v>
      </c>
      <c r="M902" s="1" t="s">
        <v>38</v>
      </c>
      <c r="N902" s="1"/>
      <c r="O902" s="12" t="str">
        <f>IF($J902=Sheet2!$A$2, ROW(), "")</f>
        <v/>
      </c>
      <c r="Q902" s="23" t="s">
        <v>2883</v>
      </c>
    </row>
    <row r="903" spans="1:17" ht="14" customHeight="1" x14ac:dyDescent="0.3">
      <c r="A903" s="1" t="s">
        <v>1335</v>
      </c>
      <c r="B903" s="1">
        <v>23</v>
      </c>
      <c r="C903" s="1" t="s">
        <v>734</v>
      </c>
      <c r="D903" s="1"/>
      <c r="E903" s="1"/>
      <c r="F903" s="1">
        <v>120</v>
      </c>
      <c r="G903" s="1">
        <v>133</v>
      </c>
      <c r="H903" s="1" t="s">
        <v>697</v>
      </c>
      <c r="I903" s="1">
        <v>85</v>
      </c>
      <c r="J903" s="1" t="s">
        <v>1783</v>
      </c>
      <c r="K903" s="1">
        <v>5</v>
      </c>
      <c r="L903" s="1">
        <f t="shared" si="14"/>
        <v>425</v>
      </c>
      <c r="M903" s="1" t="s">
        <v>38</v>
      </c>
      <c r="N903" s="1"/>
      <c r="O903" s="12" t="str">
        <f>IF($J903=Sheet2!$A$2, ROW(), "")</f>
        <v/>
      </c>
      <c r="Q903" s="23" t="s">
        <v>2884</v>
      </c>
    </row>
    <row r="904" spans="1:17" ht="14" customHeight="1" x14ac:dyDescent="0.3">
      <c r="A904" s="1" t="s">
        <v>1336</v>
      </c>
      <c r="B904" s="1">
        <v>19</v>
      </c>
      <c r="C904" s="1" t="s">
        <v>624</v>
      </c>
      <c r="D904" s="1"/>
      <c r="E904" s="1"/>
      <c r="F904" s="1">
        <v>130</v>
      </c>
      <c r="G904" s="1">
        <v>180</v>
      </c>
      <c r="H904" s="1" t="s">
        <v>317</v>
      </c>
      <c r="I904" s="1">
        <v>250</v>
      </c>
      <c r="J904" s="1" t="s">
        <v>274</v>
      </c>
      <c r="K904" s="1">
        <v>6</v>
      </c>
      <c r="L904" s="1">
        <f t="shared" si="14"/>
        <v>1250</v>
      </c>
      <c r="M904" s="1" t="s">
        <v>38</v>
      </c>
      <c r="N904" s="1"/>
      <c r="O904" s="12" t="str">
        <f>IF($J904=Sheet2!$A$2, ROW(), "")</f>
        <v/>
      </c>
      <c r="Q904" s="23" t="s">
        <v>2885</v>
      </c>
    </row>
    <row r="905" spans="1:17" ht="14" customHeight="1" x14ac:dyDescent="0.3">
      <c r="A905" s="1" t="s">
        <v>1337</v>
      </c>
      <c r="B905" s="1">
        <v>27</v>
      </c>
      <c r="C905" s="1" t="s">
        <v>734</v>
      </c>
      <c r="D905" s="1"/>
      <c r="E905" s="1"/>
      <c r="F905" s="1">
        <v>118</v>
      </c>
      <c r="G905" s="1">
        <v>136</v>
      </c>
      <c r="H905" s="1" t="s">
        <v>901</v>
      </c>
      <c r="I905" s="1">
        <v>115</v>
      </c>
      <c r="J905" s="1" t="s">
        <v>1039</v>
      </c>
      <c r="K905" s="1">
        <v>5</v>
      </c>
      <c r="L905" s="1">
        <f t="shared" si="14"/>
        <v>575</v>
      </c>
      <c r="M905" s="1" t="s">
        <v>38</v>
      </c>
      <c r="N905" s="1"/>
      <c r="O905" s="12" t="str">
        <f>IF($J905=Sheet2!$A$2, ROW(), "")</f>
        <v/>
      </c>
      <c r="Q905" s="23" t="s">
        <v>2886</v>
      </c>
    </row>
    <row r="906" spans="1:17" ht="14" customHeight="1" x14ac:dyDescent="0.3">
      <c r="A906" s="1" t="s">
        <v>1338</v>
      </c>
      <c r="B906" s="1">
        <v>23</v>
      </c>
      <c r="C906" s="1" t="s">
        <v>1339</v>
      </c>
      <c r="D906" s="1"/>
      <c r="E906" s="1"/>
      <c r="F906" s="1">
        <v>126</v>
      </c>
      <c r="G906" s="1">
        <v>132</v>
      </c>
      <c r="H906" s="1" t="s">
        <v>260</v>
      </c>
      <c r="I906" s="1">
        <v>140</v>
      </c>
      <c r="J906" s="1" t="s">
        <v>271</v>
      </c>
      <c r="K906" s="1">
        <v>5</v>
      </c>
      <c r="L906" s="1">
        <f t="shared" si="14"/>
        <v>700</v>
      </c>
      <c r="M906" s="1" t="s">
        <v>38</v>
      </c>
      <c r="N906" s="1"/>
      <c r="O906" s="12" t="str">
        <f>IF($J906=Sheet2!$A$2, ROW(), "")</f>
        <v/>
      </c>
      <c r="Q906" s="23" t="s">
        <v>2887</v>
      </c>
    </row>
    <row r="907" spans="1:17" ht="14" customHeight="1" x14ac:dyDescent="0.3">
      <c r="A907" s="1" t="s">
        <v>1340</v>
      </c>
      <c r="B907" s="1">
        <v>24</v>
      </c>
      <c r="C907" s="1" t="s">
        <v>1341</v>
      </c>
      <c r="D907" s="1"/>
      <c r="E907" s="1"/>
      <c r="F907" s="1">
        <v>124</v>
      </c>
      <c r="G907" s="1">
        <v>136</v>
      </c>
      <c r="H907" s="1" t="s">
        <v>317</v>
      </c>
      <c r="I907" s="1">
        <v>140</v>
      </c>
      <c r="J907" s="1" t="s">
        <v>1039</v>
      </c>
      <c r="K907" s="1">
        <v>5</v>
      </c>
      <c r="L907" s="1">
        <f t="shared" si="14"/>
        <v>700</v>
      </c>
      <c r="M907" s="1" t="s">
        <v>38</v>
      </c>
      <c r="N907" s="1"/>
      <c r="O907" s="12" t="str">
        <f>IF($J907=Sheet2!$A$2, ROW(), "")</f>
        <v/>
      </c>
      <c r="Q907" s="23" t="s">
        <v>2888</v>
      </c>
    </row>
    <row r="908" spans="1:17" ht="14" customHeight="1" x14ac:dyDescent="0.3">
      <c r="A908" s="1" t="s">
        <v>1342</v>
      </c>
      <c r="B908" s="1">
        <v>22</v>
      </c>
      <c r="C908" s="1" t="s">
        <v>1343</v>
      </c>
      <c r="D908" s="1"/>
      <c r="E908" s="1"/>
      <c r="F908" s="1">
        <v>127</v>
      </c>
      <c r="G908" s="1">
        <v>140</v>
      </c>
      <c r="H908" s="1" t="s">
        <v>21</v>
      </c>
      <c r="I908" s="1">
        <v>170</v>
      </c>
      <c r="J908" s="1" t="s">
        <v>271</v>
      </c>
      <c r="K908" s="1">
        <v>5</v>
      </c>
      <c r="L908" s="1">
        <f t="shared" si="14"/>
        <v>850</v>
      </c>
      <c r="M908" s="1" t="s">
        <v>38</v>
      </c>
      <c r="N908" s="1"/>
      <c r="O908" s="12" t="str">
        <f>IF($J908=Sheet2!$A$2, ROW(), "")</f>
        <v/>
      </c>
      <c r="Q908" s="23" t="s">
        <v>2889</v>
      </c>
    </row>
    <row r="909" spans="1:17" ht="14" customHeight="1" x14ac:dyDescent="0.3">
      <c r="A909" s="1" t="s">
        <v>1344</v>
      </c>
      <c r="B909" s="1">
        <v>28</v>
      </c>
      <c r="C909" s="1" t="s">
        <v>849</v>
      </c>
      <c r="D909" s="1"/>
      <c r="E909" s="1"/>
      <c r="F909" s="1">
        <v>122</v>
      </c>
      <c r="G909" s="1">
        <v>138</v>
      </c>
      <c r="H909" s="1" t="s">
        <v>247</v>
      </c>
      <c r="I909" s="1">
        <v>190</v>
      </c>
      <c r="J909" s="1" t="s">
        <v>271</v>
      </c>
      <c r="K909" s="1">
        <v>5</v>
      </c>
      <c r="L909" s="1">
        <f t="shared" si="14"/>
        <v>950</v>
      </c>
      <c r="M909" s="1" t="s">
        <v>38</v>
      </c>
      <c r="N909" s="1"/>
      <c r="O909" s="12" t="str">
        <f>IF($J909=Sheet2!$A$2, ROW(), "")</f>
        <v/>
      </c>
      <c r="Q909" s="23" t="s">
        <v>2890</v>
      </c>
    </row>
    <row r="910" spans="1:17" ht="14" customHeight="1" x14ac:dyDescent="0.3">
      <c r="A910" s="1" t="s">
        <v>1345</v>
      </c>
      <c r="B910" s="1">
        <v>24</v>
      </c>
      <c r="C910" s="1" t="s">
        <v>1346</v>
      </c>
      <c r="D910" s="1"/>
      <c r="E910" s="1"/>
      <c r="F910" s="1">
        <v>126</v>
      </c>
      <c r="G910" s="1">
        <v>136</v>
      </c>
      <c r="H910" s="1" t="s">
        <v>1347</v>
      </c>
      <c r="I910" s="1">
        <v>120</v>
      </c>
      <c r="J910" s="1" t="s">
        <v>271</v>
      </c>
      <c r="K910" s="1">
        <v>5</v>
      </c>
      <c r="L910" s="1">
        <f t="shared" si="14"/>
        <v>600</v>
      </c>
      <c r="M910" s="1" t="s">
        <v>38</v>
      </c>
      <c r="N910" s="1"/>
      <c r="O910" s="12" t="str">
        <f>IF($J910=Sheet2!$A$2, ROW(), "")</f>
        <v/>
      </c>
      <c r="Q910" s="23" t="s">
        <v>2891</v>
      </c>
    </row>
    <row r="911" spans="1:17" ht="14" customHeight="1" x14ac:dyDescent="0.3">
      <c r="A911" s="1" t="s">
        <v>1348</v>
      </c>
      <c r="B911" s="1">
        <v>23</v>
      </c>
      <c r="C911" s="1" t="s">
        <v>1349</v>
      </c>
      <c r="D911" s="1"/>
      <c r="E911" s="1"/>
      <c r="F911" s="1">
        <v>127</v>
      </c>
      <c r="G911" s="1">
        <v>150</v>
      </c>
      <c r="H911" s="1" t="s">
        <v>247</v>
      </c>
      <c r="I911" s="1">
        <v>220</v>
      </c>
      <c r="J911" s="1" t="s">
        <v>268</v>
      </c>
      <c r="K911" s="1">
        <v>5</v>
      </c>
      <c r="L911" s="1">
        <f t="shared" si="14"/>
        <v>1100</v>
      </c>
      <c r="M911" s="1" t="s">
        <v>38</v>
      </c>
      <c r="N911" s="1"/>
      <c r="O911" s="12" t="str">
        <f>IF($J911=Sheet2!$A$2, ROW(), "")</f>
        <v/>
      </c>
      <c r="Q911" s="23" t="s">
        <v>2892</v>
      </c>
    </row>
    <row r="912" spans="1:17" ht="14" customHeight="1" x14ac:dyDescent="0.3">
      <c r="A912" s="1" t="s">
        <v>1350</v>
      </c>
      <c r="B912" s="1">
        <v>17</v>
      </c>
      <c r="C912" s="1" t="s">
        <v>843</v>
      </c>
      <c r="D912" s="1"/>
      <c r="E912" s="1"/>
      <c r="F912" s="1">
        <v>126</v>
      </c>
      <c r="G912" s="1">
        <v>180</v>
      </c>
      <c r="H912" s="1" t="s">
        <v>357</v>
      </c>
      <c r="I912" s="1">
        <v>240</v>
      </c>
      <c r="J912" s="1" t="s">
        <v>274</v>
      </c>
      <c r="K912" s="1">
        <v>6</v>
      </c>
      <c r="L912" s="1">
        <f t="shared" si="14"/>
        <v>1200</v>
      </c>
      <c r="M912" s="1" t="s">
        <v>38</v>
      </c>
      <c r="N912" s="1"/>
      <c r="O912" s="12" t="str">
        <f>IF($J912=Sheet2!$A$2, ROW(), "")</f>
        <v/>
      </c>
      <c r="Q912" s="23" t="s">
        <v>2893</v>
      </c>
    </row>
    <row r="913" spans="1:17" ht="14" customHeight="1" x14ac:dyDescent="0.3">
      <c r="A913" s="1" t="s">
        <v>1351</v>
      </c>
      <c r="B913" s="1">
        <v>20</v>
      </c>
      <c r="C913" s="1" t="s">
        <v>708</v>
      </c>
      <c r="D913" s="1"/>
      <c r="E913" s="1"/>
      <c r="F913" s="1">
        <v>128</v>
      </c>
      <c r="G913" s="1">
        <v>170</v>
      </c>
      <c r="H913" s="1" t="s">
        <v>260</v>
      </c>
      <c r="I913" s="1">
        <v>240</v>
      </c>
      <c r="J913" s="1" t="s">
        <v>274</v>
      </c>
      <c r="K913" s="1">
        <v>6</v>
      </c>
      <c r="L913" s="1">
        <f t="shared" si="14"/>
        <v>1200</v>
      </c>
      <c r="M913" s="1" t="s">
        <v>38</v>
      </c>
      <c r="N913" s="1"/>
      <c r="O913" s="12" t="str">
        <f>IF($J913=Sheet2!$A$2, ROW(), "")</f>
        <v/>
      </c>
      <c r="Q913" s="23" t="s">
        <v>2894</v>
      </c>
    </row>
    <row r="914" spans="1:17" ht="14" customHeight="1" x14ac:dyDescent="0.3">
      <c r="A914" s="1" t="s">
        <v>1352</v>
      </c>
      <c r="B914" s="1">
        <v>27</v>
      </c>
      <c r="C914" s="1" t="s">
        <v>1063</v>
      </c>
      <c r="D914" s="1"/>
      <c r="E914" s="1"/>
      <c r="F914" s="1">
        <v>118</v>
      </c>
      <c r="G914" s="1">
        <v>118</v>
      </c>
      <c r="H914" s="1" t="s">
        <v>1</v>
      </c>
      <c r="I914" s="1">
        <v>110</v>
      </c>
      <c r="J914" s="1" t="s">
        <v>520</v>
      </c>
      <c r="K914" s="1">
        <v>5</v>
      </c>
      <c r="L914" s="1">
        <f t="shared" si="14"/>
        <v>550</v>
      </c>
      <c r="M914" s="1" t="s">
        <v>38</v>
      </c>
      <c r="N914" s="1"/>
      <c r="O914" s="12" t="str">
        <f>IF($J914=Sheet2!$A$2, ROW(), "")</f>
        <v/>
      </c>
      <c r="Q914" s="23" t="s">
        <v>2895</v>
      </c>
    </row>
    <row r="915" spans="1:17" ht="14" customHeight="1" x14ac:dyDescent="0.3">
      <c r="A915" s="1" t="s">
        <v>1353</v>
      </c>
      <c r="B915" s="1">
        <v>30</v>
      </c>
      <c r="C915" s="1" t="s">
        <v>1354</v>
      </c>
      <c r="D915" s="1"/>
      <c r="E915" s="1"/>
      <c r="F915" s="1">
        <v>122</v>
      </c>
      <c r="G915" s="1">
        <v>128</v>
      </c>
      <c r="H915" s="1" t="s">
        <v>326</v>
      </c>
      <c r="I915" s="1">
        <v>130</v>
      </c>
      <c r="J915" s="1" t="s">
        <v>1659</v>
      </c>
      <c r="K915" s="1">
        <v>5</v>
      </c>
      <c r="L915" s="1">
        <f t="shared" si="14"/>
        <v>650</v>
      </c>
      <c r="M915" s="1" t="s">
        <v>38</v>
      </c>
      <c r="N915" s="1"/>
      <c r="O915" s="12" t="str">
        <f>IF($J915=Sheet2!$A$2, ROW(), "")</f>
        <v/>
      </c>
      <c r="Q915" s="23" t="s">
        <v>2896</v>
      </c>
    </row>
    <row r="916" spans="1:17" ht="14" customHeight="1" x14ac:dyDescent="0.3">
      <c r="A916" s="1" t="s">
        <v>1355</v>
      </c>
      <c r="B916" s="1">
        <v>24</v>
      </c>
      <c r="C916" s="1" t="s">
        <v>1356</v>
      </c>
      <c r="D916" s="1"/>
      <c r="E916" s="1"/>
      <c r="F916" s="1">
        <v>127</v>
      </c>
      <c r="G916" s="1">
        <v>134</v>
      </c>
      <c r="H916" s="1" t="s">
        <v>1</v>
      </c>
      <c r="I916" s="1">
        <v>145</v>
      </c>
      <c r="J916" s="1" t="s">
        <v>1039</v>
      </c>
      <c r="K916" s="1">
        <v>5</v>
      </c>
      <c r="L916" s="1">
        <f t="shared" si="14"/>
        <v>725</v>
      </c>
      <c r="M916" s="1" t="s">
        <v>38</v>
      </c>
      <c r="N916" s="1"/>
      <c r="O916" s="12" t="str">
        <f>IF($J916=Sheet2!$A$2, ROW(), "")</f>
        <v/>
      </c>
      <c r="Q916" s="23" t="s">
        <v>2897</v>
      </c>
    </row>
    <row r="917" spans="1:17" ht="14" customHeight="1" x14ac:dyDescent="0.3">
      <c r="A917" s="1" t="s">
        <v>1357</v>
      </c>
      <c r="B917" s="1">
        <v>18</v>
      </c>
      <c r="C917" s="1" t="s">
        <v>1063</v>
      </c>
      <c r="D917" s="1"/>
      <c r="E917" s="1"/>
      <c r="F917" s="1">
        <v>122</v>
      </c>
      <c r="G917" s="1">
        <v>180</v>
      </c>
      <c r="H917" s="1" t="s">
        <v>1358</v>
      </c>
      <c r="I917" s="1">
        <v>310</v>
      </c>
      <c r="J917" s="1" t="s">
        <v>233</v>
      </c>
      <c r="K917" s="1">
        <v>7</v>
      </c>
      <c r="L917" s="1">
        <f t="shared" si="14"/>
        <v>1550</v>
      </c>
      <c r="M917" s="1" t="s">
        <v>38</v>
      </c>
      <c r="N917" s="1"/>
      <c r="O917" s="12" t="str">
        <f>IF($J917=Sheet2!$A$2, ROW(), "")</f>
        <v/>
      </c>
      <c r="Q917" s="23" t="s">
        <v>2898</v>
      </c>
    </row>
    <row r="918" spans="1:17" ht="14" customHeight="1" x14ac:dyDescent="0.3">
      <c r="A918" s="1" t="s">
        <v>1359</v>
      </c>
      <c r="B918" s="1">
        <v>19</v>
      </c>
      <c r="C918" s="1" t="s">
        <v>611</v>
      </c>
      <c r="D918" s="1"/>
      <c r="E918" s="1"/>
      <c r="F918" s="1">
        <v>132</v>
      </c>
      <c r="G918" s="1">
        <v>170</v>
      </c>
      <c r="H918" s="1" t="s">
        <v>697</v>
      </c>
      <c r="I918" s="1">
        <v>310</v>
      </c>
      <c r="J918" s="1" t="s">
        <v>689</v>
      </c>
      <c r="K918" s="1">
        <v>7</v>
      </c>
      <c r="L918" s="1">
        <f t="shared" si="14"/>
        <v>1550</v>
      </c>
      <c r="M918" s="1" t="s">
        <v>38</v>
      </c>
      <c r="N918" s="1"/>
      <c r="O918" s="12" t="str">
        <f>IF($J918=Sheet2!$A$2, ROW(), "")</f>
        <v/>
      </c>
      <c r="Q918" s="23" t="s">
        <v>2899</v>
      </c>
    </row>
    <row r="919" spans="1:17" ht="14" customHeight="1" x14ac:dyDescent="0.3">
      <c r="A919" s="1" t="s">
        <v>1360</v>
      </c>
      <c r="B919" s="1">
        <v>25</v>
      </c>
      <c r="C919" s="1" t="s">
        <v>1011</v>
      </c>
      <c r="D919" s="1"/>
      <c r="E919" s="1"/>
      <c r="F919" s="1">
        <v>130</v>
      </c>
      <c r="G919" s="1">
        <v>130</v>
      </c>
      <c r="H919" s="1" t="s">
        <v>260</v>
      </c>
      <c r="I919" s="1">
        <v>100</v>
      </c>
      <c r="J919" s="1" t="s">
        <v>683</v>
      </c>
      <c r="K919" s="1">
        <v>5</v>
      </c>
      <c r="L919" s="1">
        <f t="shared" si="14"/>
        <v>500</v>
      </c>
      <c r="M919" s="1" t="s">
        <v>38</v>
      </c>
      <c r="N919" s="1"/>
      <c r="O919" s="12" t="str">
        <f>IF($J919=Sheet2!$A$2, ROW(), "")</f>
        <v/>
      </c>
      <c r="Q919" s="23" t="s">
        <v>2900</v>
      </c>
    </row>
    <row r="920" spans="1:17" ht="14" customHeight="1" x14ac:dyDescent="0.3">
      <c r="A920" s="1" t="s">
        <v>1361</v>
      </c>
      <c r="B920" s="1">
        <v>36</v>
      </c>
      <c r="C920" s="1" t="s">
        <v>1011</v>
      </c>
      <c r="D920" s="1"/>
      <c r="E920" s="1"/>
      <c r="F920" s="1">
        <v>116</v>
      </c>
      <c r="G920" s="1">
        <v>124</v>
      </c>
      <c r="H920" s="1" t="s">
        <v>1000</v>
      </c>
      <c r="I920" s="1">
        <v>40</v>
      </c>
      <c r="J920" s="1" t="s">
        <v>683</v>
      </c>
      <c r="K920" s="1">
        <v>5</v>
      </c>
      <c r="L920" s="1">
        <f t="shared" si="14"/>
        <v>200</v>
      </c>
      <c r="M920" s="1" t="s">
        <v>38</v>
      </c>
      <c r="N920" s="1"/>
      <c r="O920" s="12" t="str">
        <f>IF($J920=Sheet2!$A$2, ROW(), "")</f>
        <v/>
      </c>
      <c r="Q920" s="23" t="s">
        <v>2901</v>
      </c>
    </row>
    <row r="921" spans="1:17" ht="14" customHeight="1" x14ac:dyDescent="0.3">
      <c r="A921" s="1" t="s">
        <v>1362</v>
      </c>
      <c r="B921" s="1">
        <v>24</v>
      </c>
      <c r="C921" s="1" t="s">
        <v>283</v>
      </c>
      <c r="D921" s="1"/>
      <c r="E921" s="1"/>
      <c r="F921" s="1">
        <v>130</v>
      </c>
      <c r="G921" s="1">
        <v>130</v>
      </c>
      <c r="H921" s="1" t="s">
        <v>317</v>
      </c>
      <c r="I921" s="1">
        <v>70</v>
      </c>
      <c r="J921" s="1" t="s">
        <v>683</v>
      </c>
      <c r="K921" s="1">
        <v>5</v>
      </c>
      <c r="L921" s="1">
        <f t="shared" si="14"/>
        <v>350</v>
      </c>
      <c r="M921" s="1" t="s">
        <v>38</v>
      </c>
      <c r="N921" s="1"/>
      <c r="O921" s="12" t="str">
        <f>IF($J921=Sheet2!$A$2, ROW(), "")</f>
        <v/>
      </c>
      <c r="Q921" s="23" t="s">
        <v>2902</v>
      </c>
    </row>
    <row r="922" spans="1:17" ht="14" customHeight="1" x14ac:dyDescent="0.3">
      <c r="A922" s="1" t="s">
        <v>1363</v>
      </c>
      <c r="B922" s="1">
        <v>21</v>
      </c>
      <c r="C922" s="1" t="s">
        <v>590</v>
      </c>
      <c r="D922" s="1"/>
      <c r="E922" s="1"/>
      <c r="F922" s="1">
        <v>127</v>
      </c>
      <c r="G922" s="1">
        <v>142</v>
      </c>
      <c r="H922" s="1" t="s">
        <v>697</v>
      </c>
      <c r="I922" s="1">
        <v>180</v>
      </c>
      <c r="J922" s="1" t="s">
        <v>3231</v>
      </c>
      <c r="K922" s="1">
        <v>6</v>
      </c>
      <c r="L922" s="1">
        <f t="shared" si="14"/>
        <v>900</v>
      </c>
      <c r="M922" s="1" t="s">
        <v>38</v>
      </c>
      <c r="N922" s="1"/>
      <c r="O922" s="12" t="str">
        <f>IF($J922=Sheet2!$A$2, ROW(), "")</f>
        <v/>
      </c>
      <c r="Q922" s="23" t="s">
        <v>2903</v>
      </c>
    </row>
    <row r="923" spans="1:17" ht="14" customHeight="1" x14ac:dyDescent="0.3">
      <c r="A923" s="1" t="s">
        <v>1364</v>
      </c>
      <c r="B923" s="1">
        <v>21</v>
      </c>
      <c r="C923" s="1" t="s">
        <v>1349</v>
      </c>
      <c r="D923" s="1"/>
      <c r="E923" s="1"/>
      <c r="F923" s="1">
        <v>119</v>
      </c>
      <c r="G923" s="1">
        <v>136</v>
      </c>
      <c r="H923" s="1" t="s">
        <v>260</v>
      </c>
      <c r="I923" s="1">
        <v>110</v>
      </c>
      <c r="J923" s="1" t="s">
        <v>3231</v>
      </c>
      <c r="K923" s="1">
        <v>6</v>
      </c>
      <c r="L923" s="1">
        <f t="shared" si="14"/>
        <v>550</v>
      </c>
      <c r="M923" s="1" t="s">
        <v>38</v>
      </c>
      <c r="N923" s="1"/>
      <c r="O923" s="12" t="str">
        <f>IF($J923=Sheet2!$A$2, ROW(), "")</f>
        <v/>
      </c>
      <c r="Q923" s="23" t="s">
        <v>2904</v>
      </c>
    </row>
    <row r="924" spans="1:17" ht="14" customHeight="1" x14ac:dyDescent="0.3">
      <c r="A924" s="1" t="s">
        <v>1365</v>
      </c>
      <c r="B924" s="1">
        <v>28</v>
      </c>
      <c r="C924" s="1" t="s">
        <v>305</v>
      </c>
      <c r="D924" s="1"/>
      <c r="E924" s="1"/>
      <c r="F924" s="1">
        <v>122</v>
      </c>
      <c r="G924" s="1">
        <v>136</v>
      </c>
      <c r="H924" s="1" t="s">
        <v>901</v>
      </c>
      <c r="I924" s="1">
        <v>190</v>
      </c>
      <c r="J924" s="1" t="s">
        <v>1766</v>
      </c>
      <c r="K924" s="1">
        <v>5</v>
      </c>
      <c r="L924" s="1">
        <f t="shared" si="14"/>
        <v>950</v>
      </c>
      <c r="M924" s="1" t="s">
        <v>38</v>
      </c>
      <c r="N924" s="1"/>
      <c r="O924" s="12" t="str">
        <f>IF($J924=Sheet2!$A$2, ROW(), "")</f>
        <v/>
      </c>
      <c r="Q924" s="23" t="s">
        <v>2905</v>
      </c>
    </row>
    <row r="925" spans="1:17" ht="14" customHeight="1" x14ac:dyDescent="0.3">
      <c r="A925" s="1" t="s">
        <v>1366</v>
      </c>
      <c r="B925" s="1">
        <v>25</v>
      </c>
      <c r="C925" s="1" t="s">
        <v>1367</v>
      </c>
      <c r="D925" s="1"/>
      <c r="E925" s="1"/>
      <c r="F925" s="1">
        <v>130</v>
      </c>
      <c r="G925" s="1">
        <v>136</v>
      </c>
      <c r="H925" s="1" t="s">
        <v>317</v>
      </c>
      <c r="I925" s="1">
        <v>150</v>
      </c>
      <c r="J925" s="1" t="s">
        <v>308</v>
      </c>
      <c r="K925" s="1">
        <v>5</v>
      </c>
      <c r="L925" s="1">
        <f t="shared" si="14"/>
        <v>750</v>
      </c>
      <c r="M925" s="1" t="s">
        <v>38</v>
      </c>
      <c r="N925" s="1"/>
      <c r="O925" s="12" t="str">
        <f>IF($J925=Sheet2!$A$2, ROW(), "")</f>
        <v/>
      </c>
      <c r="Q925" s="23" t="s">
        <v>2906</v>
      </c>
    </row>
    <row r="926" spans="1:17" ht="14" customHeight="1" x14ac:dyDescent="0.3">
      <c r="A926" s="1" t="s">
        <v>1368</v>
      </c>
      <c r="B926" s="1">
        <v>19</v>
      </c>
      <c r="C926" s="1" t="s">
        <v>256</v>
      </c>
      <c r="D926" s="1"/>
      <c r="E926" s="1"/>
      <c r="F926" s="1">
        <v>121</v>
      </c>
      <c r="G926" s="1">
        <v>170</v>
      </c>
      <c r="H926" s="1" t="s">
        <v>260</v>
      </c>
      <c r="I926" s="1">
        <v>200</v>
      </c>
      <c r="J926" s="1" t="s">
        <v>1939</v>
      </c>
      <c r="K926" s="1">
        <v>6</v>
      </c>
      <c r="L926" s="1">
        <f t="shared" si="14"/>
        <v>1000</v>
      </c>
      <c r="M926" s="1" t="s">
        <v>38</v>
      </c>
      <c r="N926" s="1"/>
      <c r="O926" s="12" t="str">
        <f>IF($J926=Sheet2!$A$2, ROW(), "")</f>
        <v/>
      </c>
      <c r="Q926" s="23" t="s">
        <v>2907</v>
      </c>
    </row>
    <row r="927" spans="1:17" ht="14" customHeight="1" x14ac:dyDescent="0.3">
      <c r="A927" s="1" t="s">
        <v>1369</v>
      </c>
      <c r="B927" s="1">
        <v>29</v>
      </c>
      <c r="C927" s="1" t="s">
        <v>246</v>
      </c>
      <c r="D927" s="1"/>
      <c r="E927" s="1"/>
      <c r="F927" s="1">
        <v>122</v>
      </c>
      <c r="G927" s="1">
        <v>128</v>
      </c>
      <c r="H927" s="1" t="s">
        <v>824</v>
      </c>
      <c r="I927" s="1">
        <v>120</v>
      </c>
      <c r="J927" s="1" t="s">
        <v>1718</v>
      </c>
      <c r="K927" s="1">
        <v>5</v>
      </c>
      <c r="L927" s="1">
        <f t="shared" si="14"/>
        <v>600</v>
      </c>
      <c r="M927" s="1" t="s">
        <v>38</v>
      </c>
      <c r="N927" s="1"/>
      <c r="O927" s="12" t="str">
        <f>IF($J927=Sheet2!$A$2, ROW(), "")</f>
        <v/>
      </c>
      <c r="Q927" s="23" t="s">
        <v>2908</v>
      </c>
    </row>
    <row r="928" spans="1:17" ht="14" customHeight="1" x14ac:dyDescent="0.3">
      <c r="A928" s="1" t="s">
        <v>1370</v>
      </c>
      <c r="B928" s="1">
        <v>27</v>
      </c>
      <c r="C928" s="1" t="s">
        <v>582</v>
      </c>
      <c r="D928" s="1"/>
      <c r="E928" s="1"/>
      <c r="F928" s="1">
        <v>116</v>
      </c>
      <c r="G928" s="1">
        <v>130</v>
      </c>
      <c r="H928" s="1" t="s">
        <v>1076</v>
      </c>
      <c r="I928" s="1">
        <v>180</v>
      </c>
      <c r="J928" s="1" t="s">
        <v>520</v>
      </c>
      <c r="K928" s="1">
        <v>5</v>
      </c>
      <c r="L928" s="1">
        <f t="shared" si="14"/>
        <v>900</v>
      </c>
      <c r="M928" s="1" t="s">
        <v>38</v>
      </c>
      <c r="N928" s="1"/>
      <c r="O928" s="12" t="str">
        <f>IF($J928=Sheet2!$A$2, ROW(), "")</f>
        <v/>
      </c>
      <c r="Q928" s="23" t="s">
        <v>2909</v>
      </c>
    </row>
    <row r="929" spans="1:17" ht="14" customHeight="1" x14ac:dyDescent="0.3">
      <c r="A929" s="1" t="s">
        <v>1371</v>
      </c>
      <c r="B929" s="1">
        <v>21</v>
      </c>
      <c r="C929" s="1" t="s">
        <v>843</v>
      </c>
      <c r="D929" s="1"/>
      <c r="E929" s="1"/>
      <c r="F929" s="1">
        <v>132</v>
      </c>
      <c r="G929" s="1">
        <v>160</v>
      </c>
      <c r="H929" s="1" t="s">
        <v>1372</v>
      </c>
      <c r="I929" s="1">
        <v>250</v>
      </c>
      <c r="J929" s="1" t="s">
        <v>271</v>
      </c>
      <c r="K929" s="1">
        <v>5</v>
      </c>
      <c r="L929" s="1">
        <f t="shared" si="14"/>
        <v>1250</v>
      </c>
      <c r="M929" s="1" t="s">
        <v>38</v>
      </c>
      <c r="N929" s="1"/>
      <c r="O929" s="12" t="str">
        <f>IF($J929=Sheet2!$A$2, ROW(), "")</f>
        <v/>
      </c>
      <c r="Q929" s="23" t="s">
        <v>2910</v>
      </c>
    </row>
    <row r="930" spans="1:17" ht="14" customHeight="1" x14ac:dyDescent="0.3">
      <c r="A930" s="1" t="s">
        <v>1373</v>
      </c>
      <c r="B930" s="1">
        <v>21</v>
      </c>
      <c r="C930" s="1" t="s">
        <v>1027</v>
      </c>
      <c r="D930" s="1"/>
      <c r="E930" s="1"/>
      <c r="F930" s="1">
        <v>134</v>
      </c>
      <c r="G930" s="1">
        <v>160</v>
      </c>
      <c r="H930" s="1" t="s">
        <v>260</v>
      </c>
      <c r="I930" s="1">
        <v>250</v>
      </c>
      <c r="J930" s="1" t="s">
        <v>271</v>
      </c>
      <c r="K930" s="1">
        <v>5</v>
      </c>
      <c r="L930" s="1">
        <f t="shared" si="14"/>
        <v>1250</v>
      </c>
      <c r="M930" s="1" t="s">
        <v>38</v>
      </c>
      <c r="N930" s="1"/>
      <c r="O930" s="12" t="str">
        <f>IF($J930=Sheet2!$A$2, ROW(), "")</f>
        <v/>
      </c>
      <c r="Q930" s="23" t="s">
        <v>2911</v>
      </c>
    </row>
    <row r="931" spans="1:17" ht="14" customHeight="1" x14ac:dyDescent="0.3">
      <c r="A931" s="1" t="s">
        <v>1374</v>
      </c>
      <c r="B931" s="1">
        <v>26</v>
      </c>
      <c r="C931" s="1" t="s">
        <v>230</v>
      </c>
      <c r="D931" s="1"/>
      <c r="E931" s="1"/>
      <c r="F931" s="1">
        <v>126</v>
      </c>
      <c r="G931" s="1">
        <v>126</v>
      </c>
      <c r="H931" s="1" t="s">
        <v>1375</v>
      </c>
      <c r="I931" s="1">
        <v>110</v>
      </c>
      <c r="J931" s="1" t="s">
        <v>520</v>
      </c>
      <c r="K931" s="1">
        <v>5</v>
      </c>
      <c r="L931" s="1">
        <f t="shared" si="14"/>
        <v>550</v>
      </c>
      <c r="M931" s="1" t="s">
        <v>38</v>
      </c>
      <c r="N931" s="1"/>
      <c r="O931" s="12" t="str">
        <f>IF($J931=Sheet2!$A$2, ROW(), "")</f>
        <v/>
      </c>
      <c r="Q931" s="23" t="s">
        <v>2912</v>
      </c>
    </row>
    <row r="932" spans="1:17" ht="14" customHeight="1" x14ac:dyDescent="0.3">
      <c r="A932" s="1" t="s">
        <v>1376</v>
      </c>
      <c r="B932" s="1">
        <v>27</v>
      </c>
      <c r="C932" s="1" t="s">
        <v>1063</v>
      </c>
      <c r="D932" s="1"/>
      <c r="E932" s="1"/>
      <c r="F932" s="1">
        <v>120</v>
      </c>
      <c r="G932" s="1">
        <v>126</v>
      </c>
      <c r="H932" s="1" t="s">
        <v>247</v>
      </c>
      <c r="I932" s="1">
        <v>118</v>
      </c>
      <c r="J932" s="1" t="s">
        <v>264</v>
      </c>
      <c r="K932" s="1">
        <v>5</v>
      </c>
      <c r="L932" s="1">
        <f t="shared" si="14"/>
        <v>590</v>
      </c>
      <c r="M932" s="1" t="s">
        <v>38</v>
      </c>
      <c r="N932" s="1"/>
      <c r="O932" s="12" t="str">
        <f>IF($J932=Sheet2!$A$2, ROW(), "")</f>
        <v/>
      </c>
      <c r="Q932" s="23" t="s">
        <v>2913</v>
      </c>
    </row>
    <row r="933" spans="1:17" ht="14" customHeight="1" x14ac:dyDescent="0.3">
      <c r="A933" s="1" t="s">
        <v>1377</v>
      </c>
      <c r="B933" s="1">
        <v>23</v>
      </c>
      <c r="C933" s="1" t="s">
        <v>1378</v>
      </c>
      <c r="D933" s="1"/>
      <c r="E933" s="1"/>
      <c r="F933" s="1">
        <v>126</v>
      </c>
      <c r="G933" s="1">
        <v>130</v>
      </c>
      <c r="H933" s="1" t="s">
        <v>357</v>
      </c>
      <c r="I933" s="1">
        <v>130</v>
      </c>
      <c r="J933" s="1" t="s">
        <v>264</v>
      </c>
      <c r="K933" s="1">
        <v>5</v>
      </c>
      <c r="L933" s="1">
        <f t="shared" si="14"/>
        <v>650</v>
      </c>
      <c r="M933" s="1" t="s">
        <v>38</v>
      </c>
      <c r="N933" s="1"/>
      <c r="O933" s="12" t="str">
        <f>IF($J933=Sheet2!$A$2, ROW(), "")</f>
        <v/>
      </c>
      <c r="Q933" s="23" t="s">
        <v>2914</v>
      </c>
    </row>
    <row r="934" spans="1:17" ht="14" customHeight="1" x14ac:dyDescent="0.3">
      <c r="A934" s="1" t="s">
        <v>1379</v>
      </c>
      <c r="B934" s="1">
        <v>21</v>
      </c>
      <c r="C934" s="1" t="s">
        <v>1011</v>
      </c>
      <c r="D934" s="1"/>
      <c r="E934" s="1"/>
      <c r="F934" s="1">
        <v>122</v>
      </c>
      <c r="G934" s="1">
        <v>140</v>
      </c>
      <c r="H934" s="1" t="s">
        <v>326</v>
      </c>
      <c r="I934" s="1">
        <v>120</v>
      </c>
      <c r="J934" s="1" t="s">
        <v>130</v>
      </c>
      <c r="K934" s="1">
        <v>5</v>
      </c>
      <c r="L934" s="1">
        <f t="shared" si="14"/>
        <v>600</v>
      </c>
      <c r="M934" s="1" t="s">
        <v>38</v>
      </c>
      <c r="N934" s="1"/>
      <c r="O934" s="12" t="str">
        <f>IF($J934=Sheet2!$A$2, ROW(), "")</f>
        <v/>
      </c>
      <c r="Q934" s="23" t="s">
        <v>2915</v>
      </c>
    </row>
    <row r="935" spans="1:17" ht="14" customHeight="1" x14ac:dyDescent="0.3">
      <c r="A935" s="1" t="s">
        <v>1380</v>
      </c>
      <c r="B935" s="1">
        <v>23</v>
      </c>
      <c r="C935" s="1" t="s">
        <v>1011</v>
      </c>
      <c r="D935" s="1"/>
      <c r="E935" s="1"/>
      <c r="F935" s="1">
        <v>120</v>
      </c>
      <c r="G935" s="1">
        <v>140</v>
      </c>
      <c r="H935" s="1" t="s">
        <v>357</v>
      </c>
      <c r="I935" s="1">
        <v>140</v>
      </c>
      <c r="J935" s="1" t="s">
        <v>1759</v>
      </c>
      <c r="K935" s="1">
        <v>5</v>
      </c>
      <c r="L935" s="1">
        <f t="shared" si="14"/>
        <v>700</v>
      </c>
      <c r="M935" s="1" t="s">
        <v>38</v>
      </c>
      <c r="N935" s="1"/>
      <c r="O935" s="12" t="str">
        <f>IF($J935=Sheet2!$A$2, ROW(), "")</f>
        <v/>
      </c>
      <c r="Q935" s="23" t="s">
        <v>2916</v>
      </c>
    </row>
    <row r="936" spans="1:17" ht="14" customHeight="1" x14ac:dyDescent="0.3">
      <c r="A936" s="1" t="s">
        <v>1381</v>
      </c>
      <c r="B936" s="1">
        <v>28</v>
      </c>
      <c r="C936" s="1" t="s">
        <v>734</v>
      </c>
      <c r="D936" s="1"/>
      <c r="E936" s="1"/>
      <c r="F936" s="1">
        <v>114</v>
      </c>
      <c r="G936" s="1">
        <v>132</v>
      </c>
      <c r="H936" s="1" t="s">
        <v>1382</v>
      </c>
      <c r="I936" s="1">
        <v>120</v>
      </c>
      <c r="J936" s="1" t="s">
        <v>1759</v>
      </c>
      <c r="K936" s="1">
        <v>5</v>
      </c>
      <c r="L936" s="1">
        <f t="shared" si="14"/>
        <v>600</v>
      </c>
      <c r="M936" s="1" t="s">
        <v>38</v>
      </c>
      <c r="N936" s="1"/>
      <c r="O936" s="12" t="str">
        <f>IF($J936=Sheet2!$A$2, ROW(), "")</f>
        <v/>
      </c>
      <c r="Q936" s="23" t="s">
        <v>2917</v>
      </c>
    </row>
    <row r="937" spans="1:17" ht="14" customHeight="1" x14ac:dyDescent="0.3">
      <c r="A937" s="1" t="s">
        <v>1383</v>
      </c>
      <c r="B937" s="1">
        <v>38</v>
      </c>
      <c r="C937" s="1" t="s">
        <v>1011</v>
      </c>
      <c r="D937" s="1"/>
      <c r="E937" s="1"/>
      <c r="F937" s="1">
        <v>122</v>
      </c>
      <c r="G937" s="1">
        <v>126</v>
      </c>
      <c r="H937" s="1" t="s">
        <v>1</v>
      </c>
      <c r="I937" s="1">
        <v>100</v>
      </c>
      <c r="J937" s="1" t="s">
        <v>1721</v>
      </c>
      <c r="K937" s="1">
        <v>5</v>
      </c>
      <c r="L937" s="1">
        <f t="shared" si="14"/>
        <v>500</v>
      </c>
      <c r="M937" s="1" t="s">
        <v>38</v>
      </c>
      <c r="N937" s="1"/>
      <c r="O937" s="12" t="str">
        <f>IF($J937=Sheet2!$A$2, ROW(), "")</f>
        <v/>
      </c>
      <c r="Q937" s="23" t="s">
        <v>2918</v>
      </c>
    </row>
    <row r="938" spans="1:17" ht="14" customHeight="1" x14ac:dyDescent="0.3">
      <c r="A938" s="1" t="s">
        <v>1384</v>
      </c>
      <c r="B938" s="1">
        <v>23</v>
      </c>
      <c r="C938" s="1" t="s">
        <v>1011</v>
      </c>
      <c r="D938" s="1"/>
      <c r="E938" s="1"/>
      <c r="F938" s="1">
        <v>128</v>
      </c>
      <c r="G938" s="1">
        <v>140</v>
      </c>
      <c r="H938" s="1" t="s">
        <v>1385</v>
      </c>
      <c r="I938" s="1">
        <v>150</v>
      </c>
      <c r="J938" s="1" t="s">
        <v>1866</v>
      </c>
      <c r="K938" s="1">
        <v>5</v>
      </c>
      <c r="L938" s="1">
        <f t="shared" si="14"/>
        <v>750</v>
      </c>
      <c r="M938" s="1" t="s">
        <v>38</v>
      </c>
      <c r="N938" s="1"/>
      <c r="O938" s="12" t="str">
        <f>IF($J938=Sheet2!$A$2, ROW(), "")</f>
        <v/>
      </c>
      <c r="Q938" s="23" t="s">
        <v>2919</v>
      </c>
    </row>
    <row r="939" spans="1:17" ht="14" customHeight="1" x14ac:dyDescent="0.3">
      <c r="A939" s="1" t="s">
        <v>1386</v>
      </c>
      <c r="B939" s="1">
        <v>26</v>
      </c>
      <c r="C939" s="1" t="s">
        <v>305</v>
      </c>
      <c r="D939" s="1"/>
      <c r="E939" s="1"/>
      <c r="F939" s="1">
        <v>118</v>
      </c>
      <c r="G939" s="1">
        <v>140</v>
      </c>
      <c r="H939" s="1" t="s">
        <v>357</v>
      </c>
      <c r="I939" s="1">
        <v>130</v>
      </c>
      <c r="J939" s="1" t="s">
        <v>609</v>
      </c>
      <c r="K939" s="1">
        <v>5</v>
      </c>
      <c r="L939" s="1">
        <f t="shared" si="14"/>
        <v>650</v>
      </c>
      <c r="M939" s="1" t="s">
        <v>38</v>
      </c>
      <c r="N939" s="1"/>
      <c r="O939" s="12" t="str">
        <f>IF($J939=Sheet2!$A$2, ROW(), "")</f>
        <v/>
      </c>
      <c r="Q939" s="23" t="s">
        <v>2920</v>
      </c>
    </row>
    <row r="940" spans="1:17" ht="14" customHeight="1" x14ac:dyDescent="0.3">
      <c r="A940" s="1" t="s">
        <v>1387</v>
      </c>
      <c r="B940" s="1">
        <v>26</v>
      </c>
      <c r="C940" s="1" t="s">
        <v>1388</v>
      </c>
      <c r="D940" s="1"/>
      <c r="E940" s="1"/>
      <c r="F940" s="1">
        <v>121</v>
      </c>
      <c r="G940" s="1">
        <v>121</v>
      </c>
      <c r="H940" s="1" t="s">
        <v>317</v>
      </c>
      <c r="I940" s="1">
        <v>90</v>
      </c>
      <c r="J940" s="1" t="s">
        <v>1039</v>
      </c>
      <c r="K940" s="1">
        <v>5</v>
      </c>
      <c r="L940" s="1">
        <f t="shared" si="14"/>
        <v>450</v>
      </c>
      <c r="M940" s="1" t="s">
        <v>38</v>
      </c>
      <c r="N940" s="1"/>
      <c r="O940" s="12" t="str">
        <f>IF($J940=Sheet2!$A$2, ROW(), "")</f>
        <v/>
      </c>
      <c r="Q940" s="23" t="s">
        <v>2921</v>
      </c>
    </row>
    <row r="941" spans="1:17" ht="14" customHeight="1" x14ac:dyDescent="0.3">
      <c r="A941" s="1" t="s">
        <v>1389</v>
      </c>
      <c r="B941" s="1">
        <v>21</v>
      </c>
      <c r="C941" s="1" t="s">
        <v>611</v>
      </c>
      <c r="D941" s="1"/>
      <c r="E941" s="1"/>
      <c r="F941" s="1">
        <v>127</v>
      </c>
      <c r="G941" s="1">
        <v>160</v>
      </c>
      <c r="H941" s="1" t="s">
        <v>1170</v>
      </c>
      <c r="I941" s="1">
        <v>260</v>
      </c>
      <c r="J941" s="1" t="s">
        <v>1720</v>
      </c>
      <c r="K941" s="1">
        <v>6</v>
      </c>
      <c r="L941" s="1">
        <f t="shared" si="14"/>
        <v>1300</v>
      </c>
      <c r="M941" s="1" t="s">
        <v>38</v>
      </c>
      <c r="N941" s="1"/>
      <c r="O941" s="12" t="str">
        <f>IF($J941=Sheet2!$A$2, ROW(), "")</f>
        <v/>
      </c>
      <c r="Q941" s="23" t="s">
        <v>2922</v>
      </c>
    </row>
    <row r="942" spans="1:17" ht="14" customHeight="1" x14ac:dyDescent="0.3">
      <c r="A942" s="1" t="s">
        <v>1390</v>
      </c>
      <c r="B942" s="1">
        <v>34</v>
      </c>
      <c r="C942" s="1" t="s">
        <v>1011</v>
      </c>
      <c r="D942" s="1"/>
      <c r="E942" s="1"/>
      <c r="F942" s="1">
        <v>110</v>
      </c>
      <c r="G942" s="1">
        <v>132</v>
      </c>
      <c r="H942" s="1" t="s">
        <v>969</v>
      </c>
      <c r="I942" s="1">
        <v>120</v>
      </c>
      <c r="J942" s="1" t="s">
        <v>264</v>
      </c>
      <c r="K942" s="1">
        <v>5</v>
      </c>
      <c r="L942" s="1">
        <f t="shared" si="14"/>
        <v>600</v>
      </c>
      <c r="M942" s="1" t="s">
        <v>38</v>
      </c>
      <c r="N942" s="1"/>
      <c r="O942" s="12" t="str">
        <f>IF($J942=Sheet2!$A$2, ROW(), "")</f>
        <v/>
      </c>
      <c r="Q942" s="23" t="s">
        <v>2923</v>
      </c>
    </row>
    <row r="943" spans="1:17" ht="14" customHeight="1" x14ac:dyDescent="0.3">
      <c r="A943" s="1" t="s">
        <v>1391</v>
      </c>
      <c r="B943" s="1">
        <v>21</v>
      </c>
      <c r="C943" s="1" t="s">
        <v>1392</v>
      </c>
      <c r="D943" s="1"/>
      <c r="E943" s="1"/>
      <c r="F943" s="1">
        <v>100</v>
      </c>
      <c r="G943" s="1">
        <v>140</v>
      </c>
      <c r="H943" s="1" t="s">
        <v>357</v>
      </c>
      <c r="I943" s="1">
        <v>80</v>
      </c>
      <c r="J943" s="1" t="s">
        <v>1039</v>
      </c>
      <c r="K943" s="1">
        <v>6</v>
      </c>
      <c r="L943" s="1">
        <f t="shared" si="14"/>
        <v>400</v>
      </c>
      <c r="M943" s="1" t="s">
        <v>38</v>
      </c>
      <c r="N943" s="1"/>
      <c r="O943" s="12" t="str">
        <f>IF($J943=Sheet2!$A$2, ROW(), "")</f>
        <v/>
      </c>
      <c r="Q943" s="23" t="s">
        <v>2924</v>
      </c>
    </row>
    <row r="944" spans="1:17" ht="14" customHeight="1" x14ac:dyDescent="0.3">
      <c r="A944" s="1" t="s">
        <v>1393</v>
      </c>
      <c r="B944" s="1">
        <v>21</v>
      </c>
      <c r="C944" s="1" t="s">
        <v>1394</v>
      </c>
      <c r="D944" s="1"/>
      <c r="E944" s="1"/>
      <c r="F944" s="1">
        <v>132</v>
      </c>
      <c r="G944" s="1">
        <v>150</v>
      </c>
      <c r="H944" s="1" t="s">
        <v>1395</v>
      </c>
      <c r="I944" s="1">
        <v>180</v>
      </c>
      <c r="J944" s="1" t="s">
        <v>271</v>
      </c>
      <c r="K944" s="1">
        <v>5</v>
      </c>
      <c r="L944" s="1">
        <f t="shared" si="14"/>
        <v>900</v>
      </c>
      <c r="M944" s="1" t="s">
        <v>38</v>
      </c>
      <c r="N944" s="1"/>
      <c r="O944" s="12" t="str">
        <f>IF($J944=Sheet2!$A$2, ROW(), "")</f>
        <v/>
      </c>
      <c r="Q944" s="23" t="s">
        <v>2925</v>
      </c>
    </row>
    <row r="945" spans="1:17" ht="14" customHeight="1" x14ac:dyDescent="0.3">
      <c r="A945" s="1" t="s">
        <v>1396</v>
      </c>
      <c r="B945" s="1">
        <v>30</v>
      </c>
      <c r="C945" s="1" t="s">
        <v>1397</v>
      </c>
      <c r="D945" s="1"/>
      <c r="E945" s="1"/>
      <c r="F945" s="1">
        <v>122</v>
      </c>
      <c r="G945" s="1">
        <v>126</v>
      </c>
      <c r="H945" s="1" t="s">
        <v>317</v>
      </c>
      <c r="I945" s="1">
        <v>130</v>
      </c>
      <c r="J945" s="1" t="s">
        <v>1721</v>
      </c>
      <c r="K945" s="1">
        <v>5</v>
      </c>
      <c r="L945" s="1">
        <f t="shared" si="14"/>
        <v>650</v>
      </c>
      <c r="M945" s="1" t="s">
        <v>38</v>
      </c>
      <c r="N945" s="1"/>
      <c r="O945" s="12" t="str">
        <f>IF($J945=Sheet2!$A$2, ROW(), "")</f>
        <v/>
      </c>
      <c r="Q945" s="23" t="s">
        <v>2926</v>
      </c>
    </row>
    <row r="946" spans="1:17" ht="14" customHeight="1" x14ac:dyDescent="0.3">
      <c r="A946" s="1" t="s">
        <v>1398</v>
      </c>
      <c r="B946" s="1">
        <v>20</v>
      </c>
      <c r="C946" s="1" t="s">
        <v>1399</v>
      </c>
      <c r="D946" s="1"/>
      <c r="E946" s="1"/>
      <c r="F946" s="1">
        <v>117</v>
      </c>
      <c r="G946" s="1">
        <v>150</v>
      </c>
      <c r="H946" s="1" t="s">
        <v>1400</v>
      </c>
      <c r="I946" s="1">
        <v>140</v>
      </c>
      <c r="J946" s="1" t="s">
        <v>609</v>
      </c>
      <c r="K946" s="1">
        <v>5</v>
      </c>
      <c r="L946" s="1">
        <f t="shared" si="14"/>
        <v>700</v>
      </c>
      <c r="M946" s="1" t="s">
        <v>38</v>
      </c>
      <c r="N946" s="1"/>
      <c r="O946" s="12" t="str">
        <f>IF($J946=Sheet2!$A$2, ROW(), "")</f>
        <v/>
      </c>
      <c r="Q946" s="23" t="s">
        <v>2927</v>
      </c>
    </row>
    <row r="947" spans="1:17" ht="14" customHeight="1" x14ac:dyDescent="0.3">
      <c r="A947" s="1" t="s">
        <v>1401</v>
      </c>
      <c r="B947" s="1">
        <v>36</v>
      </c>
      <c r="C947" s="1" t="s">
        <v>582</v>
      </c>
      <c r="D947" s="1"/>
      <c r="E947" s="1"/>
      <c r="F947" s="1">
        <v>118</v>
      </c>
      <c r="G947" s="1">
        <v>140</v>
      </c>
      <c r="H947" s="1" t="s">
        <v>553</v>
      </c>
      <c r="I947" s="1">
        <v>130</v>
      </c>
      <c r="J947" s="1" t="s">
        <v>520</v>
      </c>
      <c r="K947" s="1">
        <v>5</v>
      </c>
      <c r="L947" s="1">
        <f t="shared" si="14"/>
        <v>650</v>
      </c>
      <c r="M947" s="1" t="s">
        <v>38</v>
      </c>
      <c r="N947" s="1"/>
      <c r="O947" s="12" t="str">
        <f>IF($J947=Sheet2!$A$2, ROW(), "")</f>
        <v/>
      </c>
      <c r="Q947" s="23" t="s">
        <v>2928</v>
      </c>
    </row>
    <row r="948" spans="1:17" ht="14" customHeight="1" x14ac:dyDescent="0.3">
      <c r="A948" s="1" t="s">
        <v>1402</v>
      </c>
      <c r="B948" s="1">
        <v>24</v>
      </c>
      <c r="C948" s="1" t="s">
        <v>647</v>
      </c>
      <c r="D948" s="1"/>
      <c r="E948" s="1"/>
      <c r="F948" s="1">
        <v>134</v>
      </c>
      <c r="G948" s="1">
        <v>140</v>
      </c>
      <c r="H948" s="1" t="s">
        <v>357</v>
      </c>
      <c r="I948" s="1">
        <v>160</v>
      </c>
      <c r="J948" s="1" t="s">
        <v>683</v>
      </c>
      <c r="K948" s="1">
        <v>5</v>
      </c>
      <c r="L948" s="1">
        <f t="shared" si="14"/>
        <v>800</v>
      </c>
      <c r="M948" s="1" t="s">
        <v>38</v>
      </c>
      <c r="N948" s="1"/>
      <c r="O948" s="12" t="str">
        <f>IF($J948=Sheet2!$A$2, ROW(), "")</f>
        <v/>
      </c>
      <c r="Q948" s="23" t="s">
        <v>2929</v>
      </c>
    </row>
    <row r="949" spans="1:17" ht="14" customHeight="1" x14ac:dyDescent="0.3">
      <c r="A949" s="1" t="s">
        <v>1403</v>
      </c>
      <c r="B949" s="1">
        <v>32</v>
      </c>
      <c r="C949" s="1" t="s">
        <v>246</v>
      </c>
      <c r="D949" s="1"/>
      <c r="E949" s="1"/>
      <c r="F949" s="1">
        <v>122</v>
      </c>
      <c r="G949" s="1">
        <v>131</v>
      </c>
      <c r="H949" s="1" t="s">
        <v>260</v>
      </c>
      <c r="I949" s="1">
        <v>180</v>
      </c>
      <c r="J949" s="1" t="s">
        <v>1932</v>
      </c>
      <c r="K949" s="1">
        <v>5</v>
      </c>
      <c r="L949" s="1">
        <f t="shared" si="14"/>
        <v>900</v>
      </c>
      <c r="M949" s="1" t="s">
        <v>38</v>
      </c>
      <c r="N949" s="1"/>
      <c r="O949" s="12" t="str">
        <f>IF($J949=Sheet2!$A$2, ROW(), "")</f>
        <v/>
      </c>
      <c r="Q949" s="23" t="s">
        <v>2930</v>
      </c>
    </row>
    <row r="950" spans="1:17" ht="14" customHeight="1" x14ac:dyDescent="0.3">
      <c r="A950" s="1" t="s">
        <v>1404</v>
      </c>
      <c r="B950" s="1">
        <v>27</v>
      </c>
      <c r="C950" s="1" t="s">
        <v>1405</v>
      </c>
      <c r="D950" s="1"/>
      <c r="E950" s="1"/>
      <c r="F950" s="1">
        <v>108</v>
      </c>
      <c r="G950" s="1">
        <v>125</v>
      </c>
      <c r="H950" s="1" t="s">
        <v>892</v>
      </c>
      <c r="I950" s="1">
        <v>130</v>
      </c>
      <c r="J950" s="1" t="s">
        <v>1891</v>
      </c>
      <c r="K950" s="1">
        <v>5</v>
      </c>
      <c r="L950" s="1">
        <f t="shared" si="14"/>
        <v>650</v>
      </c>
      <c r="M950" s="1" t="s">
        <v>38</v>
      </c>
      <c r="N950" s="1"/>
      <c r="O950" s="12" t="str">
        <f>IF($J950=Sheet2!$A$2, ROW(), "")</f>
        <v/>
      </c>
      <c r="Q950" s="23" t="s">
        <v>2931</v>
      </c>
    </row>
    <row r="951" spans="1:17" ht="14" customHeight="1" x14ac:dyDescent="0.3">
      <c r="A951" s="1" t="s">
        <v>1406</v>
      </c>
      <c r="B951" s="1">
        <v>27</v>
      </c>
      <c r="C951" s="1" t="s">
        <v>1407</v>
      </c>
      <c r="D951" s="1"/>
      <c r="E951" s="1"/>
      <c r="F951" s="1">
        <v>114</v>
      </c>
      <c r="G951" s="1">
        <v>124</v>
      </c>
      <c r="H951" s="1" t="s">
        <v>1382</v>
      </c>
      <c r="I951" s="1">
        <v>130</v>
      </c>
      <c r="J951" s="1" t="s">
        <v>1891</v>
      </c>
      <c r="K951" s="1">
        <v>5</v>
      </c>
      <c r="L951" s="1">
        <f t="shared" si="14"/>
        <v>650</v>
      </c>
      <c r="M951" s="1" t="s">
        <v>38</v>
      </c>
      <c r="N951" s="1"/>
      <c r="O951" s="12" t="str">
        <f>IF($J951=Sheet2!$A$2, ROW(), "")</f>
        <v/>
      </c>
      <c r="Q951" s="23" t="s">
        <v>2932</v>
      </c>
    </row>
    <row r="952" spans="1:17" ht="14" customHeight="1" x14ac:dyDescent="0.3">
      <c r="A952" s="1" t="s">
        <v>1408</v>
      </c>
      <c r="B952" s="1">
        <v>22</v>
      </c>
      <c r="C952" s="1" t="s">
        <v>1409</v>
      </c>
      <c r="D952" s="1"/>
      <c r="E952" s="1"/>
      <c r="F952" s="1">
        <v>130</v>
      </c>
      <c r="G952" s="1">
        <v>145</v>
      </c>
      <c r="H952" s="1" t="s">
        <v>307</v>
      </c>
      <c r="I952" s="1">
        <v>200</v>
      </c>
      <c r="J952" s="1" t="s">
        <v>1717</v>
      </c>
      <c r="K952" s="1">
        <v>5</v>
      </c>
      <c r="L952" s="1">
        <f t="shared" si="14"/>
        <v>1000</v>
      </c>
      <c r="M952" s="1" t="s">
        <v>38</v>
      </c>
      <c r="N952" s="1"/>
      <c r="O952" s="12" t="str">
        <f>IF($J952=Sheet2!$A$2, ROW(), "")</f>
        <v/>
      </c>
      <c r="Q952" s="23" t="s">
        <v>2933</v>
      </c>
    </row>
    <row r="953" spans="1:17" ht="14" customHeight="1" x14ac:dyDescent="0.3">
      <c r="A953" s="1" t="s">
        <v>1410</v>
      </c>
      <c r="B953" s="1">
        <v>37</v>
      </c>
      <c r="C953" s="1" t="s">
        <v>1411</v>
      </c>
      <c r="D953" s="1"/>
      <c r="E953" s="1"/>
      <c r="F953" s="1">
        <v>121</v>
      </c>
      <c r="G953" s="1">
        <v>152</v>
      </c>
      <c r="H953" s="1" t="s">
        <v>260</v>
      </c>
      <c r="I953" s="1">
        <v>130</v>
      </c>
      <c r="J953" s="1" t="s">
        <v>1659</v>
      </c>
      <c r="K953" s="1">
        <v>5</v>
      </c>
      <c r="L953" s="1">
        <f t="shared" si="14"/>
        <v>650</v>
      </c>
      <c r="M953" s="1" t="s">
        <v>38</v>
      </c>
      <c r="N953" s="1"/>
      <c r="O953" s="12" t="str">
        <f>IF($J953=Sheet2!$A$2, ROW(), "")</f>
        <v/>
      </c>
      <c r="Q953" s="23" t="s">
        <v>2934</v>
      </c>
    </row>
    <row r="954" spans="1:17" ht="14" customHeight="1" x14ac:dyDescent="0.3">
      <c r="A954" s="1" t="s">
        <v>1412</v>
      </c>
      <c r="B954" s="1">
        <v>25</v>
      </c>
      <c r="C954" s="1" t="s">
        <v>256</v>
      </c>
      <c r="D954" s="1"/>
      <c r="E954" s="1"/>
      <c r="F954" s="1">
        <v>130</v>
      </c>
      <c r="G954" s="1">
        <v>130</v>
      </c>
      <c r="H954" s="1" t="s">
        <v>895</v>
      </c>
      <c r="I954" s="1">
        <v>130</v>
      </c>
      <c r="J954" s="1" t="s">
        <v>1659</v>
      </c>
      <c r="K954" s="1">
        <v>5</v>
      </c>
      <c r="L954" s="1">
        <f t="shared" si="14"/>
        <v>650</v>
      </c>
      <c r="M954" s="1" t="s">
        <v>38</v>
      </c>
      <c r="N954" s="1"/>
      <c r="O954" s="12" t="str">
        <f>IF($J954=Sheet2!$A$2, ROW(), "")</f>
        <v/>
      </c>
      <c r="Q954" s="23" t="s">
        <v>2935</v>
      </c>
    </row>
    <row r="955" spans="1:17" ht="14" customHeight="1" x14ac:dyDescent="0.3">
      <c r="A955" s="1" t="s">
        <v>1413</v>
      </c>
      <c r="B955" s="1">
        <v>24</v>
      </c>
      <c r="C955" s="1" t="s">
        <v>1414</v>
      </c>
      <c r="D955" s="1"/>
      <c r="E955" s="1"/>
      <c r="F955" s="1">
        <v>132</v>
      </c>
      <c r="G955" s="1">
        <v>134</v>
      </c>
      <c r="H955" s="1" t="s">
        <v>1170</v>
      </c>
      <c r="I955" s="1">
        <v>130</v>
      </c>
      <c r="J955" s="1" t="s">
        <v>1659</v>
      </c>
      <c r="K955" s="1">
        <v>5</v>
      </c>
      <c r="L955" s="1">
        <f t="shared" si="14"/>
        <v>650</v>
      </c>
      <c r="M955" s="1" t="s">
        <v>38</v>
      </c>
      <c r="N955" s="1"/>
      <c r="O955" s="12" t="str">
        <f>IF($J955=Sheet2!$A$2, ROW(), "")</f>
        <v/>
      </c>
      <c r="Q955" s="23" t="s">
        <v>2936</v>
      </c>
    </row>
    <row r="956" spans="1:17" ht="14" customHeight="1" x14ac:dyDescent="0.3">
      <c r="A956" s="1" t="s">
        <v>1415</v>
      </c>
      <c r="B956" s="1">
        <v>22</v>
      </c>
      <c r="C956" s="1" t="s">
        <v>1063</v>
      </c>
      <c r="D956" s="1"/>
      <c r="E956" s="1"/>
      <c r="F956" s="1">
        <v>124</v>
      </c>
      <c r="G956" s="1">
        <v>138</v>
      </c>
      <c r="H956" s="1" t="s">
        <v>1102</v>
      </c>
      <c r="I956" s="1">
        <v>70</v>
      </c>
      <c r="J956" s="1" t="s">
        <v>1766</v>
      </c>
      <c r="K956" s="1">
        <v>5</v>
      </c>
      <c r="L956" s="1">
        <f t="shared" si="14"/>
        <v>350</v>
      </c>
      <c r="M956" s="1" t="s">
        <v>38</v>
      </c>
      <c r="N956" s="1"/>
      <c r="O956" s="12" t="str">
        <f>IF($J956=Sheet2!$A$2, ROW(), "")</f>
        <v/>
      </c>
      <c r="Q956" s="23" t="s">
        <v>2937</v>
      </c>
    </row>
    <row r="957" spans="1:17" ht="14" customHeight="1" x14ac:dyDescent="0.3">
      <c r="A957" s="1" t="s">
        <v>1416</v>
      </c>
      <c r="B957" s="1">
        <v>25</v>
      </c>
      <c r="C957" s="1" t="s">
        <v>849</v>
      </c>
      <c r="D957" s="1"/>
      <c r="E957" s="1"/>
      <c r="F957" s="1">
        <v>130</v>
      </c>
      <c r="G957" s="1">
        <v>140</v>
      </c>
      <c r="H957" s="1" t="s">
        <v>317</v>
      </c>
      <c r="I957" s="1">
        <v>200</v>
      </c>
      <c r="J957" s="1" t="s">
        <v>274</v>
      </c>
      <c r="K957" s="1">
        <v>5</v>
      </c>
      <c r="L957" s="1">
        <f t="shared" si="14"/>
        <v>1000</v>
      </c>
      <c r="M957" s="1" t="s">
        <v>38</v>
      </c>
      <c r="N957" s="1"/>
      <c r="O957" s="12" t="str">
        <f>IF($J957=Sheet2!$A$2, ROW(), "")</f>
        <v/>
      </c>
      <c r="Q957" s="23" t="s">
        <v>2938</v>
      </c>
    </row>
    <row r="958" spans="1:17" ht="14" customHeight="1" x14ac:dyDescent="0.3">
      <c r="A958" s="1" t="s">
        <v>1417</v>
      </c>
      <c r="B958" s="1">
        <v>29</v>
      </c>
      <c r="C958" s="1" t="s">
        <v>1063</v>
      </c>
      <c r="D958" s="1"/>
      <c r="E958" s="1"/>
      <c r="F958" s="1">
        <v>122</v>
      </c>
      <c r="G958" s="1">
        <v>134</v>
      </c>
      <c r="H958" s="1" t="s">
        <v>310</v>
      </c>
      <c r="I958" s="1">
        <v>130</v>
      </c>
      <c r="J958" s="1" t="s">
        <v>1766</v>
      </c>
      <c r="K958" s="1">
        <v>5</v>
      </c>
      <c r="L958" s="1">
        <f t="shared" si="14"/>
        <v>650</v>
      </c>
      <c r="M958" s="1" t="s">
        <v>38</v>
      </c>
      <c r="N958" s="1"/>
      <c r="O958" s="12" t="str">
        <f>IF($J958=Sheet2!$A$2, ROW(), "")</f>
        <v/>
      </c>
      <c r="Q958" s="23" t="s">
        <v>2939</v>
      </c>
    </row>
    <row r="959" spans="1:17" ht="14" customHeight="1" x14ac:dyDescent="0.3">
      <c r="A959" s="1" t="s">
        <v>1418</v>
      </c>
      <c r="B959" s="1">
        <v>24</v>
      </c>
      <c r="C959" s="1" t="s">
        <v>1011</v>
      </c>
      <c r="D959" s="1"/>
      <c r="E959" s="1"/>
      <c r="F959" s="1">
        <v>116</v>
      </c>
      <c r="G959" s="1">
        <v>140</v>
      </c>
      <c r="H959" s="1" t="s">
        <v>1049</v>
      </c>
      <c r="I959" s="1">
        <v>100</v>
      </c>
      <c r="J959" s="1" t="s">
        <v>683</v>
      </c>
      <c r="K959" s="1">
        <v>5</v>
      </c>
      <c r="L959" s="1">
        <f t="shared" si="14"/>
        <v>500</v>
      </c>
      <c r="M959" s="1" t="s">
        <v>38</v>
      </c>
      <c r="N959" s="1"/>
      <c r="O959" s="12" t="str">
        <f>IF($J959=Sheet2!$A$2, ROW(), "")</f>
        <v/>
      </c>
      <c r="Q959" s="23" t="s">
        <v>2940</v>
      </c>
    </row>
    <row r="960" spans="1:17" ht="14" customHeight="1" x14ac:dyDescent="0.3">
      <c r="A960" s="1" t="s">
        <v>1419</v>
      </c>
      <c r="B960" s="1">
        <v>23</v>
      </c>
      <c r="C960" s="1" t="s">
        <v>1011</v>
      </c>
      <c r="D960" s="1"/>
      <c r="E960" s="1"/>
      <c r="F960" s="1">
        <v>127</v>
      </c>
      <c r="G960" s="1">
        <v>140</v>
      </c>
      <c r="H960" s="1" t="s">
        <v>277</v>
      </c>
      <c r="I960" s="1">
        <v>120</v>
      </c>
      <c r="J960" s="1" t="s">
        <v>683</v>
      </c>
      <c r="K960" s="1">
        <v>5</v>
      </c>
      <c r="L960" s="1">
        <f t="shared" si="14"/>
        <v>600</v>
      </c>
      <c r="M960" s="1" t="s">
        <v>38</v>
      </c>
      <c r="N960" s="1"/>
      <c r="O960" s="12" t="str">
        <f>IF($J960=Sheet2!$A$2, ROW(), "")</f>
        <v/>
      </c>
      <c r="Q960" s="23" t="s">
        <v>2941</v>
      </c>
    </row>
    <row r="961" spans="1:17" ht="14" customHeight="1" x14ac:dyDescent="0.3">
      <c r="A961" s="1" t="s">
        <v>1420</v>
      </c>
      <c r="B961" s="1">
        <v>28</v>
      </c>
      <c r="C961" s="1" t="s">
        <v>1421</v>
      </c>
      <c r="D961" s="1"/>
      <c r="E961" s="1"/>
      <c r="F961" s="1">
        <v>122</v>
      </c>
      <c r="G961" s="1">
        <v>128</v>
      </c>
      <c r="H961" s="1" t="s">
        <v>357</v>
      </c>
      <c r="I961" s="1">
        <v>120</v>
      </c>
      <c r="J961" s="1" t="s">
        <v>274</v>
      </c>
      <c r="K961" s="1">
        <v>5</v>
      </c>
      <c r="L961" s="1">
        <f t="shared" si="14"/>
        <v>600</v>
      </c>
      <c r="M961" s="1" t="s">
        <v>38</v>
      </c>
      <c r="N961" s="1"/>
      <c r="O961" s="12" t="str">
        <f>IF($J961=Sheet2!$A$2, ROW(), "")</f>
        <v/>
      </c>
      <c r="Q961" s="23" t="s">
        <v>2942</v>
      </c>
    </row>
    <row r="962" spans="1:17" ht="14" customHeight="1" x14ac:dyDescent="0.3">
      <c r="A962" s="1" t="s">
        <v>1422</v>
      </c>
      <c r="B962" s="1">
        <v>26</v>
      </c>
      <c r="C962" s="1" t="s">
        <v>1148</v>
      </c>
      <c r="D962" s="1"/>
      <c r="E962" s="1"/>
      <c r="F962" s="1">
        <v>125</v>
      </c>
      <c r="G962" s="1">
        <v>125</v>
      </c>
      <c r="H962" s="1" t="s">
        <v>260</v>
      </c>
      <c r="I962" s="1">
        <v>120</v>
      </c>
      <c r="J962" s="1" t="s">
        <v>1721</v>
      </c>
      <c r="K962" s="1">
        <v>5</v>
      </c>
      <c r="L962" s="1">
        <f t="shared" ref="L962:L1025" si="15">I962*5</f>
        <v>600</v>
      </c>
      <c r="M962" s="1" t="s">
        <v>38</v>
      </c>
      <c r="N962" s="1"/>
      <c r="O962" s="12" t="str">
        <f>IF($J962=Sheet2!$A$2, ROW(), "")</f>
        <v/>
      </c>
      <c r="Q962" s="23" t="s">
        <v>2943</v>
      </c>
    </row>
    <row r="963" spans="1:17" ht="14" customHeight="1" x14ac:dyDescent="0.3">
      <c r="A963" s="1" t="s">
        <v>1423</v>
      </c>
      <c r="B963" s="1">
        <v>22</v>
      </c>
      <c r="C963" s="1" t="s">
        <v>1424</v>
      </c>
      <c r="D963" s="1"/>
      <c r="E963" s="1"/>
      <c r="F963" s="1">
        <v>130</v>
      </c>
      <c r="G963" s="1">
        <v>160</v>
      </c>
      <c r="H963" s="1" t="s">
        <v>357</v>
      </c>
      <c r="I963" s="1">
        <v>300</v>
      </c>
      <c r="J963" s="1" t="s">
        <v>1164</v>
      </c>
      <c r="K963" s="1">
        <v>5</v>
      </c>
      <c r="L963" s="1">
        <f t="shared" si="15"/>
        <v>1500</v>
      </c>
      <c r="M963" s="1" t="s">
        <v>38</v>
      </c>
      <c r="N963" s="1"/>
      <c r="O963" s="12" t="str">
        <f>IF($J963=Sheet2!$A$2, ROW(), "")</f>
        <v/>
      </c>
      <c r="Q963" s="23" t="s">
        <v>2944</v>
      </c>
    </row>
    <row r="964" spans="1:17" ht="14" customHeight="1" x14ac:dyDescent="0.3">
      <c r="A964" s="1" t="s">
        <v>1425</v>
      </c>
      <c r="B964" s="1">
        <v>19</v>
      </c>
      <c r="C964" s="1" t="s">
        <v>843</v>
      </c>
      <c r="D964" s="1"/>
      <c r="E964" s="1"/>
      <c r="F964" s="1">
        <v>120</v>
      </c>
      <c r="G964" s="1">
        <v>170</v>
      </c>
      <c r="H964" s="1" t="s">
        <v>260</v>
      </c>
      <c r="I964" s="1">
        <v>300</v>
      </c>
      <c r="J964" s="1" t="s">
        <v>233</v>
      </c>
      <c r="K964" s="1">
        <v>6</v>
      </c>
      <c r="L964" s="1">
        <f t="shared" si="15"/>
        <v>1500</v>
      </c>
      <c r="M964" s="1" t="s">
        <v>38</v>
      </c>
      <c r="N964" s="1"/>
      <c r="O964" s="12" t="str">
        <f>IF($J964=Sheet2!$A$2, ROW(), "")</f>
        <v/>
      </c>
      <c r="Q964" s="23" t="s">
        <v>2945</v>
      </c>
    </row>
    <row r="965" spans="1:17" ht="14" customHeight="1" x14ac:dyDescent="0.3">
      <c r="A965" s="1" t="s">
        <v>1426</v>
      </c>
      <c r="B965" s="1">
        <v>23</v>
      </c>
      <c r="C965" s="1" t="s">
        <v>1427</v>
      </c>
      <c r="D965" s="1"/>
      <c r="E965" s="1"/>
      <c r="F965" s="1">
        <v>120</v>
      </c>
      <c r="G965" s="1">
        <v>132</v>
      </c>
      <c r="H965" s="1" t="s">
        <v>1771</v>
      </c>
      <c r="I965" s="1">
        <v>140</v>
      </c>
      <c r="J965" s="1" t="s">
        <v>1866</v>
      </c>
      <c r="K965" s="1">
        <v>5</v>
      </c>
      <c r="L965" s="1">
        <f t="shared" si="15"/>
        <v>700</v>
      </c>
      <c r="M965" s="1" t="s">
        <v>38</v>
      </c>
      <c r="N965" s="1"/>
      <c r="O965" s="12" t="str">
        <f>IF($J965=Sheet2!$A$2, ROW(), "")</f>
        <v/>
      </c>
      <c r="Q965" s="23" t="s">
        <v>2946</v>
      </c>
    </row>
    <row r="966" spans="1:17" ht="14" customHeight="1" x14ac:dyDescent="0.3">
      <c r="A966" s="1" t="s">
        <v>1428</v>
      </c>
      <c r="B966" s="1">
        <v>21</v>
      </c>
      <c r="C966" s="1" t="s">
        <v>320</v>
      </c>
      <c r="D966" s="1"/>
      <c r="E966" s="1"/>
      <c r="F966" s="1">
        <v>128</v>
      </c>
      <c r="G966" s="1">
        <v>160</v>
      </c>
      <c r="H966" s="1" t="s">
        <v>1</v>
      </c>
      <c r="I966" s="1">
        <v>180</v>
      </c>
      <c r="J966" s="1" t="s">
        <v>683</v>
      </c>
      <c r="K966" s="1">
        <v>5</v>
      </c>
      <c r="L966" s="1">
        <f t="shared" si="15"/>
        <v>900</v>
      </c>
      <c r="M966" s="1" t="s">
        <v>38</v>
      </c>
      <c r="N966" s="1"/>
      <c r="O966" s="12" t="str">
        <f>IF($J966=Sheet2!$A$2, ROW(), "")</f>
        <v/>
      </c>
      <c r="Q966" s="23" t="s">
        <v>2947</v>
      </c>
    </row>
    <row r="967" spans="1:17" ht="14" customHeight="1" x14ac:dyDescent="0.3">
      <c r="A967" s="1" t="s">
        <v>1429</v>
      </c>
      <c r="B967" s="1">
        <v>19</v>
      </c>
      <c r="C967" s="1" t="s">
        <v>1430</v>
      </c>
      <c r="D967" s="1"/>
      <c r="E967" s="1"/>
      <c r="F967" s="1">
        <v>110</v>
      </c>
      <c r="G967" s="1">
        <v>150</v>
      </c>
      <c r="H967" s="1" t="s">
        <v>1431</v>
      </c>
      <c r="I967" s="1">
        <v>100</v>
      </c>
      <c r="J967" s="1" t="s">
        <v>609</v>
      </c>
      <c r="K967" s="1">
        <v>5</v>
      </c>
      <c r="L967" s="1">
        <f t="shared" si="15"/>
        <v>500</v>
      </c>
      <c r="M967" s="1" t="s">
        <v>38</v>
      </c>
      <c r="N967" s="1"/>
      <c r="O967" s="12" t="str">
        <f>IF($J967=Sheet2!$A$2, ROW(), "")</f>
        <v/>
      </c>
      <c r="Q967" s="23" t="s">
        <v>2948</v>
      </c>
    </row>
    <row r="968" spans="1:17" ht="14" customHeight="1" x14ac:dyDescent="0.3">
      <c r="A968" s="1" t="s">
        <v>1432</v>
      </c>
      <c r="B968" s="1">
        <v>21</v>
      </c>
      <c r="C968" s="1" t="s">
        <v>1378</v>
      </c>
      <c r="D968" s="1"/>
      <c r="E968" s="1"/>
      <c r="F968" s="1">
        <v>120</v>
      </c>
      <c r="G968" s="1">
        <v>150</v>
      </c>
      <c r="H968" s="1" t="s">
        <v>1433</v>
      </c>
      <c r="I968" s="1">
        <v>120</v>
      </c>
      <c r="J968" s="1" t="s">
        <v>1721</v>
      </c>
      <c r="K968" s="1">
        <v>5</v>
      </c>
      <c r="L968" s="1">
        <f t="shared" si="15"/>
        <v>600</v>
      </c>
      <c r="M968" s="1" t="s">
        <v>38</v>
      </c>
      <c r="N968" s="1"/>
      <c r="O968" s="12" t="str">
        <f>IF($J968=Sheet2!$A$2, ROW(), "")</f>
        <v/>
      </c>
      <c r="Q968" s="23" t="s">
        <v>2949</v>
      </c>
    </row>
    <row r="969" spans="1:17" ht="14" customHeight="1" x14ac:dyDescent="0.3">
      <c r="A969" s="1" t="s">
        <v>1434</v>
      </c>
      <c r="B969" s="1">
        <v>23</v>
      </c>
      <c r="C969" s="1" t="s">
        <v>1378</v>
      </c>
      <c r="D969" s="1"/>
      <c r="E969" s="1"/>
      <c r="F969" s="1">
        <v>119</v>
      </c>
      <c r="G969" s="1">
        <v>126</v>
      </c>
      <c r="H969" s="1" t="s">
        <v>1435</v>
      </c>
      <c r="I969" s="1">
        <v>100</v>
      </c>
      <c r="J969" s="1" t="s">
        <v>490</v>
      </c>
      <c r="K969" s="1">
        <v>5</v>
      </c>
      <c r="L969" s="1">
        <f t="shared" si="15"/>
        <v>500</v>
      </c>
      <c r="M969" s="1" t="s">
        <v>38</v>
      </c>
      <c r="N969" s="1"/>
      <c r="O969" s="12" t="str">
        <f>IF($J969=Sheet2!$A$2, ROW(), "")</f>
        <v/>
      </c>
      <c r="Q969" s="23" t="s">
        <v>2950</v>
      </c>
    </row>
    <row r="970" spans="1:17" ht="14" customHeight="1" x14ac:dyDescent="0.3">
      <c r="A970" s="1" t="s">
        <v>1436</v>
      </c>
      <c r="B970" s="1">
        <v>23</v>
      </c>
      <c r="C970" s="1" t="s">
        <v>1437</v>
      </c>
      <c r="D970" s="1"/>
      <c r="E970" s="1"/>
      <c r="F970" s="1">
        <v>109</v>
      </c>
      <c r="G970" s="1">
        <v>128</v>
      </c>
      <c r="H970" s="1" t="s">
        <v>761</v>
      </c>
      <c r="I970" s="1">
        <v>90</v>
      </c>
      <c r="J970" s="1" t="s">
        <v>1039</v>
      </c>
      <c r="K970" s="1">
        <v>5</v>
      </c>
      <c r="L970" s="1">
        <f t="shared" si="15"/>
        <v>450</v>
      </c>
      <c r="M970" s="1" t="s">
        <v>38</v>
      </c>
      <c r="N970" s="1"/>
      <c r="O970" s="12" t="str">
        <f>IF($J970=Sheet2!$A$2, ROW(), "")</f>
        <v/>
      </c>
      <c r="Q970" s="23" t="s">
        <v>2951</v>
      </c>
    </row>
    <row r="971" spans="1:17" ht="14" customHeight="1" x14ac:dyDescent="0.3">
      <c r="A971" s="1" t="s">
        <v>1438</v>
      </c>
      <c r="B971" s="1">
        <v>21</v>
      </c>
      <c r="C971" s="1" t="s">
        <v>1063</v>
      </c>
      <c r="D971" s="1"/>
      <c r="E971" s="1"/>
      <c r="F971" s="1">
        <v>120</v>
      </c>
      <c r="G971" s="1">
        <v>136</v>
      </c>
      <c r="H971" s="1" t="s">
        <v>357</v>
      </c>
      <c r="I971" s="1">
        <v>70</v>
      </c>
      <c r="J971" s="1" t="s">
        <v>1841</v>
      </c>
      <c r="K971" s="1">
        <v>5</v>
      </c>
      <c r="L971" s="1">
        <f t="shared" si="15"/>
        <v>350</v>
      </c>
      <c r="M971" s="1" t="s">
        <v>38</v>
      </c>
      <c r="N971" s="1"/>
      <c r="O971" s="12" t="str">
        <f>IF($J971=Sheet2!$A$2, ROW(), "")</f>
        <v/>
      </c>
      <c r="Q971" s="23" t="s">
        <v>2952</v>
      </c>
    </row>
    <row r="972" spans="1:17" ht="14" customHeight="1" x14ac:dyDescent="0.3">
      <c r="A972" s="1" t="s">
        <v>1439</v>
      </c>
      <c r="B972" s="1">
        <v>25</v>
      </c>
      <c r="C972" s="1" t="s">
        <v>1397</v>
      </c>
      <c r="D972" s="1"/>
      <c r="E972" s="1"/>
      <c r="F972" s="1">
        <v>124</v>
      </c>
      <c r="G972" s="1">
        <v>138</v>
      </c>
      <c r="H972" s="1" t="s">
        <v>1440</v>
      </c>
      <c r="I972" s="1">
        <v>160</v>
      </c>
      <c r="J972" s="1" t="s">
        <v>1717</v>
      </c>
      <c r="K972" s="1">
        <v>5</v>
      </c>
      <c r="L972" s="1">
        <f t="shared" si="15"/>
        <v>800</v>
      </c>
      <c r="M972" s="1" t="s">
        <v>38</v>
      </c>
      <c r="N972" s="1"/>
      <c r="O972" s="12" t="str">
        <f>IF($J972=Sheet2!$A$2, ROW(), "")</f>
        <v/>
      </c>
      <c r="Q972" s="23" t="s">
        <v>2953</v>
      </c>
    </row>
    <row r="973" spans="1:17" ht="14" customHeight="1" x14ac:dyDescent="0.3">
      <c r="A973" s="1" t="s">
        <v>1441</v>
      </c>
      <c r="B973" s="1">
        <v>35</v>
      </c>
      <c r="C973" s="1" t="s">
        <v>1442</v>
      </c>
      <c r="D973" s="1"/>
      <c r="E973" s="1"/>
      <c r="F973" s="1">
        <v>112</v>
      </c>
      <c r="G973" s="1">
        <v>132</v>
      </c>
      <c r="H973" s="1" t="s">
        <v>545</v>
      </c>
      <c r="I973" s="1">
        <v>110</v>
      </c>
      <c r="J973" s="1" t="s">
        <v>1039</v>
      </c>
      <c r="K973" s="1">
        <v>5</v>
      </c>
      <c r="L973" s="1">
        <f t="shared" si="15"/>
        <v>550</v>
      </c>
      <c r="M973" s="1" t="s">
        <v>38</v>
      </c>
      <c r="N973" s="1"/>
      <c r="O973" s="12" t="str">
        <f>IF($J973=Sheet2!$A$2, ROW(), "")</f>
        <v/>
      </c>
      <c r="Q973" s="23" t="s">
        <v>2954</v>
      </c>
    </row>
    <row r="974" spans="1:17" ht="14" customHeight="1" x14ac:dyDescent="0.3">
      <c r="A974" s="1" t="s">
        <v>1443</v>
      </c>
      <c r="B974" s="1">
        <v>18</v>
      </c>
      <c r="C974" s="1" t="s">
        <v>246</v>
      </c>
      <c r="D974" s="1"/>
      <c r="E974" s="1"/>
      <c r="F974" s="1">
        <v>120</v>
      </c>
      <c r="G974" s="1">
        <v>180</v>
      </c>
      <c r="H974" s="1" t="s">
        <v>364</v>
      </c>
      <c r="I974" s="1">
        <v>70</v>
      </c>
      <c r="J974" s="1" t="s">
        <v>1763</v>
      </c>
      <c r="K974" s="1">
        <v>9</v>
      </c>
      <c r="L974" s="1">
        <f t="shared" si="15"/>
        <v>350</v>
      </c>
      <c r="M974" s="1" t="s">
        <v>38</v>
      </c>
      <c r="N974" s="1"/>
      <c r="O974" s="12">
        <f>IF($J974=Sheet2!$A$2, ROW(), "")</f>
        <v>974</v>
      </c>
      <c r="Q974" s="23" t="s">
        <v>2955</v>
      </c>
    </row>
    <row r="975" spans="1:17" ht="14" customHeight="1" x14ac:dyDescent="0.3">
      <c r="A975" s="1" t="s">
        <v>1445</v>
      </c>
      <c r="B975" s="1">
        <v>24</v>
      </c>
      <c r="C975" s="1" t="s">
        <v>312</v>
      </c>
      <c r="D975" s="1"/>
      <c r="E975" s="1"/>
      <c r="F975" s="1">
        <v>131</v>
      </c>
      <c r="G975" s="1">
        <v>136</v>
      </c>
      <c r="H975" s="1" t="s">
        <v>969</v>
      </c>
      <c r="I975" s="1">
        <v>140</v>
      </c>
      <c r="J975" s="1" t="s">
        <v>327</v>
      </c>
      <c r="K975" s="1">
        <v>5</v>
      </c>
      <c r="L975" s="1">
        <f t="shared" si="15"/>
        <v>700</v>
      </c>
      <c r="M975" s="1" t="s">
        <v>38</v>
      </c>
      <c r="N975" s="1"/>
      <c r="O975" s="12" t="str">
        <f>IF($J975=Sheet2!$A$2, ROW(), "")</f>
        <v/>
      </c>
      <c r="Q975" s="23" t="s">
        <v>2956</v>
      </c>
    </row>
    <row r="976" spans="1:17" ht="14" customHeight="1" x14ac:dyDescent="0.3">
      <c r="A976" s="1" t="s">
        <v>1446</v>
      </c>
      <c r="B976" s="1">
        <v>26</v>
      </c>
      <c r="C976" s="1" t="s">
        <v>1011</v>
      </c>
      <c r="D976" s="1"/>
      <c r="E976" s="1"/>
      <c r="F976" s="1">
        <v>129</v>
      </c>
      <c r="G976" s="1">
        <v>136</v>
      </c>
      <c r="H976" s="1" t="s">
        <v>1</v>
      </c>
      <c r="I976" s="1">
        <v>130</v>
      </c>
      <c r="J976" s="1" t="s">
        <v>327</v>
      </c>
      <c r="K976" s="1">
        <v>6</v>
      </c>
      <c r="L976" s="1">
        <f t="shared" si="15"/>
        <v>650</v>
      </c>
      <c r="M976" s="1" t="s">
        <v>38</v>
      </c>
      <c r="N976" s="1"/>
      <c r="O976" s="12" t="str">
        <f>IF($J976=Sheet2!$A$2, ROW(), "")</f>
        <v/>
      </c>
      <c r="Q976" s="23" t="s">
        <v>2957</v>
      </c>
    </row>
    <row r="977" spans="1:17" ht="14" customHeight="1" x14ac:dyDescent="0.3">
      <c r="A977" s="1" t="s">
        <v>1447</v>
      </c>
      <c r="B977" s="1">
        <v>18</v>
      </c>
      <c r="C977" s="1" t="s">
        <v>1027</v>
      </c>
      <c r="D977" s="1"/>
      <c r="E977" s="1"/>
      <c r="F977" s="1">
        <v>109</v>
      </c>
      <c r="G977" s="1">
        <v>150</v>
      </c>
      <c r="H977" s="1" t="s">
        <v>969</v>
      </c>
      <c r="I977" s="1">
        <v>120</v>
      </c>
      <c r="J977" s="1" t="s">
        <v>1848</v>
      </c>
      <c r="K977" s="1">
        <v>5</v>
      </c>
      <c r="L977" s="1">
        <f t="shared" si="15"/>
        <v>600</v>
      </c>
      <c r="M977" s="1" t="s">
        <v>38</v>
      </c>
      <c r="N977" s="1"/>
      <c r="O977" s="12" t="str">
        <f>IF($J977=Sheet2!$A$2, ROW(), "")</f>
        <v/>
      </c>
      <c r="Q977" s="23" t="s">
        <v>2958</v>
      </c>
    </row>
    <row r="978" spans="1:17" ht="14" customHeight="1" x14ac:dyDescent="0.3">
      <c r="A978" s="1" t="s">
        <v>1448</v>
      </c>
      <c r="B978" s="1">
        <v>23</v>
      </c>
      <c r="C978" s="1" t="s">
        <v>312</v>
      </c>
      <c r="D978" s="1"/>
      <c r="E978" s="1"/>
      <c r="F978" s="1">
        <v>126</v>
      </c>
      <c r="G978" s="1">
        <v>144</v>
      </c>
      <c r="H978" s="1" t="s">
        <v>247</v>
      </c>
      <c r="I978" s="1">
        <v>180</v>
      </c>
      <c r="J978" s="1" t="s">
        <v>327</v>
      </c>
      <c r="K978" s="1">
        <v>5</v>
      </c>
      <c r="L978" s="1">
        <f t="shared" si="15"/>
        <v>900</v>
      </c>
      <c r="M978" s="1" t="s">
        <v>38</v>
      </c>
      <c r="N978" s="1"/>
      <c r="O978" s="12" t="str">
        <f>IF($J978=Sheet2!$A$2, ROW(), "")</f>
        <v/>
      </c>
      <c r="Q978" s="23" t="s">
        <v>2959</v>
      </c>
    </row>
    <row r="979" spans="1:17" ht="14" customHeight="1" x14ac:dyDescent="0.3">
      <c r="A979" s="1" t="s">
        <v>1449</v>
      </c>
      <c r="B979" s="1">
        <v>22</v>
      </c>
      <c r="C979" s="1" t="s">
        <v>312</v>
      </c>
      <c r="D979" s="1"/>
      <c r="E979" s="1"/>
      <c r="F979" s="1">
        <v>127</v>
      </c>
      <c r="G979" s="1">
        <v>142</v>
      </c>
      <c r="H979" s="1" t="s">
        <v>247</v>
      </c>
      <c r="I979" s="1">
        <v>180</v>
      </c>
      <c r="J979" s="1" t="s">
        <v>327</v>
      </c>
      <c r="K979" s="1">
        <v>5</v>
      </c>
      <c r="L979" s="1">
        <f t="shared" si="15"/>
        <v>900</v>
      </c>
      <c r="M979" s="1" t="s">
        <v>38</v>
      </c>
      <c r="N979" s="1"/>
      <c r="O979" s="12" t="str">
        <f>IF($J979=Sheet2!$A$2, ROW(), "")</f>
        <v/>
      </c>
      <c r="Q979" s="23" t="s">
        <v>2960</v>
      </c>
    </row>
    <row r="980" spans="1:17" ht="14" customHeight="1" x14ac:dyDescent="0.3">
      <c r="A980" s="1" t="s">
        <v>1450</v>
      </c>
      <c r="B980" s="1">
        <v>35</v>
      </c>
      <c r="C980" s="1" t="s">
        <v>1451</v>
      </c>
      <c r="D980" s="1"/>
      <c r="E980" s="1"/>
      <c r="F980" s="1">
        <v>122</v>
      </c>
      <c r="G980" s="1">
        <v>130</v>
      </c>
      <c r="H980" s="1" t="s">
        <v>324</v>
      </c>
      <c r="I980" s="1">
        <v>120</v>
      </c>
      <c r="J980" s="1" t="s">
        <v>1718</v>
      </c>
      <c r="K980" s="1">
        <v>5</v>
      </c>
      <c r="L980" s="1">
        <f t="shared" si="15"/>
        <v>600</v>
      </c>
      <c r="M980" s="1" t="s">
        <v>38</v>
      </c>
      <c r="N980" s="1"/>
      <c r="O980" s="12" t="str">
        <f>IF($J980=Sheet2!$A$2, ROW(), "")</f>
        <v/>
      </c>
      <c r="Q980" s="23" t="s">
        <v>2961</v>
      </c>
    </row>
    <row r="981" spans="1:17" ht="14" customHeight="1" x14ac:dyDescent="0.3">
      <c r="A981" s="1" t="s">
        <v>1452</v>
      </c>
      <c r="B981" s="1">
        <v>21</v>
      </c>
      <c r="C981" s="1" t="s">
        <v>668</v>
      </c>
      <c r="D981" s="1"/>
      <c r="E981" s="1"/>
      <c r="F981" s="1">
        <v>126</v>
      </c>
      <c r="G981" s="1">
        <v>150</v>
      </c>
      <c r="H981" s="1" t="s">
        <v>965</v>
      </c>
      <c r="I981" s="1">
        <v>200</v>
      </c>
      <c r="J981" s="1" t="s">
        <v>268</v>
      </c>
      <c r="K981" s="1">
        <v>5</v>
      </c>
      <c r="L981" s="1">
        <f t="shared" si="15"/>
        <v>1000</v>
      </c>
      <c r="M981" s="1" t="s">
        <v>38</v>
      </c>
      <c r="N981" s="1"/>
      <c r="O981" s="12" t="str">
        <f>IF($J981=Sheet2!$A$2, ROW(), "")</f>
        <v/>
      </c>
      <c r="Q981" s="23" t="s">
        <v>2962</v>
      </c>
    </row>
    <row r="982" spans="1:17" ht="14" customHeight="1" x14ac:dyDescent="0.3">
      <c r="A982" s="1" t="s">
        <v>1453</v>
      </c>
      <c r="B982" s="1">
        <v>23</v>
      </c>
      <c r="C982" s="1" t="s">
        <v>590</v>
      </c>
      <c r="D982" s="1"/>
      <c r="E982" s="1"/>
      <c r="F982" s="1">
        <v>129</v>
      </c>
      <c r="G982" s="1">
        <v>146</v>
      </c>
      <c r="H982" s="1" t="s">
        <v>317</v>
      </c>
      <c r="I982" s="1">
        <v>200</v>
      </c>
      <c r="J982" s="1" t="s">
        <v>268</v>
      </c>
      <c r="K982" s="1">
        <v>5</v>
      </c>
      <c r="L982" s="1">
        <f t="shared" si="15"/>
        <v>1000</v>
      </c>
      <c r="M982" s="1" t="s">
        <v>38</v>
      </c>
      <c r="N982" s="1"/>
      <c r="O982" s="12" t="str">
        <f>IF($J982=Sheet2!$A$2, ROW(), "")</f>
        <v/>
      </c>
      <c r="Q982" s="23" t="s">
        <v>2963</v>
      </c>
    </row>
    <row r="983" spans="1:17" ht="14" customHeight="1" x14ac:dyDescent="0.3">
      <c r="A983" s="1" t="s">
        <v>1454</v>
      </c>
      <c r="B983" s="1">
        <v>20</v>
      </c>
      <c r="C983" s="1" t="s">
        <v>624</v>
      </c>
      <c r="D983" s="1"/>
      <c r="E983" s="1"/>
      <c r="F983" s="1">
        <v>127</v>
      </c>
      <c r="G983" s="1">
        <v>160</v>
      </c>
      <c r="H983" s="1" t="s">
        <v>324</v>
      </c>
      <c r="I983" s="1">
        <v>320</v>
      </c>
      <c r="J983" s="1" t="s">
        <v>268</v>
      </c>
      <c r="K983" s="1">
        <v>5</v>
      </c>
      <c r="L983" s="1">
        <f t="shared" si="15"/>
        <v>1600</v>
      </c>
      <c r="M983" s="1" t="s">
        <v>38</v>
      </c>
      <c r="N983" s="1"/>
      <c r="O983" s="12" t="str">
        <f>IF($J983=Sheet2!$A$2, ROW(), "")</f>
        <v/>
      </c>
      <c r="Q983" s="23" t="s">
        <v>2964</v>
      </c>
    </row>
    <row r="984" spans="1:17" ht="14" customHeight="1" x14ac:dyDescent="0.3">
      <c r="A984" s="1" t="s">
        <v>1455</v>
      </c>
      <c r="B984" s="1">
        <v>27</v>
      </c>
      <c r="C984" s="1" t="s">
        <v>1063</v>
      </c>
      <c r="D984" s="1"/>
      <c r="E984" s="1"/>
      <c r="F984" s="1">
        <v>118</v>
      </c>
      <c r="G984" s="1">
        <v>130</v>
      </c>
      <c r="H984" s="1" t="s">
        <v>317</v>
      </c>
      <c r="I984" s="1">
        <v>220</v>
      </c>
      <c r="J984" s="1" t="s">
        <v>327</v>
      </c>
      <c r="K984" s="1">
        <v>5</v>
      </c>
      <c r="L984" s="1">
        <f t="shared" si="15"/>
        <v>1100</v>
      </c>
      <c r="M984" s="1" t="s">
        <v>38</v>
      </c>
      <c r="N984" s="1"/>
      <c r="O984" s="12" t="str">
        <f>IF($J984=Sheet2!$A$2, ROW(), "")</f>
        <v/>
      </c>
      <c r="Q984" s="23" t="s">
        <v>2965</v>
      </c>
    </row>
    <row r="985" spans="1:17" ht="14" customHeight="1" x14ac:dyDescent="0.3">
      <c r="A985" s="1" t="s">
        <v>1456</v>
      </c>
      <c r="B985" s="1">
        <v>21</v>
      </c>
      <c r="C985" s="1" t="s">
        <v>1457</v>
      </c>
      <c r="D985" s="1"/>
      <c r="E985" s="1"/>
      <c r="F985" s="1">
        <v>123</v>
      </c>
      <c r="G985" s="1">
        <v>150</v>
      </c>
      <c r="H985" s="1" t="s">
        <v>260</v>
      </c>
      <c r="I985" s="1">
        <v>120</v>
      </c>
      <c r="J985" s="1" t="s">
        <v>609</v>
      </c>
      <c r="K985" s="1">
        <v>5</v>
      </c>
      <c r="L985" s="1">
        <f t="shared" si="15"/>
        <v>600</v>
      </c>
      <c r="M985" s="1" t="s">
        <v>38</v>
      </c>
      <c r="N985" s="1"/>
      <c r="O985" s="12" t="str">
        <f>IF($J985=Sheet2!$A$2, ROW(), "")</f>
        <v/>
      </c>
      <c r="Q985" s="23" t="s">
        <v>2966</v>
      </c>
    </row>
    <row r="986" spans="1:17" ht="14" customHeight="1" x14ac:dyDescent="0.3">
      <c r="A986" s="1" t="s">
        <v>1458</v>
      </c>
      <c r="B986" s="1">
        <v>26</v>
      </c>
      <c r="C986" s="1" t="s">
        <v>1459</v>
      </c>
      <c r="D986" s="1"/>
      <c r="E986" s="1"/>
      <c r="F986" s="1">
        <v>114</v>
      </c>
      <c r="G986" s="1">
        <v>135</v>
      </c>
      <c r="H986" s="1" t="s">
        <v>1460</v>
      </c>
      <c r="I986" s="1">
        <v>140</v>
      </c>
      <c r="J986" s="1" t="s">
        <v>609</v>
      </c>
      <c r="K986" s="1">
        <v>5</v>
      </c>
      <c r="L986" s="1">
        <f t="shared" si="15"/>
        <v>700</v>
      </c>
      <c r="M986" s="1" t="s">
        <v>38</v>
      </c>
      <c r="N986" s="1"/>
      <c r="O986" s="12" t="str">
        <f>IF($J986=Sheet2!$A$2, ROW(), "")</f>
        <v/>
      </c>
      <c r="Q986" s="23" t="s">
        <v>2967</v>
      </c>
    </row>
    <row r="987" spans="1:17" ht="14" customHeight="1" x14ac:dyDescent="0.3">
      <c r="A987" s="1" t="s">
        <v>1461</v>
      </c>
      <c r="B987" s="1">
        <v>24</v>
      </c>
      <c r="C987" s="1" t="s">
        <v>1457</v>
      </c>
      <c r="D987" s="1"/>
      <c r="E987" s="1"/>
      <c r="F987" s="1">
        <v>122</v>
      </c>
      <c r="G987" s="1">
        <v>126</v>
      </c>
      <c r="H987" s="1" t="s">
        <v>1462</v>
      </c>
      <c r="I987" s="1">
        <v>100</v>
      </c>
      <c r="J987" s="1" t="s">
        <v>609</v>
      </c>
      <c r="K987" s="1">
        <v>5</v>
      </c>
      <c r="L987" s="1">
        <f t="shared" si="15"/>
        <v>500</v>
      </c>
      <c r="M987" s="1" t="s">
        <v>38</v>
      </c>
      <c r="N987" s="1"/>
      <c r="O987" s="12" t="str">
        <f>IF($J987=Sheet2!$A$2, ROW(), "")</f>
        <v/>
      </c>
      <c r="Q987" s="23" t="s">
        <v>2968</v>
      </c>
    </row>
    <row r="988" spans="1:17" ht="14" customHeight="1" x14ac:dyDescent="0.3">
      <c r="A988" s="1" t="s">
        <v>1463</v>
      </c>
      <c r="B988" s="1">
        <v>22</v>
      </c>
      <c r="C988" s="1" t="s">
        <v>1464</v>
      </c>
      <c r="D988" s="1"/>
      <c r="E988" s="1"/>
      <c r="F988" s="1">
        <v>110</v>
      </c>
      <c r="G988" s="1">
        <v>140</v>
      </c>
      <c r="H988" s="1" t="s">
        <v>1465</v>
      </c>
      <c r="I988" s="1">
        <v>90</v>
      </c>
      <c r="J988" s="1" t="s">
        <v>609</v>
      </c>
      <c r="K988" s="1">
        <v>5</v>
      </c>
      <c r="L988" s="1">
        <f t="shared" si="15"/>
        <v>450</v>
      </c>
      <c r="M988" s="1" t="s">
        <v>38</v>
      </c>
      <c r="N988" s="1"/>
      <c r="O988" s="12" t="str">
        <f>IF($J988=Sheet2!$A$2, ROW(), "")</f>
        <v/>
      </c>
      <c r="Q988" s="23" t="s">
        <v>2969</v>
      </c>
    </row>
    <row r="989" spans="1:17" ht="14" customHeight="1" x14ac:dyDescent="0.3">
      <c r="A989" s="1" t="s">
        <v>1466</v>
      </c>
      <c r="B989" s="1">
        <v>23</v>
      </c>
      <c r="C989" s="1" t="s">
        <v>1459</v>
      </c>
      <c r="D989" s="1"/>
      <c r="E989" s="1"/>
      <c r="F989" s="1">
        <v>128</v>
      </c>
      <c r="G989" s="1">
        <v>134</v>
      </c>
      <c r="H989" s="1" t="s">
        <v>1467</v>
      </c>
      <c r="I989" s="1">
        <v>180</v>
      </c>
      <c r="J989" s="1" t="s">
        <v>3231</v>
      </c>
      <c r="K989" s="1">
        <v>5</v>
      </c>
      <c r="L989" s="1">
        <f t="shared" si="15"/>
        <v>900</v>
      </c>
      <c r="M989" s="1" t="s">
        <v>38</v>
      </c>
      <c r="N989" s="1"/>
      <c r="O989" s="12" t="str">
        <f>IF($J989=Sheet2!$A$2, ROW(), "")</f>
        <v/>
      </c>
      <c r="Q989" s="23" t="s">
        <v>2970</v>
      </c>
    </row>
    <row r="990" spans="1:17" ht="14" customHeight="1" x14ac:dyDescent="0.3">
      <c r="A990" s="1" t="s">
        <v>1468</v>
      </c>
      <c r="B990" s="1">
        <v>26</v>
      </c>
      <c r="C990" s="1" t="s">
        <v>1459</v>
      </c>
      <c r="D990" s="1"/>
      <c r="E990" s="1"/>
      <c r="F990" s="1">
        <v>126</v>
      </c>
      <c r="G990" s="1">
        <v>126</v>
      </c>
      <c r="H990" s="1" t="s">
        <v>317</v>
      </c>
      <c r="I990" s="1">
        <v>140</v>
      </c>
      <c r="J990" s="1" t="s">
        <v>1763</v>
      </c>
      <c r="K990" s="1">
        <v>5</v>
      </c>
      <c r="L990" s="1">
        <f t="shared" si="15"/>
        <v>700</v>
      </c>
      <c r="M990" s="1" t="s">
        <v>38</v>
      </c>
      <c r="N990" s="1"/>
      <c r="O990" s="12">
        <f>IF($J990=Sheet2!$A$2, ROW(), "")</f>
        <v>990</v>
      </c>
      <c r="Q990" s="23" t="s">
        <v>2971</v>
      </c>
    </row>
    <row r="991" spans="1:17" ht="14" customHeight="1" x14ac:dyDescent="0.3">
      <c r="A991" s="1" t="s">
        <v>1469</v>
      </c>
      <c r="B991" s="1">
        <v>27</v>
      </c>
      <c r="C991" s="1" t="s">
        <v>1397</v>
      </c>
      <c r="D991" s="1"/>
      <c r="E991" s="1"/>
      <c r="F991" s="1">
        <v>118</v>
      </c>
      <c r="G991" s="1">
        <v>136</v>
      </c>
      <c r="H991" s="1" t="s">
        <v>317</v>
      </c>
      <c r="I991" s="1">
        <v>140</v>
      </c>
      <c r="J991" s="1" t="s">
        <v>274</v>
      </c>
      <c r="K991" s="1">
        <v>5</v>
      </c>
      <c r="L991" s="1">
        <f t="shared" si="15"/>
        <v>700</v>
      </c>
      <c r="M991" s="1" t="s">
        <v>38</v>
      </c>
      <c r="N991" s="1"/>
      <c r="O991" s="12" t="str">
        <f>IF($J991=Sheet2!$A$2, ROW(), "")</f>
        <v/>
      </c>
      <c r="Q991" s="23" t="s">
        <v>2972</v>
      </c>
    </row>
    <row r="992" spans="1:17" ht="14" customHeight="1" x14ac:dyDescent="0.3">
      <c r="A992" s="1" t="s">
        <v>1470</v>
      </c>
      <c r="B992" s="1">
        <v>31</v>
      </c>
      <c r="C992" s="1" t="s">
        <v>1063</v>
      </c>
      <c r="D992" s="1"/>
      <c r="E992" s="1"/>
      <c r="F992" s="1">
        <v>116</v>
      </c>
      <c r="G992" s="1">
        <v>126</v>
      </c>
      <c r="H992" s="1" t="s">
        <v>260</v>
      </c>
      <c r="I992" s="1">
        <v>140</v>
      </c>
      <c r="J992" s="1" t="s">
        <v>689</v>
      </c>
      <c r="K992" s="1">
        <v>5</v>
      </c>
      <c r="L992" s="1">
        <f t="shared" si="15"/>
        <v>700</v>
      </c>
      <c r="M992" s="1" t="s">
        <v>38</v>
      </c>
      <c r="N992" s="1"/>
      <c r="O992" s="12" t="str">
        <f>IF($J992=Sheet2!$A$2, ROW(), "")</f>
        <v/>
      </c>
      <c r="Q992" s="23" t="s">
        <v>2973</v>
      </c>
    </row>
    <row r="993" spans="1:17" ht="14" customHeight="1" x14ac:dyDescent="0.3">
      <c r="A993" s="1" t="s">
        <v>1471</v>
      </c>
      <c r="B993" s="1">
        <v>37</v>
      </c>
      <c r="C993" s="1" t="s">
        <v>1063</v>
      </c>
      <c r="D993" s="1"/>
      <c r="E993" s="1"/>
      <c r="F993" s="1">
        <v>114</v>
      </c>
      <c r="G993" s="1">
        <v>126</v>
      </c>
      <c r="H993" s="1" t="s">
        <v>1472</v>
      </c>
      <c r="I993" s="1">
        <v>100</v>
      </c>
      <c r="J993" s="1" t="s">
        <v>689</v>
      </c>
      <c r="K993" s="1">
        <v>5</v>
      </c>
      <c r="L993" s="1">
        <f t="shared" si="15"/>
        <v>500</v>
      </c>
      <c r="M993" s="1" t="s">
        <v>38</v>
      </c>
      <c r="N993" s="1"/>
      <c r="O993" s="12" t="str">
        <f>IF($J993=Sheet2!$A$2, ROW(), "")</f>
        <v/>
      </c>
      <c r="Q993" s="23" t="s">
        <v>2974</v>
      </c>
    </row>
    <row r="994" spans="1:17" ht="14" customHeight="1" x14ac:dyDescent="0.3">
      <c r="A994" s="1" t="s">
        <v>1473</v>
      </c>
      <c r="B994" s="1">
        <v>25</v>
      </c>
      <c r="C994" s="1" t="s">
        <v>1474</v>
      </c>
      <c r="D994" s="1"/>
      <c r="E994" s="1"/>
      <c r="F994" s="1">
        <v>130</v>
      </c>
      <c r="G994" s="1">
        <v>130</v>
      </c>
      <c r="H994" s="1" t="s">
        <v>1475</v>
      </c>
      <c r="I994" s="1">
        <v>120</v>
      </c>
      <c r="J994" s="1" t="s">
        <v>111</v>
      </c>
      <c r="K994" s="1">
        <v>5</v>
      </c>
      <c r="L994" s="1">
        <f t="shared" si="15"/>
        <v>600</v>
      </c>
      <c r="M994" s="1" t="s">
        <v>38</v>
      </c>
      <c r="N994" s="1"/>
      <c r="O994" s="12" t="str">
        <f>IF($J994=Sheet2!$A$2, ROW(), "")</f>
        <v/>
      </c>
      <c r="Q994" s="23" t="s">
        <v>2975</v>
      </c>
    </row>
    <row r="995" spans="1:17" ht="14" customHeight="1" x14ac:dyDescent="0.3">
      <c r="A995" s="1" t="s">
        <v>1476</v>
      </c>
      <c r="B995" s="1">
        <v>21</v>
      </c>
      <c r="C995" s="1" t="s">
        <v>312</v>
      </c>
      <c r="D995" s="1"/>
      <c r="E995" s="1"/>
      <c r="F995" s="1">
        <v>124</v>
      </c>
      <c r="G995" s="1">
        <v>150</v>
      </c>
      <c r="H995" s="1" t="s">
        <v>1382</v>
      </c>
      <c r="I995" s="1">
        <v>260</v>
      </c>
      <c r="J995" s="1" t="s">
        <v>1918</v>
      </c>
      <c r="K995" s="1">
        <v>7</v>
      </c>
      <c r="L995" s="1">
        <f t="shared" si="15"/>
        <v>1300</v>
      </c>
      <c r="M995" s="1" t="s">
        <v>38</v>
      </c>
      <c r="N995" s="1"/>
      <c r="O995" s="12" t="str">
        <f>IF($J995=Sheet2!$A$2, ROW(), "")</f>
        <v/>
      </c>
      <c r="Q995" s="23" t="s">
        <v>2976</v>
      </c>
    </row>
    <row r="996" spans="1:17" ht="14" customHeight="1" x14ac:dyDescent="0.3">
      <c r="A996" s="1" t="s">
        <v>1477</v>
      </c>
      <c r="B996" s="1">
        <v>36</v>
      </c>
      <c r="C996" s="1" t="s">
        <v>1063</v>
      </c>
      <c r="D996" s="1"/>
      <c r="E996" s="1"/>
      <c r="F996" s="1">
        <v>115</v>
      </c>
      <c r="G996" s="1">
        <v>130</v>
      </c>
      <c r="H996" s="1" t="s">
        <v>247</v>
      </c>
      <c r="I996" s="1">
        <v>130</v>
      </c>
      <c r="J996" s="1" t="s">
        <v>3246</v>
      </c>
      <c r="K996" s="1">
        <v>5</v>
      </c>
      <c r="L996" s="1">
        <f t="shared" si="15"/>
        <v>650</v>
      </c>
      <c r="M996" s="1" t="s">
        <v>38</v>
      </c>
      <c r="N996" s="1"/>
      <c r="O996" s="12" t="str">
        <f>IF($J996=Sheet2!$A$2, ROW(), "")</f>
        <v/>
      </c>
      <c r="Q996" s="23" t="s">
        <v>2977</v>
      </c>
    </row>
    <row r="997" spans="1:17" ht="14" customHeight="1" x14ac:dyDescent="0.3">
      <c r="A997" s="1" t="s">
        <v>1478</v>
      </c>
      <c r="B997" s="1">
        <v>29</v>
      </c>
      <c r="C997" s="1" t="s">
        <v>1479</v>
      </c>
      <c r="D997" s="1"/>
      <c r="E997" s="1"/>
      <c r="F997" s="1">
        <v>116</v>
      </c>
      <c r="G997" s="1">
        <v>128</v>
      </c>
      <c r="H997" s="1" t="s">
        <v>1467</v>
      </c>
      <c r="I997" s="1">
        <v>120</v>
      </c>
      <c r="J997" s="1" t="s">
        <v>561</v>
      </c>
      <c r="K997" s="1">
        <v>5</v>
      </c>
      <c r="L997" s="1">
        <f t="shared" si="15"/>
        <v>600</v>
      </c>
      <c r="M997" s="1" t="s">
        <v>38</v>
      </c>
      <c r="N997" s="1"/>
      <c r="O997" s="12" t="str">
        <f>IF($J997=Sheet2!$A$2, ROW(), "")</f>
        <v/>
      </c>
      <c r="Q997" s="23" t="s">
        <v>2978</v>
      </c>
    </row>
    <row r="998" spans="1:17" ht="14" customHeight="1" x14ac:dyDescent="0.3">
      <c r="A998" s="1" t="s">
        <v>1480</v>
      </c>
      <c r="B998" s="1">
        <v>25</v>
      </c>
      <c r="C998" s="1" t="s">
        <v>647</v>
      </c>
      <c r="D998" s="1"/>
      <c r="E998" s="1"/>
      <c r="F998" s="1">
        <v>134</v>
      </c>
      <c r="G998" s="1">
        <v>134</v>
      </c>
      <c r="H998" s="1" t="s">
        <v>969</v>
      </c>
      <c r="I998" s="1">
        <v>120</v>
      </c>
      <c r="J998" s="1" t="s">
        <v>111</v>
      </c>
      <c r="K998" s="1">
        <v>5</v>
      </c>
      <c r="L998" s="1">
        <f t="shared" si="15"/>
        <v>600</v>
      </c>
      <c r="M998" s="1" t="s">
        <v>38</v>
      </c>
      <c r="N998" s="1"/>
      <c r="O998" s="12" t="str">
        <f>IF($J998=Sheet2!$A$2, ROW(), "")</f>
        <v/>
      </c>
      <c r="Q998" s="23" t="s">
        <v>2979</v>
      </c>
    </row>
    <row r="999" spans="1:17" ht="14" customHeight="1" x14ac:dyDescent="0.3">
      <c r="A999" s="1" t="s">
        <v>1481</v>
      </c>
      <c r="B999" s="1">
        <v>29</v>
      </c>
      <c r="C999" s="1" t="s">
        <v>1011</v>
      </c>
      <c r="D999" s="1"/>
      <c r="E999" s="1"/>
      <c r="F999" s="1">
        <v>122</v>
      </c>
      <c r="G999" s="1">
        <v>136</v>
      </c>
      <c r="H999" s="1" t="s">
        <v>357</v>
      </c>
      <c r="I999" s="1">
        <v>140</v>
      </c>
      <c r="J999" s="1" t="s">
        <v>1164</v>
      </c>
      <c r="K999" s="1">
        <v>5</v>
      </c>
      <c r="L999" s="1">
        <f t="shared" si="15"/>
        <v>700</v>
      </c>
      <c r="M999" s="1" t="s">
        <v>38</v>
      </c>
      <c r="N999" s="1"/>
      <c r="O999" s="12" t="str">
        <f>IF($J999=Sheet2!$A$2, ROW(), "")</f>
        <v/>
      </c>
      <c r="Q999" s="23" t="s">
        <v>2980</v>
      </c>
    </row>
    <row r="1000" spans="1:17" ht="14" customHeight="1" x14ac:dyDescent="0.3">
      <c r="A1000" s="1" t="s">
        <v>1482</v>
      </c>
      <c r="B1000" s="1">
        <v>37</v>
      </c>
      <c r="C1000" s="1" t="s">
        <v>1011</v>
      </c>
      <c r="D1000" s="1"/>
      <c r="E1000" s="1"/>
      <c r="F1000" s="1">
        <v>121</v>
      </c>
      <c r="G1000" s="1">
        <v>128</v>
      </c>
      <c r="H1000" s="1" t="s">
        <v>357</v>
      </c>
      <c r="I1000" s="1">
        <v>150</v>
      </c>
      <c r="J1000" s="1" t="s">
        <v>1164</v>
      </c>
      <c r="K1000" s="1">
        <v>5</v>
      </c>
      <c r="L1000" s="1">
        <f t="shared" si="15"/>
        <v>750</v>
      </c>
      <c r="M1000" s="1" t="s">
        <v>38</v>
      </c>
      <c r="N1000" s="1"/>
      <c r="O1000" s="12" t="str">
        <f>IF($J1000=Sheet2!$A$2, ROW(), "")</f>
        <v/>
      </c>
      <c r="Q1000" s="23" t="s">
        <v>2981</v>
      </c>
    </row>
    <row r="1001" spans="1:17" ht="14" customHeight="1" x14ac:dyDescent="0.3">
      <c r="A1001" s="1" t="s">
        <v>1483</v>
      </c>
      <c r="B1001" s="1">
        <v>30</v>
      </c>
      <c r="C1001" s="1" t="s">
        <v>1484</v>
      </c>
      <c r="D1001" s="1"/>
      <c r="E1001" s="1"/>
      <c r="F1001" s="1">
        <v>120</v>
      </c>
      <c r="G1001" s="1">
        <v>125</v>
      </c>
      <c r="H1001" s="1" t="s">
        <v>1485</v>
      </c>
      <c r="I1001" s="1">
        <v>120</v>
      </c>
      <c r="J1001" s="1" t="s">
        <v>1736</v>
      </c>
      <c r="K1001" s="1">
        <v>5</v>
      </c>
      <c r="L1001" s="1">
        <f t="shared" si="15"/>
        <v>600</v>
      </c>
      <c r="M1001" s="1" t="s">
        <v>38</v>
      </c>
      <c r="N1001" s="1"/>
      <c r="O1001" s="12" t="str">
        <f>IF($J1001=Sheet2!$A$2, ROW(), "")</f>
        <v/>
      </c>
      <c r="Q1001" s="23" t="s">
        <v>2982</v>
      </c>
    </row>
    <row r="1002" spans="1:17" ht="14" customHeight="1" x14ac:dyDescent="0.3">
      <c r="A1002" s="1" t="s">
        <v>1486</v>
      </c>
      <c r="B1002" s="1">
        <v>35</v>
      </c>
      <c r="C1002" s="1" t="s">
        <v>1011</v>
      </c>
      <c r="D1002" s="1"/>
      <c r="E1002" s="1"/>
      <c r="F1002" s="1">
        <v>122</v>
      </c>
      <c r="G1002" s="1">
        <v>122</v>
      </c>
      <c r="H1002" s="1" t="s">
        <v>1440</v>
      </c>
      <c r="I1002" s="1">
        <v>120</v>
      </c>
      <c r="J1002" s="1" t="s">
        <v>1736</v>
      </c>
      <c r="K1002" s="1">
        <v>5</v>
      </c>
      <c r="L1002" s="1">
        <f t="shared" si="15"/>
        <v>600</v>
      </c>
      <c r="M1002" s="1" t="s">
        <v>38</v>
      </c>
      <c r="N1002" s="1"/>
      <c r="O1002" s="12" t="str">
        <f>IF($J1002=Sheet2!$A$2, ROW(), "")</f>
        <v/>
      </c>
      <c r="Q1002" s="23" t="s">
        <v>2983</v>
      </c>
    </row>
    <row r="1003" spans="1:17" ht="14" customHeight="1" x14ac:dyDescent="0.3">
      <c r="A1003" s="1" t="s">
        <v>1487</v>
      </c>
      <c r="B1003" s="1">
        <v>35</v>
      </c>
      <c r="C1003" s="1" t="s">
        <v>1011</v>
      </c>
      <c r="D1003" s="1"/>
      <c r="E1003" s="1"/>
      <c r="F1003" s="1">
        <v>119</v>
      </c>
      <c r="G1003" s="1">
        <v>119</v>
      </c>
      <c r="H1003" s="1" t="s">
        <v>317</v>
      </c>
      <c r="I1003" s="1">
        <v>88</v>
      </c>
      <c r="J1003" s="1" t="s">
        <v>1932</v>
      </c>
      <c r="K1003" s="1">
        <v>5</v>
      </c>
      <c r="L1003" s="1">
        <f t="shared" si="15"/>
        <v>440</v>
      </c>
      <c r="M1003" s="1" t="s">
        <v>38</v>
      </c>
      <c r="N1003" s="1"/>
      <c r="O1003" s="12" t="str">
        <f>IF($J1003=Sheet2!$A$2, ROW(), "")</f>
        <v/>
      </c>
      <c r="Q1003" s="23" t="s">
        <v>2984</v>
      </c>
    </row>
    <row r="1004" spans="1:17" ht="14" customHeight="1" x14ac:dyDescent="0.3">
      <c r="A1004" s="1" t="s">
        <v>1488</v>
      </c>
      <c r="B1004" s="1">
        <v>27</v>
      </c>
      <c r="C1004" s="1" t="s">
        <v>1011</v>
      </c>
      <c r="D1004" s="1"/>
      <c r="E1004" s="1"/>
      <c r="F1004" s="1">
        <v>122</v>
      </c>
      <c r="G1004" s="1">
        <v>124</v>
      </c>
      <c r="H1004" s="1" t="s">
        <v>969</v>
      </c>
      <c r="I1004" s="1">
        <v>130</v>
      </c>
      <c r="J1004" s="1" t="s">
        <v>1740</v>
      </c>
      <c r="K1004" s="1">
        <v>5</v>
      </c>
      <c r="L1004" s="1">
        <f t="shared" si="15"/>
        <v>650</v>
      </c>
      <c r="M1004" s="1" t="s">
        <v>38</v>
      </c>
      <c r="N1004" s="1"/>
      <c r="O1004" s="12" t="str">
        <f>IF($J1004=Sheet2!$A$2, ROW(), "")</f>
        <v/>
      </c>
      <c r="Q1004" s="23" t="s">
        <v>2985</v>
      </c>
    </row>
    <row r="1005" spans="1:17" ht="14" customHeight="1" x14ac:dyDescent="0.3">
      <c r="A1005" s="1" t="s">
        <v>1489</v>
      </c>
      <c r="B1005" s="1">
        <v>21</v>
      </c>
      <c r="C1005" s="1" t="s">
        <v>1011</v>
      </c>
      <c r="D1005" s="1"/>
      <c r="E1005" s="1"/>
      <c r="F1005" s="1">
        <v>128</v>
      </c>
      <c r="G1005" s="1">
        <v>145</v>
      </c>
      <c r="H1005" s="1" t="s">
        <v>317</v>
      </c>
      <c r="I1005" s="1">
        <v>120</v>
      </c>
      <c r="J1005" s="1" t="s">
        <v>1855</v>
      </c>
      <c r="K1005" s="1">
        <v>5</v>
      </c>
      <c r="L1005" s="1">
        <f t="shared" si="15"/>
        <v>600</v>
      </c>
      <c r="M1005" s="1" t="s">
        <v>38</v>
      </c>
      <c r="N1005" s="1"/>
      <c r="O1005" s="12" t="str">
        <f>IF($J1005=Sheet2!$A$2, ROW(), "")</f>
        <v/>
      </c>
      <c r="Q1005" s="23" t="s">
        <v>2986</v>
      </c>
    </row>
    <row r="1006" spans="1:17" ht="14" customHeight="1" x14ac:dyDescent="0.3">
      <c r="A1006" s="1" t="s">
        <v>1490</v>
      </c>
      <c r="B1006" s="1">
        <v>20</v>
      </c>
      <c r="C1006" s="1" t="s">
        <v>246</v>
      </c>
      <c r="D1006" s="1"/>
      <c r="E1006" s="1"/>
      <c r="F1006" s="1">
        <v>124</v>
      </c>
      <c r="G1006" s="1">
        <v>170</v>
      </c>
      <c r="H1006" s="1" t="s">
        <v>1143</v>
      </c>
      <c r="I1006" s="1">
        <v>280</v>
      </c>
      <c r="J1006" s="1" t="s">
        <v>257</v>
      </c>
      <c r="K1006" s="1">
        <v>5</v>
      </c>
      <c r="L1006" s="1">
        <f t="shared" si="15"/>
        <v>1400</v>
      </c>
      <c r="M1006" s="1" t="s">
        <v>38</v>
      </c>
      <c r="N1006" s="1"/>
      <c r="O1006" s="12" t="str">
        <f>IF($J1006=Sheet2!$A$2, ROW(), "")</f>
        <v/>
      </c>
      <c r="Q1006" s="23" t="s">
        <v>2987</v>
      </c>
    </row>
    <row r="1007" spans="1:17" ht="14" customHeight="1" x14ac:dyDescent="0.3">
      <c r="A1007" s="1" t="s">
        <v>1491</v>
      </c>
      <c r="B1007" s="1">
        <v>26</v>
      </c>
      <c r="C1007" s="1" t="s">
        <v>1492</v>
      </c>
      <c r="D1007" s="1"/>
      <c r="E1007" s="1"/>
      <c r="F1007" s="1">
        <v>130</v>
      </c>
      <c r="G1007" s="1">
        <v>140</v>
      </c>
      <c r="H1007" s="1" t="s">
        <v>357</v>
      </c>
      <c r="I1007" s="1">
        <v>190</v>
      </c>
      <c r="J1007" s="1" t="s">
        <v>1888</v>
      </c>
      <c r="K1007" s="1">
        <v>5</v>
      </c>
      <c r="L1007" s="1">
        <f t="shared" si="15"/>
        <v>950</v>
      </c>
      <c r="M1007" s="1" t="s">
        <v>38</v>
      </c>
      <c r="N1007" s="1"/>
      <c r="O1007" s="12" t="str">
        <f>IF($J1007=Sheet2!$A$2, ROW(), "")</f>
        <v/>
      </c>
      <c r="Q1007" s="23" t="s">
        <v>2988</v>
      </c>
    </row>
    <row r="1008" spans="1:17" ht="14" customHeight="1" x14ac:dyDescent="0.3">
      <c r="A1008" s="1" t="s">
        <v>1493</v>
      </c>
      <c r="B1008" s="1">
        <v>29</v>
      </c>
      <c r="C1008" s="1" t="s">
        <v>730</v>
      </c>
      <c r="D1008" s="1"/>
      <c r="E1008" s="1"/>
      <c r="F1008" s="1">
        <v>122</v>
      </c>
      <c r="G1008" s="1">
        <v>132</v>
      </c>
      <c r="H1008" s="1" t="s">
        <v>326</v>
      </c>
      <c r="I1008" s="1">
        <v>148</v>
      </c>
      <c r="J1008" s="1" t="s">
        <v>1164</v>
      </c>
      <c r="K1008" s="1">
        <v>5</v>
      </c>
      <c r="L1008" s="1">
        <f t="shared" si="15"/>
        <v>740</v>
      </c>
      <c r="M1008" s="1" t="s">
        <v>38</v>
      </c>
      <c r="N1008" s="1"/>
      <c r="O1008" s="12" t="str">
        <f>IF($J1008=Sheet2!$A$2, ROW(), "")</f>
        <v/>
      </c>
      <c r="Q1008" s="23" t="s">
        <v>2989</v>
      </c>
    </row>
    <row r="1009" spans="1:17" ht="14" customHeight="1" x14ac:dyDescent="0.3">
      <c r="A1009" s="1" t="s">
        <v>1494</v>
      </c>
      <c r="B1009" s="1">
        <v>22</v>
      </c>
      <c r="C1009" s="1" t="s">
        <v>227</v>
      </c>
      <c r="D1009" s="1"/>
      <c r="E1009" s="1"/>
      <c r="F1009" s="1">
        <v>126</v>
      </c>
      <c r="G1009" s="1">
        <v>148</v>
      </c>
      <c r="H1009" s="1" t="s">
        <v>260</v>
      </c>
      <c r="I1009" s="1">
        <v>300</v>
      </c>
      <c r="J1009" s="1" t="s">
        <v>1951</v>
      </c>
      <c r="K1009" s="1">
        <v>5</v>
      </c>
      <c r="L1009" s="1">
        <f t="shared" si="15"/>
        <v>1500</v>
      </c>
      <c r="M1009" s="1" t="s">
        <v>38</v>
      </c>
      <c r="N1009" s="1"/>
      <c r="O1009" s="12" t="str">
        <f>IF($J1009=Sheet2!$A$2, ROW(), "")</f>
        <v/>
      </c>
      <c r="Q1009" s="23" t="s">
        <v>2990</v>
      </c>
    </row>
    <row r="1010" spans="1:17" ht="14" customHeight="1" x14ac:dyDescent="0.3">
      <c r="A1010" s="1" t="s">
        <v>1495</v>
      </c>
      <c r="B1010" s="1">
        <v>24</v>
      </c>
      <c r="C1010" s="1" t="s">
        <v>1011</v>
      </c>
      <c r="D1010" s="1"/>
      <c r="E1010" s="1"/>
      <c r="F1010" s="1">
        <v>126</v>
      </c>
      <c r="G1010" s="1">
        <v>126</v>
      </c>
      <c r="H1010" s="1" t="s">
        <v>364</v>
      </c>
      <c r="I1010" s="1">
        <v>200</v>
      </c>
      <c r="J1010" s="1" t="s">
        <v>271</v>
      </c>
      <c r="K1010" s="1">
        <v>5</v>
      </c>
      <c r="L1010" s="1">
        <f t="shared" si="15"/>
        <v>1000</v>
      </c>
      <c r="M1010" s="1" t="s">
        <v>38</v>
      </c>
      <c r="N1010" s="1"/>
      <c r="O1010" s="12" t="str">
        <f>IF($J1010=Sheet2!$A$2, ROW(), "")</f>
        <v/>
      </c>
      <c r="Q1010" s="23" t="s">
        <v>2991</v>
      </c>
    </row>
    <row r="1011" spans="1:17" ht="14" customHeight="1" x14ac:dyDescent="0.3">
      <c r="A1011" s="1" t="s">
        <v>1496</v>
      </c>
      <c r="B1011" s="1">
        <v>23</v>
      </c>
      <c r="C1011" s="1" t="s">
        <v>1497</v>
      </c>
      <c r="D1011" s="1"/>
      <c r="E1011" s="1"/>
      <c r="F1011" s="1">
        <v>130</v>
      </c>
      <c r="G1011" s="1">
        <v>136</v>
      </c>
      <c r="H1011" s="1" t="s">
        <v>277</v>
      </c>
      <c r="I1011" s="1">
        <v>210</v>
      </c>
      <c r="J1011" s="1" t="s">
        <v>271</v>
      </c>
      <c r="K1011" s="1">
        <v>5</v>
      </c>
      <c r="L1011" s="1">
        <f t="shared" si="15"/>
        <v>1050</v>
      </c>
      <c r="M1011" s="1" t="s">
        <v>38</v>
      </c>
      <c r="N1011" s="1"/>
      <c r="O1011" s="12" t="str">
        <f>IF($J1011=Sheet2!$A$2, ROW(), "")</f>
        <v/>
      </c>
      <c r="Q1011" s="23" t="s">
        <v>2992</v>
      </c>
    </row>
    <row r="1012" spans="1:17" ht="14" customHeight="1" x14ac:dyDescent="0.3">
      <c r="A1012" s="1" t="s">
        <v>1498</v>
      </c>
      <c r="B1012" s="1">
        <v>34</v>
      </c>
      <c r="C1012" s="1" t="s">
        <v>1011</v>
      </c>
      <c r="D1012" s="1"/>
      <c r="E1012" s="1"/>
      <c r="F1012" s="1">
        <v>118</v>
      </c>
      <c r="G1012" s="1">
        <v>124</v>
      </c>
      <c r="H1012" s="1" t="s">
        <v>357</v>
      </c>
      <c r="I1012" s="1">
        <v>120</v>
      </c>
      <c r="J1012" s="1" t="s">
        <v>689</v>
      </c>
      <c r="K1012" s="1">
        <v>5</v>
      </c>
      <c r="L1012" s="1">
        <f t="shared" si="15"/>
        <v>600</v>
      </c>
      <c r="M1012" s="1" t="s">
        <v>38</v>
      </c>
      <c r="N1012" s="1"/>
      <c r="O1012" s="12" t="str">
        <f>IF($J1012=Sheet2!$A$2, ROW(), "")</f>
        <v/>
      </c>
      <c r="Q1012" s="23" t="s">
        <v>2993</v>
      </c>
    </row>
    <row r="1013" spans="1:17" ht="14" customHeight="1" x14ac:dyDescent="0.3">
      <c r="A1013" s="1" t="s">
        <v>1499</v>
      </c>
      <c r="B1013" s="1">
        <v>31</v>
      </c>
      <c r="C1013" s="1" t="s">
        <v>734</v>
      </c>
      <c r="D1013" s="1"/>
      <c r="E1013" s="1"/>
      <c r="F1013" s="1">
        <v>104</v>
      </c>
      <c r="G1013" s="1">
        <v>122</v>
      </c>
      <c r="H1013" s="1" t="s">
        <v>357</v>
      </c>
      <c r="I1013" s="1">
        <v>80</v>
      </c>
      <c r="J1013" s="1" t="s">
        <v>233</v>
      </c>
      <c r="K1013" s="1">
        <v>5</v>
      </c>
      <c r="L1013" s="1">
        <f t="shared" si="15"/>
        <v>400</v>
      </c>
      <c r="M1013" s="1" t="s">
        <v>38</v>
      </c>
      <c r="N1013" s="1"/>
      <c r="O1013" s="12" t="str">
        <f>IF($J1013=Sheet2!$A$2, ROW(), "")</f>
        <v/>
      </c>
      <c r="Q1013" s="23" t="s">
        <v>2994</v>
      </c>
    </row>
    <row r="1014" spans="1:17" ht="14" customHeight="1" x14ac:dyDescent="0.3">
      <c r="A1014" s="1" t="s">
        <v>1500</v>
      </c>
      <c r="B1014" s="1">
        <v>25</v>
      </c>
      <c r="C1014" s="1" t="s">
        <v>734</v>
      </c>
      <c r="D1014" s="1"/>
      <c r="E1014" s="1"/>
      <c r="F1014" s="1">
        <v>119</v>
      </c>
      <c r="G1014" s="1">
        <v>126</v>
      </c>
      <c r="H1014" s="1" t="s">
        <v>1170</v>
      </c>
      <c r="I1014" s="1">
        <v>120</v>
      </c>
      <c r="J1014" s="1" t="s">
        <v>689</v>
      </c>
      <c r="K1014" s="1">
        <v>5</v>
      </c>
      <c r="L1014" s="1">
        <f t="shared" si="15"/>
        <v>600</v>
      </c>
      <c r="M1014" s="1" t="s">
        <v>38</v>
      </c>
      <c r="N1014" s="1"/>
      <c r="O1014" s="12" t="str">
        <f>IF($J1014=Sheet2!$A$2, ROW(), "")</f>
        <v/>
      </c>
      <c r="Q1014" s="23" t="s">
        <v>2995</v>
      </c>
    </row>
    <row r="1015" spans="1:17" ht="14" customHeight="1" x14ac:dyDescent="0.3">
      <c r="A1015" s="1" t="s">
        <v>1501</v>
      </c>
      <c r="B1015" s="1">
        <v>20</v>
      </c>
      <c r="C1015" s="1" t="s">
        <v>256</v>
      </c>
      <c r="D1015" s="1"/>
      <c r="E1015" s="1"/>
      <c r="F1015" s="1">
        <v>127</v>
      </c>
      <c r="G1015" s="1">
        <v>180</v>
      </c>
      <c r="H1015" s="1" t="s">
        <v>357</v>
      </c>
      <c r="I1015" s="1">
        <v>220</v>
      </c>
      <c r="J1015" s="1" t="s">
        <v>315</v>
      </c>
      <c r="K1015" s="1">
        <v>5</v>
      </c>
      <c r="L1015" s="1">
        <f t="shared" si="15"/>
        <v>1100</v>
      </c>
      <c r="M1015" s="1" t="s">
        <v>38</v>
      </c>
      <c r="N1015" s="1"/>
      <c r="O1015" s="12" t="str">
        <f>IF($J1015=Sheet2!$A$2, ROW(), "")</f>
        <v/>
      </c>
      <c r="Q1015" s="23" t="s">
        <v>2996</v>
      </c>
    </row>
    <row r="1016" spans="1:17" ht="14" customHeight="1" x14ac:dyDescent="0.3">
      <c r="A1016" s="1" t="s">
        <v>1502</v>
      </c>
      <c r="B1016" s="1">
        <v>25</v>
      </c>
      <c r="C1016" s="1" t="s">
        <v>730</v>
      </c>
      <c r="D1016" s="1"/>
      <c r="E1016" s="1"/>
      <c r="F1016" s="1">
        <v>130</v>
      </c>
      <c r="G1016" s="1">
        <v>130</v>
      </c>
      <c r="H1016" s="1" t="s">
        <v>965</v>
      </c>
      <c r="I1016" s="1">
        <v>200</v>
      </c>
      <c r="J1016" s="1" t="s">
        <v>1718</v>
      </c>
      <c r="K1016" s="1">
        <v>5</v>
      </c>
      <c r="L1016" s="1">
        <f t="shared" si="15"/>
        <v>1000</v>
      </c>
      <c r="M1016" s="1" t="s">
        <v>38</v>
      </c>
      <c r="N1016" s="1"/>
      <c r="O1016" s="12" t="str">
        <f>IF($J1016=Sheet2!$A$2, ROW(), "")</f>
        <v/>
      </c>
      <c r="Q1016" s="23" t="s">
        <v>2997</v>
      </c>
    </row>
    <row r="1017" spans="1:17" ht="14" customHeight="1" x14ac:dyDescent="0.3">
      <c r="A1017" s="1" t="s">
        <v>1503</v>
      </c>
      <c r="B1017" s="1">
        <v>24</v>
      </c>
      <c r="C1017" s="1" t="s">
        <v>815</v>
      </c>
      <c r="D1017" s="1"/>
      <c r="E1017" s="1"/>
      <c r="F1017" s="1">
        <v>130</v>
      </c>
      <c r="G1017" s="1">
        <v>130</v>
      </c>
      <c r="H1017" s="1" t="s">
        <v>364</v>
      </c>
      <c r="I1017" s="1">
        <v>200</v>
      </c>
      <c r="J1017" s="1" t="s">
        <v>1841</v>
      </c>
      <c r="K1017" s="1">
        <v>5</v>
      </c>
      <c r="L1017" s="1">
        <f t="shared" si="15"/>
        <v>1000</v>
      </c>
      <c r="M1017" s="1" t="s">
        <v>38</v>
      </c>
      <c r="N1017" s="1"/>
      <c r="O1017" s="12" t="str">
        <f>IF($J1017=Sheet2!$A$2, ROW(), "")</f>
        <v/>
      </c>
      <c r="Q1017" s="23" t="s">
        <v>2998</v>
      </c>
    </row>
    <row r="1018" spans="1:17" ht="14" customHeight="1" x14ac:dyDescent="0.3">
      <c r="A1018" s="1" t="s">
        <v>1504</v>
      </c>
      <c r="B1018" s="1">
        <v>28</v>
      </c>
      <c r="C1018" s="1" t="s">
        <v>815</v>
      </c>
      <c r="D1018" s="1"/>
      <c r="E1018" s="1"/>
      <c r="F1018" s="1">
        <v>120</v>
      </c>
      <c r="G1018" s="1">
        <v>132</v>
      </c>
      <c r="H1018" s="1" t="s">
        <v>1505</v>
      </c>
      <c r="I1018" s="1">
        <v>200</v>
      </c>
      <c r="J1018" s="1" t="s">
        <v>1718</v>
      </c>
      <c r="K1018" s="1">
        <v>5</v>
      </c>
      <c r="L1018" s="1">
        <f t="shared" si="15"/>
        <v>1000</v>
      </c>
      <c r="M1018" s="1" t="s">
        <v>38</v>
      </c>
      <c r="N1018" s="1"/>
      <c r="O1018" s="12" t="str">
        <f>IF($J1018=Sheet2!$A$2, ROW(), "")</f>
        <v/>
      </c>
      <c r="Q1018" s="23" t="s">
        <v>2999</v>
      </c>
    </row>
    <row r="1019" spans="1:17" ht="14" customHeight="1" x14ac:dyDescent="0.3">
      <c r="A1019" s="1" t="s">
        <v>1506</v>
      </c>
      <c r="B1019" s="1">
        <v>24</v>
      </c>
      <c r="C1019" s="1" t="s">
        <v>730</v>
      </c>
      <c r="D1019" s="1"/>
      <c r="E1019" s="1"/>
      <c r="F1019" s="1">
        <v>126</v>
      </c>
      <c r="G1019" s="1">
        <v>130</v>
      </c>
      <c r="H1019" s="1" t="s">
        <v>260</v>
      </c>
      <c r="I1019" s="1">
        <v>200</v>
      </c>
      <c r="J1019" s="1" t="s">
        <v>1717</v>
      </c>
      <c r="K1019" s="1">
        <v>5</v>
      </c>
      <c r="L1019" s="1">
        <f t="shared" si="15"/>
        <v>1000</v>
      </c>
      <c r="M1019" s="1" t="s">
        <v>38</v>
      </c>
      <c r="N1019" s="1"/>
      <c r="O1019" s="12" t="str">
        <f>IF($J1019=Sheet2!$A$2, ROW(), "")</f>
        <v/>
      </c>
      <c r="Q1019" s="23" t="s">
        <v>3000</v>
      </c>
    </row>
    <row r="1020" spans="1:17" ht="14" customHeight="1" x14ac:dyDescent="0.3">
      <c r="A1020" s="1" t="s">
        <v>1507</v>
      </c>
      <c r="B1020" s="1">
        <v>27</v>
      </c>
      <c r="C1020" s="1" t="s">
        <v>730</v>
      </c>
      <c r="D1020" s="1"/>
      <c r="E1020" s="1"/>
      <c r="F1020" s="1">
        <v>106</v>
      </c>
      <c r="G1020" s="1">
        <v>116</v>
      </c>
      <c r="H1020" s="1" t="s">
        <v>260</v>
      </c>
      <c r="I1020" s="1">
        <v>80</v>
      </c>
      <c r="J1020" s="1" t="s">
        <v>233</v>
      </c>
      <c r="K1020" s="1">
        <v>5</v>
      </c>
      <c r="L1020" s="1">
        <f t="shared" si="15"/>
        <v>400</v>
      </c>
      <c r="M1020" s="1" t="s">
        <v>38</v>
      </c>
      <c r="N1020" s="1"/>
      <c r="O1020" s="12" t="str">
        <f>IF($J1020=Sheet2!$A$2, ROW(), "")</f>
        <v/>
      </c>
      <c r="Q1020" s="23" t="s">
        <v>3001</v>
      </c>
    </row>
    <row r="1021" spans="1:17" ht="14" customHeight="1" x14ac:dyDescent="0.3">
      <c r="A1021" s="1" t="s">
        <v>1508</v>
      </c>
      <c r="B1021" s="1">
        <v>21</v>
      </c>
      <c r="C1021" s="1" t="s">
        <v>730</v>
      </c>
      <c r="D1021" s="1"/>
      <c r="E1021" s="1"/>
      <c r="F1021" s="1">
        <v>118</v>
      </c>
      <c r="G1021" s="1">
        <v>140</v>
      </c>
      <c r="H1021" s="1" t="s">
        <v>697</v>
      </c>
      <c r="I1021" s="1">
        <v>140</v>
      </c>
      <c r="J1021" s="1" t="s">
        <v>490</v>
      </c>
      <c r="K1021" s="1">
        <v>5</v>
      </c>
      <c r="L1021" s="1">
        <f t="shared" si="15"/>
        <v>700</v>
      </c>
      <c r="M1021" s="1" t="s">
        <v>38</v>
      </c>
      <c r="N1021" s="1"/>
      <c r="O1021" s="12" t="str">
        <f>IF($J1021=Sheet2!$A$2, ROW(), "")</f>
        <v/>
      </c>
      <c r="Q1021" s="23" t="s">
        <v>3002</v>
      </c>
    </row>
    <row r="1022" spans="1:17" ht="14" customHeight="1" x14ac:dyDescent="0.3">
      <c r="A1022" s="1" t="s">
        <v>1509</v>
      </c>
      <c r="B1022" s="1">
        <v>27</v>
      </c>
      <c r="C1022" s="1" t="s">
        <v>730</v>
      </c>
      <c r="D1022" s="1"/>
      <c r="E1022" s="1"/>
      <c r="F1022" s="1">
        <v>120</v>
      </c>
      <c r="G1022" s="1">
        <v>130</v>
      </c>
      <c r="H1022" s="1" t="s">
        <v>1510</v>
      </c>
      <c r="I1022" s="1">
        <v>140</v>
      </c>
      <c r="J1022" s="1" t="s">
        <v>308</v>
      </c>
      <c r="K1022" s="1">
        <v>5</v>
      </c>
      <c r="L1022" s="1">
        <f t="shared" si="15"/>
        <v>700</v>
      </c>
      <c r="M1022" s="1" t="s">
        <v>38</v>
      </c>
      <c r="N1022" s="1"/>
      <c r="O1022" s="12" t="str">
        <f>IF($J1022=Sheet2!$A$2, ROW(), "")</f>
        <v/>
      </c>
      <c r="Q1022" s="23" t="s">
        <v>3003</v>
      </c>
    </row>
    <row r="1023" spans="1:17" ht="14" customHeight="1" x14ac:dyDescent="0.3">
      <c r="A1023" s="1" t="s">
        <v>1511</v>
      </c>
      <c r="B1023" s="1">
        <v>29</v>
      </c>
      <c r="C1023" s="1" t="s">
        <v>1011</v>
      </c>
      <c r="D1023" s="1"/>
      <c r="E1023" s="1"/>
      <c r="F1023" s="1">
        <v>118</v>
      </c>
      <c r="G1023" s="1">
        <v>120</v>
      </c>
      <c r="H1023" s="1" t="s">
        <v>1512</v>
      </c>
      <c r="I1023" s="1">
        <v>140</v>
      </c>
      <c r="J1023" s="1" t="s">
        <v>683</v>
      </c>
      <c r="K1023" s="1">
        <v>5</v>
      </c>
      <c r="L1023" s="1">
        <f t="shared" si="15"/>
        <v>700</v>
      </c>
      <c r="M1023" s="1" t="s">
        <v>38</v>
      </c>
      <c r="N1023" s="1"/>
      <c r="O1023" s="12" t="str">
        <f>IF($J1023=Sheet2!$A$2, ROW(), "")</f>
        <v/>
      </c>
      <c r="Q1023" s="23" t="s">
        <v>3004</v>
      </c>
    </row>
    <row r="1024" spans="1:17" ht="14" customHeight="1" x14ac:dyDescent="0.3">
      <c r="A1024" s="1" t="s">
        <v>1513</v>
      </c>
      <c r="B1024" s="1">
        <v>30</v>
      </c>
      <c r="C1024" s="1" t="s">
        <v>1011</v>
      </c>
      <c r="D1024" s="1"/>
      <c r="E1024" s="1"/>
      <c r="F1024" s="1">
        <v>116</v>
      </c>
      <c r="G1024" s="1">
        <v>125</v>
      </c>
      <c r="H1024" s="1" t="s">
        <v>1049</v>
      </c>
      <c r="I1024" s="1">
        <v>100</v>
      </c>
      <c r="J1024" s="1" t="s">
        <v>683</v>
      </c>
      <c r="K1024" s="1">
        <v>5</v>
      </c>
      <c r="L1024" s="1">
        <f t="shared" si="15"/>
        <v>500</v>
      </c>
      <c r="M1024" s="1" t="s">
        <v>38</v>
      </c>
      <c r="N1024" s="1"/>
      <c r="O1024" s="12" t="str">
        <f>IF($J1024=Sheet2!$A$2, ROW(), "")</f>
        <v/>
      </c>
      <c r="Q1024" s="23" t="s">
        <v>3005</v>
      </c>
    </row>
    <row r="1025" spans="1:17" ht="14" customHeight="1" x14ac:dyDescent="0.3">
      <c r="A1025" s="1" t="s">
        <v>1514</v>
      </c>
      <c r="B1025" s="1">
        <v>39</v>
      </c>
      <c r="C1025" s="1" t="s">
        <v>1063</v>
      </c>
      <c r="D1025" s="1"/>
      <c r="E1025" s="1"/>
      <c r="F1025" s="1">
        <v>116</v>
      </c>
      <c r="G1025" s="1">
        <v>150</v>
      </c>
      <c r="H1025" s="1" t="s">
        <v>1</v>
      </c>
      <c r="I1025" s="1">
        <v>40</v>
      </c>
      <c r="J1025" s="1" t="s">
        <v>683</v>
      </c>
      <c r="K1025" s="1">
        <v>5</v>
      </c>
      <c r="L1025" s="1">
        <f t="shared" si="15"/>
        <v>200</v>
      </c>
      <c r="M1025" s="1" t="s">
        <v>38</v>
      </c>
      <c r="N1025" s="1"/>
      <c r="O1025" s="12" t="str">
        <f>IF($J1025=Sheet2!$A$2, ROW(), "")</f>
        <v/>
      </c>
      <c r="Q1025" s="23" t="s">
        <v>3006</v>
      </c>
    </row>
    <row r="1026" spans="1:17" ht="14" customHeight="1" x14ac:dyDescent="0.3">
      <c r="A1026" s="1" t="s">
        <v>1515</v>
      </c>
      <c r="B1026" s="1">
        <v>30</v>
      </c>
      <c r="C1026" s="1" t="s">
        <v>1516</v>
      </c>
      <c r="D1026" s="1"/>
      <c r="E1026" s="1"/>
      <c r="F1026" s="1">
        <v>120</v>
      </c>
      <c r="G1026" s="1">
        <v>128</v>
      </c>
      <c r="H1026" s="1" t="s">
        <v>260</v>
      </c>
      <c r="I1026" s="1">
        <v>110</v>
      </c>
      <c r="J1026" s="1" t="s">
        <v>683</v>
      </c>
      <c r="K1026" s="1">
        <v>5</v>
      </c>
      <c r="L1026" s="1">
        <f t="shared" ref="L1026:L1089" si="16">I1026*5</f>
        <v>550</v>
      </c>
      <c r="M1026" s="1" t="s">
        <v>38</v>
      </c>
      <c r="N1026" s="1"/>
      <c r="O1026" s="12" t="str">
        <f>IF($J1026=Sheet2!$A$2, ROW(), "")</f>
        <v/>
      </c>
      <c r="Q1026" s="23" t="s">
        <v>3007</v>
      </c>
    </row>
    <row r="1027" spans="1:17" ht="14" customHeight="1" x14ac:dyDescent="0.3">
      <c r="A1027" s="1" t="s">
        <v>1517</v>
      </c>
      <c r="B1027" s="1">
        <v>25</v>
      </c>
      <c r="C1027" s="1" t="s">
        <v>1054</v>
      </c>
      <c r="D1027" s="1"/>
      <c r="E1027" s="1"/>
      <c r="F1027" s="1">
        <v>128</v>
      </c>
      <c r="G1027" s="1">
        <v>146</v>
      </c>
      <c r="H1027" s="1" t="s">
        <v>1372</v>
      </c>
      <c r="I1027" s="1">
        <v>200</v>
      </c>
      <c r="J1027" s="1" t="s">
        <v>308</v>
      </c>
      <c r="K1027" s="1">
        <v>5</v>
      </c>
      <c r="L1027" s="1">
        <f t="shared" si="16"/>
        <v>1000</v>
      </c>
      <c r="M1027" s="1" t="s">
        <v>38</v>
      </c>
      <c r="N1027" s="1"/>
      <c r="O1027" s="12" t="str">
        <f>IF($J1027=Sheet2!$A$2, ROW(), "")</f>
        <v/>
      </c>
      <c r="Q1027" s="23" t="s">
        <v>3008</v>
      </c>
    </row>
    <row r="1028" spans="1:17" ht="14" customHeight="1" x14ac:dyDescent="0.3">
      <c r="A1028" s="1" t="s">
        <v>1518</v>
      </c>
      <c r="B1028" s="1">
        <v>25</v>
      </c>
      <c r="C1028" s="1" t="s">
        <v>1519</v>
      </c>
      <c r="D1028" s="1"/>
      <c r="E1028" s="1"/>
      <c r="F1028" s="1">
        <v>130</v>
      </c>
      <c r="G1028" s="1">
        <v>150</v>
      </c>
      <c r="H1028" s="1" t="s">
        <v>1</v>
      </c>
      <c r="I1028" s="1">
        <v>220</v>
      </c>
      <c r="J1028" s="1" t="s">
        <v>271</v>
      </c>
      <c r="K1028" s="1">
        <v>5</v>
      </c>
      <c r="L1028" s="1">
        <f t="shared" si="16"/>
        <v>1100</v>
      </c>
      <c r="M1028" s="1" t="s">
        <v>38</v>
      </c>
      <c r="N1028" s="1"/>
      <c r="O1028" s="12" t="str">
        <f>IF($J1028=Sheet2!$A$2, ROW(), "")</f>
        <v/>
      </c>
      <c r="Q1028" s="23" t="s">
        <v>3009</v>
      </c>
    </row>
    <row r="1029" spans="1:17" ht="14" customHeight="1" x14ac:dyDescent="0.3">
      <c r="A1029" s="1" t="s">
        <v>1520</v>
      </c>
      <c r="B1029" s="1">
        <v>25</v>
      </c>
      <c r="C1029" s="1" t="s">
        <v>1200</v>
      </c>
      <c r="D1029" s="1"/>
      <c r="E1029" s="1"/>
      <c r="F1029" s="1">
        <v>130</v>
      </c>
      <c r="G1029" s="1">
        <v>136</v>
      </c>
      <c r="H1029" s="1" t="s">
        <v>630</v>
      </c>
      <c r="I1029" s="1">
        <v>200</v>
      </c>
      <c r="J1029" s="1" t="s">
        <v>1717</v>
      </c>
      <c r="K1029" s="1">
        <v>5</v>
      </c>
      <c r="L1029" s="1">
        <f t="shared" si="16"/>
        <v>1000</v>
      </c>
      <c r="M1029" s="1" t="s">
        <v>38</v>
      </c>
      <c r="N1029" s="1"/>
      <c r="O1029" s="12" t="str">
        <f>IF($J1029=Sheet2!$A$2, ROW(), "")</f>
        <v/>
      </c>
      <c r="Q1029" s="23" t="s">
        <v>3010</v>
      </c>
    </row>
    <row r="1030" spans="1:17" ht="14" customHeight="1" x14ac:dyDescent="0.3">
      <c r="A1030" s="1" t="s">
        <v>1521</v>
      </c>
      <c r="B1030" s="1">
        <v>27</v>
      </c>
      <c r="C1030" s="1" t="s">
        <v>730</v>
      </c>
      <c r="D1030" s="1"/>
      <c r="E1030" s="1"/>
      <c r="F1030" s="1">
        <v>118</v>
      </c>
      <c r="G1030" s="1">
        <v>128</v>
      </c>
      <c r="H1030" s="1" t="s">
        <v>969</v>
      </c>
      <c r="I1030" s="1">
        <v>150</v>
      </c>
      <c r="J1030" s="1" t="s">
        <v>1164</v>
      </c>
      <c r="K1030" s="1">
        <v>5</v>
      </c>
      <c r="L1030" s="1">
        <f t="shared" si="16"/>
        <v>750</v>
      </c>
      <c r="M1030" s="1" t="s">
        <v>38</v>
      </c>
      <c r="N1030" s="1"/>
      <c r="O1030" s="12" t="str">
        <f>IF($J1030=Sheet2!$A$2, ROW(), "")</f>
        <v/>
      </c>
      <c r="Q1030" s="23" t="s">
        <v>3011</v>
      </c>
    </row>
    <row r="1031" spans="1:17" ht="14" customHeight="1" x14ac:dyDescent="0.3">
      <c r="A1031" s="1" t="s">
        <v>1522</v>
      </c>
      <c r="B1031" s="1">
        <v>28</v>
      </c>
      <c r="C1031" s="1" t="s">
        <v>283</v>
      </c>
      <c r="D1031" s="1"/>
      <c r="E1031" s="1"/>
      <c r="F1031" s="1">
        <v>122</v>
      </c>
      <c r="G1031" s="1">
        <v>130</v>
      </c>
      <c r="H1031" s="1" t="s">
        <v>1523</v>
      </c>
      <c r="I1031" s="1">
        <v>150</v>
      </c>
      <c r="J1031" s="1" t="s">
        <v>130</v>
      </c>
      <c r="K1031" s="1">
        <v>5</v>
      </c>
      <c r="L1031" s="1">
        <f t="shared" si="16"/>
        <v>750</v>
      </c>
      <c r="M1031" s="1" t="s">
        <v>38</v>
      </c>
      <c r="N1031" s="1"/>
      <c r="O1031" s="12" t="str">
        <f>IF($J1031=Sheet2!$A$2, ROW(), "")</f>
        <v/>
      </c>
      <c r="Q1031" s="23" t="s">
        <v>3012</v>
      </c>
    </row>
    <row r="1032" spans="1:17" ht="14" customHeight="1" x14ac:dyDescent="0.3">
      <c r="A1032" s="1" t="s">
        <v>1524</v>
      </c>
      <c r="B1032" s="1">
        <v>23</v>
      </c>
      <c r="C1032" s="1" t="s">
        <v>1063</v>
      </c>
      <c r="D1032" s="1"/>
      <c r="E1032" s="1"/>
      <c r="F1032" s="1">
        <v>126</v>
      </c>
      <c r="G1032" s="1">
        <v>132</v>
      </c>
      <c r="H1032" s="1" t="s">
        <v>1525</v>
      </c>
      <c r="I1032" s="1">
        <v>110</v>
      </c>
      <c r="J1032" s="1" t="s">
        <v>130</v>
      </c>
      <c r="K1032" s="1">
        <v>5</v>
      </c>
      <c r="L1032" s="1">
        <f t="shared" si="16"/>
        <v>550</v>
      </c>
      <c r="M1032" s="1" t="s">
        <v>38</v>
      </c>
      <c r="N1032" s="1"/>
      <c r="O1032" s="12" t="str">
        <f>IF($J1032=Sheet2!$A$2, ROW(), "")</f>
        <v/>
      </c>
      <c r="Q1032" s="23" t="s">
        <v>3013</v>
      </c>
    </row>
    <row r="1033" spans="1:17" ht="14" customHeight="1" x14ac:dyDescent="0.3">
      <c r="A1033" s="1" t="s">
        <v>1526</v>
      </c>
      <c r="B1033" s="1">
        <v>28</v>
      </c>
      <c r="C1033" s="1" t="s">
        <v>924</v>
      </c>
      <c r="D1033" s="1"/>
      <c r="E1033" s="1"/>
      <c r="F1033" s="1">
        <v>122</v>
      </c>
      <c r="G1033" s="1">
        <v>139</v>
      </c>
      <c r="H1033" s="1" t="s">
        <v>340</v>
      </c>
      <c r="I1033" s="1">
        <v>100</v>
      </c>
      <c r="J1033" s="1" t="s">
        <v>835</v>
      </c>
      <c r="K1033" s="1">
        <v>5</v>
      </c>
      <c r="L1033" s="1">
        <f t="shared" si="16"/>
        <v>500</v>
      </c>
      <c r="M1033" s="1" t="s">
        <v>38</v>
      </c>
      <c r="N1033" s="1"/>
      <c r="O1033" s="12" t="str">
        <f>IF($J1033=Sheet2!$A$2, ROW(), "")</f>
        <v/>
      </c>
      <c r="Q1033" s="23" t="s">
        <v>3014</v>
      </c>
    </row>
    <row r="1034" spans="1:17" ht="14" customHeight="1" x14ac:dyDescent="0.3">
      <c r="A1034" s="1" t="s">
        <v>1527</v>
      </c>
      <c r="B1034" s="1">
        <v>37</v>
      </c>
      <c r="C1034" s="1" t="s">
        <v>287</v>
      </c>
      <c r="D1034" s="1"/>
      <c r="E1034" s="1"/>
      <c r="F1034" s="1">
        <v>75</v>
      </c>
      <c r="G1034" s="1">
        <v>75</v>
      </c>
      <c r="H1034" s="1" t="s">
        <v>1</v>
      </c>
      <c r="I1034" s="1">
        <v>24</v>
      </c>
      <c r="J1034" s="1" t="s">
        <v>1039</v>
      </c>
      <c r="K1034" s="1">
        <v>5</v>
      </c>
      <c r="L1034" s="1">
        <f t="shared" si="16"/>
        <v>120</v>
      </c>
      <c r="M1034" s="1" t="s">
        <v>38</v>
      </c>
      <c r="N1034" s="1"/>
      <c r="O1034" s="12" t="str">
        <f>IF($J1034=Sheet2!$A$2, ROW(), "")</f>
        <v/>
      </c>
      <c r="Q1034" s="23" t="s">
        <v>3015</v>
      </c>
    </row>
    <row r="1035" spans="1:17" ht="14" customHeight="1" x14ac:dyDescent="0.3">
      <c r="A1035" s="1" t="s">
        <v>1528</v>
      </c>
      <c r="B1035" s="1">
        <v>37</v>
      </c>
      <c r="C1035" s="1" t="s">
        <v>287</v>
      </c>
      <c r="D1035" s="1"/>
      <c r="E1035" s="1"/>
      <c r="F1035" s="1">
        <v>75</v>
      </c>
      <c r="G1035" s="1">
        <v>75</v>
      </c>
      <c r="H1035" s="1" t="s">
        <v>1529</v>
      </c>
      <c r="I1035" s="1">
        <v>24</v>
      </c>
      <c r="J1035" s="1" t="s">
        <v>1039</v>
      </c>
      <c r="K1035" s="1">
        <v>5</v>
      </c>
      <c r="L1035" s="1">
        <f t="shared" si="16"/>
        <v>120</v>
      </c>
      <c r="M1035" s="1" t="s">
        <v>38</v>
      </c>
      <c r="N1035" s="1"/>
      <c r="O1035" s="12" t="str">
        <f>IF($J1035=Sheet2!$A$2, ROW(), "")</f>
        <v/>
      </c>
      <c r="Q1035" s="23" t="s">
        <v>3016</v>
      </c>
    </row>
    <row r="1036" spans="1:17" ht="14" customHeight="1" x14ac:dyDescent="0.3">
      <c r="A1036" s="1" t="s">
        <v>1530</v>
      </c>
      <c r="B1036" s="1">
        <v>24</v>
      </c>
      <c r="C1036" s="1" t="s">
        <v>1011</v>
      </c>
      <c r="D1036" s="1"/>
      <c r="E1036" s="1"/>
      <c r="F1036" s="1">
        <v>110</v>
      </c>
      <c r="G1036" s="1">
        <v>128</v>
      </c>
      <c r="H1036" s="1" t="s">
        <v>317</v>
      </c>
      <c r="I1036" s="1">
        <v>90</v>
      </c>
      <c r="J1036" s="1" t="s">
        <v>1039</v>
      </c>
      <c r="K1036" s="1">
        <v>5</v>
      </c>
      <c r="L1036" s="1">
        <f t="shared" si="16"/>
        <v>450</v>
      </c>
      <c r="M1036" s="1" t="s">
        <v>38</v>
      </c>
      <c r="N1036" s="1"/>
      <c r="O1036" s="12" t="str">
        <f>IF($J1036=Sheet2!$A$2, ROW(), "")</f>
        <v/>
      </c>
      <c r="Q1036" s="23" t="s">
        <v>3017</v>
      </c>
    </row>
    <row r="1037" spans="1:17" ht="14" customHeight="1" x14ac:dyDescent="0.3">
      <c r="A1037" s="1" t="s">
        <v>1531</v>
      </c>
      <c r="B1037" s="1">
        <v>20</v>
      </c>
      <c r="C1037" s="1" t="s">
        <v>256</v>
      </c>
      <c r="D1037" s="1"/>
      <c r="E1037" s="1"/>
      <c r="F1037" s="1">
        <v>126</v>
      </c>
      <c r="G1037" s="1">
        <v>160</v>
      </c>
      <c r="H1037" s="1" t="s">
        <v>1532</v>
      </c>
      <c r="I1037" s="1">
        <v>180</v>
      </c>
      <c r="J1037" s="1" t="s">
        <v>315</v>
      </c>
      <c r="K1037" s="1">
        <v>5</v>
      </c>
      <c r="L1037" s="1">
        <f t="shared" si="16"/>
        <v>900</v>
      </c>
      <c r="M1037" s="1" t="s">
        <v>38</v>
      </c>
      <c r="N1037" s="1"/>
      <c r="O1037" s="12" t="str">
        <f>IF($J1037=Sheet2!$A$2, ROW(), "")</f>
        <v/>
      </c>
      <c r="Q1037" s="23" t="s">
        <v>3018</v>
      </c>
    </row>
    <row r="1038" spans="1:17" ht="14" customHeight="1" x14ac:dyDescent="0.3">
      <c r="A1038" s="1" t="s">
        <v>1533</v>
      </c>
      <c r="B1038" s="1">
        <v>22</v>
      </c>
      <c r="C1038" s="1" t="s">
        <v>510</v>
      </c>
      <c r="D1038" s="1"/>
      <c r="E1038" s="1"/>
      <c r="F1038" s="1">
        <v>123</v>
      </c>
      <c r="G1038" s="1">
        <v>156</v>
      </c>
      <c r="H1038" s="1" t="s">
        <v>357</v>
      </c>
      <c r="I1038" s="1">
        <v>190</v>
      </c>
      <c r="J1038" s="1" t="s">
        <v>315</v>
      </c>
      <c r="K1038" s="1">
        <v>5</v>
      </c>
      <c r="L1038" s="1">
        <f t="shared" si="16"/>
        <v>950</v>
      </c>
      <c r="M1038" s="1" t="s">
        <v>38</v>
      </c>
      <c r="N1038" s="1"/>
      <c r="O1038" s="12" t="str">
        <f>IF($J1038=Sheet2!$A$2, ROW(), "")</f>
        <v/>
      </c>
      <c r="Q1038" s="23" t="s">
        <v>3019</v>
      </c>
    </row>
    <row r="1039" spans="1:17" ht="14" customHeight="1" x14ac:dyDescent="0.3">
      <c r="A1039" s="1" t="s">
        <v>1534</v>
      </c>
      <c r="B1039" s="1">
        <v>26</v>
      </c>
      <c r="C1039" s="1" t="s">
        <v>644</v>
      </c>
      <c r="D1039" s="1"/>
      <c r="E1039" s="1"/>
      <c r="F1039" s="1">
        <v>128</v>
      </c>
      <c r="G1039" s="1">
        <v>150</v>
      </c>
      <c r="H1039" s="1" t="s">
        <v>357</v>
      </c>
      <c r="I1039" s="1">
        <v>70</v>
      </c>
      <c r="J1039" s="1" t="s">
        <v>1039</v>
      </c>
      <c r="K1039" s="1">
        <v>5</v>
      </c>
      <c r="L1039" s="1">
        <f t="shared" si="16"/>
        <v>350</v>
      </c>
      <c r="M1039" s="1" t="s">
        <v>38</v>
      </c>
      <c r="N1039" s="1"/>
      <c r="O1039" s="12" t="str">
        <f>IF($J1039=Sheet2!$A$2, ROW(), "")</f>
        <v/>
      </c>
      <c r="Q1039" s="23" t="s">
        <v>3020</v>
      </c>
    </row>
    <row r="1040" spans="1:17" ht="14" customHeight="1" x14ac:dyDescent="0.3">
      <c r="A1040" s="1" t="s">
        <v>1535</v>
      </c>
      <c r="B1040" s="1">
        <v>26</v>
      </c>
      <c r="C1040" s="1" t="s">
        <v>246</v>
      </c>
      <c r="D1040" s="1"/>
      <c r="E1040" s="1"/>
      <c r="F1040" s="1">
        <v>120</v>
      </c>
      <c r="G1040" s="1">
        <v>126</v>
      </c>
      <c r="H1040" s="1" t="s">
        <v>260</v>
      </c>
      <c r="I1040" s="1">
        <v>55</v>
      </c>
      <c r="J1040" s="1" t="s">
        <v>1039</v>
      </c>
      <c r="K1040" s="1">
        <v>5</v>
      </c>
      <c r="L1040" s="1">
        <f t="shared" si="16"/>
        <v>275</v>
      </c>
      <c r="M1040" s="1" t="s">
        <v>38</v>
      </c>
      <c r="N1040" s="1"/>
      <c r="O1040" s="12" t="str">
        <f>IF($J1040=Sheet2!$A$2, ROW(), "")</f>
        <v/>
      </c>
      <c r="Q1040" s="23" t="s">
        <v>3021</v>
      </c>
    </row>
    <row r="1041" spans="1:17" ht="14" customHeight="1" x14ac:dyDescent="0.3">
      <c r="A1041" s="1" t="s">
        <v>1536</v>
      </c>
      <c r="B1041" s="1">
        <v>24</v>
      </c>
      <c r="C1041" s="1" t="s">
        <v>285</v>
      </c>
      <c r="D1041" s="1"/>
      <c r="E1041" s="1"/>
      <c r="F1041" s="1">
        <v>124</v>
      </c>
      <c r="G1041" s="1">
        <v>132</v>
      </c>
      <c r="H1041" s="1" t="s">
        <v>972</v>
      </c>
      <c r="I1041" s="1">
        <v>50</v>
      </c>
      <c r="J1041" s="1" t="s">
        <v>1039</v>
      </c>
      <c r="K1041" s="1">
        <v>5</v>
      </c>
      <c r="L1041" s="1">
        <f t="shared" si="16"/>
        <v>250</v>
      </c>
      <c r="M1041" s="1" t="s">
        <v>38</v>
      </c>
      <c r="N1041" s="1"/>
      <c r="O1041" s="12" t="str">
        <f>IF($J1041=Sheet2!$A$2, ROW(), "")</f>
        <v/>
      </c>
      <c r="Q1041" s="23" t="s">
        <v>3022</v>
      </c>
    </row>
    <row r="1042" spans="1:17" ht="14" customHeight="1" x14ac:dyDescent="0.3">
      <c r="A1042" s="1" t="s">
        <v>1537</v>
      </c>
      <c r="B1042" s="1">
        <v>21</v>
      </c>
      <c r="C1042" s="1" t="s">
        <v>774</v>
      </c>
      <c r="D1042" s="1"/>
      <c r="E1042" s="1"/>
      <c r="F1042" s="1">
        <v>122</v>
      </c>
      <c r="G1042" s="1">
        <v>140</v>
      </c>
      <c r="H1042" s="1" t="s">
        <v>761</v>
      </c>
      <c r="I1042" s="1">
        <v>110</v>
      </c>
      <c r="J1042" s="1" t="s">
        <v>1039</v>
      </c>
      <c r="K1042" s="1">
        <v>5</v>
      </c>
      <c r="L1042" s="1">
        <f t="shared" si="16"/>
        <v>550</v>
      </c>
      <c r="M1042" s="1" t="s">
        <v>38</v>
      </c>
      <c r="N1042" s="1"/>
      <c r="O1042" s="12" t="str">
        <f>IF($J1042=Sheet2!$A$2, ROW(), "")</f>
        <v/>
      </c>
      <c r="Q1042" s="23" t="s">
        <v>3023</v>
      </c>
    </row>
    <row r="1043" spans="1:17" ht="14" customHeight="1" x14ac:dyDescent="0.3">
      <c r="A1043" s="1" t="s">
        <v>1538</v>
      </c>
      <c r="B1043" s="1">
        <v>22</v>
      </c>
      <c r="C1043" s="1" t="s">
        <v>542</v>
      </c>
      <c r="D1043" s="1"/>
      <c r="E1043" s="1"/>
      <c r="F1043" s="1">
        <v>111</v>
      </c>
      <c r="G1043" s="1">
        <v>140</v>
      </c>
      <c r="H1043" s="1" t="s">
        <v>324</v>
      </c>
      <c r="I1043" s="1">
        <v>90</v>
      </c>
      <c r="J1043" s="1" t="s">
        <v>1039</v>
      </c>
      <c r="K1043" s="1">
        <v>5</v>
      </c>
      <c r="L1043" s="1">
        <f t="shared" si="16"/>
        <v>450</v>
      </c>
      <c r="M1043" s="1" t="s">
        <v>38</v>
      </c>
      <c r="N1043" s="1"/>
      <c r="O1043" s="12" t="str">
        <f>IF($J1043=Sheet2!$A$2, ROW(), "")</f>
        <v/>
      </c>
      <c r="Q1043" s="23" t="s">
        <v>3024</v>
      </c>
    </row>
    <row r="1044" spans="1:17" ht="14" customHeight="1" x14ac:dyDescent="0.3">
      <c r="A1044" s="1" t="s">
        <v>1539</v>
      </c>
      <c r="B1044" s="1">
        <v>23</v>
      </c>
      <c r="C1044" s="1" t="s">
        <v>1063</v>
      </c>
      <c r="D1044" s="1"/>
      <c r="E1044" s="1"/>
      <c r="F1044" s="1">
        <v>124</v>
      </c>
      <c r="G1044" s="1">
        <v>136</v>
      </c>
      <c r="H1044" s="1" t="s">
        <v>357</v>
      </c>
      <c r="I1044" s="1">
        <v>100</v>
      </c>
      <c r="J1044" s="1" t="s">
        <v>1039</v>
      </c>
      <c r="K1044" s="1">
        <v>5</v>
      </c>
      <c r="L1044" s="1">
        <f t="shared" si="16"/>
        <v>500</v>
      </c>
      <c r="M1044" s="1" t="s">
        <v>38</v>
      </c>
      <c r="N1044" s="1"/>
      <c r="O1044" s="12" t="str">
        <f>IF($J1044=Sheet2!$A$2, ROW(), "")</f>
        <v/>
      </c>
      <c r="Q1044" s="23" t="s">
        <v>3025</v>
      </c>
    </row>
    <row r="1045" spans="1:17" ht="14" customHeight="1" x14ac:dyDescent="0.3">
      <c r="A1045" s="1" t="s">
        <v>1540</v>
      </c>
      <c r="B1045" s="1">
        <v>31</v>
      </c>
      <c r="C1045" s="1" t="s">
        <v>1063</v>
      </c>
      <c r="D1045" s="1"/>
      <c r="E1045" s="1"/>
      <c r="F1045" s="1">
        <v>100</v>
      </c>
      <c r="G1045" s="1">
        <v>106</v>
      </c>
      <c r="H1045" s="1" t="s">
        <v>1</v>
      </c>
      <c r="I1045" s="1">
        <v>50</v>
      </c>
      <c r="J1045" s="1" t="s">
        <v>1156</v>
      </c>
      <c r="K1045" s="1">
        <v>5</v>
      </c>
      <c r="L1045" s="1">
        <f t="shared" si="16"/>
        <v>250</v>
      </c>
      <c r="M1045" s="1" t="s">
        <v>38</v>
      </c>
      <c r="N1045" s="1"/>
      <c r="O1045" s="12" t="str">
        <f>IF($J1045=Sheet2!$A$2, ROW(), "")</f>
        <v/>
      </c>
      <c r="Q1045" s="23" t="s">
        <v>3026</v>
      </c>
    </row>
    <row r="1046" spans="1:17" ht="14" customHeight="1" x14ac:dyDescent="0.3">
      <c r="A1046" s="1" t="s">
        <v>1541</v>
      </c>
      <c r="B1046" s="1">
        <v>25</v>
      </c>
      <c r="C1046" s="1" t="s">
        <v>1542</v>
      </c>
      <c r="D1046" s="1"/>
      <c r="E1046" s="1"/>
      <c r="F1046" s="1">
        <v>114</v>
      </c>
      <c r="G1046" s="1">
        <v>126</v>
      </c>
      <c r="H1046" s="1" t="s">
        <v>357</v>
      </c>
      <c r="I1046" s="1">
        <v>90</v>
      </c>
      <c r="J1046" s="1" t="s">
        <v>1156</v>
      </c>
      <c r="K1046" s="1">
        <v>5</v>
      </c>
      <c r="L1046" s="1">
        <f t="shared" si="16"/>
        <v>450</v>
      </c>
      <c r="M1046" s="1" t="s">
        <v>38</v>
      </c>
      <c r="N1046" s="1"/>
      <c r="O1046" s="12" t="str">
        <f>IF($J1046=Sheet2!$A$2, ROW(), "")</f>
        <v/>
      </c>
      <c r="Q1046" s="23" t="s">
        <v>3027</v>
      </c>
    </row>
    <row r="1047" spans="1:17" ht="14" customHeight="1" x14ac:dyDescent="0.3">
      <c r="A1047" s="1" t="s">
        <v>1543</v>
      </c>
      <c r="B1047" s="1">
        <v>31</v>
      </c>
      <c r="C1047" s="1" t="s">
        <v>1063</v>
      </c>
      <c r="D1047" s="1"/>
      <c r="E1047" s="1"/>
      <c r="F1047" s="1">
        <v>100</v>
      </c>
      <c r="G1047" s="1">
        <v>106</v>
      </c>
      <c r="H1047" s="1" t="s">
        <v>247</v>
      </c>
      <c r="I1047" s="1">
        <v>50</v>
      </c>
      <c r="J1047" s="1" t="s">
        <v>1156</v>
      </c>
      <c r="K1047" s="1">
        <v>5</v>
      </c>
      <c r="L1047" s="1">
        <f t="shared" si="16"/>
        <v>250</v>
      </c>
      <c r="M1047" s="1" t="s">
        <v>38</v>
      </c>
      <c r="N1047" s="1"/>
      <c r="O1047" s="12" t="str">
        <f>IF($J1047=Sheet2!$A$2, ROW(), "")</f>
        <v/>
      </c>
      <c r="Q1047" s="23" t="s">
        <v>3028</v>
      </c>
    </row>
    <row r="1048" spans="1:17" ht="14" customHeight="1" x14ac:dyDescent="0.3">
      <c r="A1048" s="1" t="s">
        <v>1544</v>
      </c>
      <c r="B1048" s="1">
        <v>25</v>
      </c>
      <c r="C1048" s="1" t="s">
        <v>1203</v>
      </c>
      <c r="D1048" s="1"/>
      <c r="E1048" s="1"/>
      <c r="F1048" s="1">
        <v>118</v>
      </c>
      <c r="G1048" s="1">
        <v>132</v>
      </c>
      <c r="H1048" s="1" t="s">
        <v>770</v>
      </c>
      <c r="I1048" s="1">
        <v>100</v>
      </c>
      <c r="J1048" s="1" t="s">
        <v>1156</v>
      </c>
      <c r="K1048" s="1">
        <v>5</v>
      </c>
      <c r="L1048" s="1">
        <f t="shared" si="16"/>
        <v>500</v>
      </c>
      <c r="M1048" s="1" t="s">
        <v>38</v>
      </c>
      <c r="N1048" s="1"/>
      <c r="O1048" s="12" t="str">
        <f>IF($J1048=Sheet2!$A$2, ROW(), "")</f>
        <v/>
      </c>
      <c r="Q1048" s="23" t="s">
        <v>3029</v>
      </c>
    </row>
    <row r="1049" spans="1:17" ht="14" customHeight="1" x14ac:dyDescent="0.3">
      <c r="A1049" s="1" t="s">
        <v>1545</v>
      </c>
      <c r="B1049" s="1">
        <v>22</v>
      </c>
      <c r="C1049" s="1" t="s">
        <v>1063</v>
      </c>
      <c r="D1049" s="1"/>
      <c r="E1049" s="1"/>
      <c r="F1049" s="1">
        <v>118</v>
      </c>
      <c r="G1049" s="1">
        <v>130</v>
      </c>
      <c r="H1049" s="1" t="s">
        <v>260</v>
      </c>
      <c r="I1049" s="1">
        <v>90</v>
      </c>
      <c r="J1049" s="1" t="s">
        <v>1156</v>
      </c>
      <c r="K1049" s="1">
        <v>5</v>
      </c>
      <c r="L1049" s="1">
        <f t="shared" si="16"/>
        <v>450</v>
      </c>
      <c r="M1049" s="1" t="s">
        <v>38</v>
      </c>
      <c r="N1049" s="1"/>
      <c r="O1049" s="12" t="str">
        <f>IF($J1049=Sheet2!$A$2, ROW(), "")</f>
        <v/>
      </c>
      <c r="Q1049" s="23" t="s">
        <v>3030</v>
      </c>
    </row>
    <row r="1050" spans="1:17" ht="14" customHeight="1" x14ac:dyDescent="0.3">
      <c r="A1050" s="1" t="s">
        <v>1546</v>
      </c>
      <c r="B1050" s="1">
        <v>25</v>
      </c>
      <c r="C1050" s="1" t="s">
        <v>1063</v>
      </c>
      <c r="D1050" s="1"/>
      <c r="E1050" s="1"/>
      <c r="F1050" s="1">
        <v>118</v>
      </c>
      <c r="G1050" s="1">
        <v>136</v>
      </c>
      <c r="H1050" s="1" t="s">
        <v>357</v>
      </c>
      <c r="I1050" s="1">
        <v>90</v>
      </c>
      <c r="J1050" s="1" t="s">
        <v>1156</v>
      </c>
      <c r="K1050" s="1">
        <v>5</v>
      </c>
      <c r="L1050" s="1">
        <f t="shared" si="16"/>
        <v>450</v>
      </c>
      <c r="M1050" s="1" t="s">
        <v>38</v>
      </c>
      <c r="N1050" s="1"/>
      <c r="O1050" s="12" t="str">
        <f>IF($J1050=Sheet2!$A$2, ROW(), "")</f>
        <v/>
      </c>
      <c r="Q1050" s="23" t="s">
        <v>3031</v>
      </c>
    </row>
    <row r="1051" spans="1:17" ht="14" customHeight="1" x14ac:dyDescent="0.3">
      <c r="A1051" s="1" t="s">
        <v>1547</v>
      </c>
      <c r="B1051" s="1">
        <v>24</v>
      </c>
      <c r="C1051" s="1" t="s">
        <v>1548</v>
      </c>
      <c r="D1051" s="1"/>
      <c r="E1051" s="1"/>
      <c r="F1051" s="1">
        <v>114</v>
      </c>
      <c r="G1051" s="1">
        <v>132</v>
      </c>
      <c r="H1051" s="1" t="s">
        <v>340</v>
      </c>
      <c r="I1051" s="1">
        <v>100</v>
      </c>
      <c r="J1051" s="1" t="s">
        <v>1156</v>
      </c>
      <c r="K1051" s="1">
        <v>5</v>
      </c>
      <c r="L1051" s="1">
        <f t="shared" si="16"/>
        <v>500</v>
      </c>
      <c r="M1051" s="1" t="s">
        <v>38</v>
      </c>
      <c r="N1051" s="1"/>
      <c r="O1051" s="12" t="str">
        <f>IF($J1051=Sheet2!$A$2, ROW(), "")</f>
        <v/>
      </c>
      <c r="Q1051" s="23" t="s">
        <v>3032</v>
      </c>
    </row>
    <row r="1052" spans="1:17" ht="14" customHeight="1" x14ac:dyDescent="0.3">
      <c r="A1052" s="1" t="s">
        <v>1549</v>
      </c>
      <c r="B1052" s="1">
        <v>28</v>
      </c>
      <c r="C1052" s="1" t="s">
        <v>283</v>
      </c>
      <c r="D1052" s="1"/>
      <c r="E1052" s="1"/>
      <c r="F1052" s="1">
        <v>80</v>
      </c>
      <c r="G1052" s="1">
        <v>86</v>
      </c>
      <c r="H1052" s="1" t="s">
        <v>364</v>
      </c>
      <c r="I1052" s="1">
        <v>24</v>
      </c>
      <c r="J1052" s="1" t="s">
        <v>1156</v>
      </c>
      <c r="K1052" s="1">
        <v>5</v>
      </c>
      <c r="L1052" s="1">
        <f t="shared" si="16"/>
        <v>120</v>
      </c>
      <c r="M1052" s="1" t="s">
        <v>38</v>
      </c>
      <c r="N1052" s="1"/>
      <c r="O1052" s="12" t="str">
        <f>IF($J1052=Sheet2!$A$2, ROW(), "")</f>
        <v/>
      </c>
      <c r="Q1052" s="23" t="s">
        <v>3033</v>
      </c>
    </row>
    <row r="1053" spans="1:17" ht="14" customHeight="1" x14ac:dyDescent="0.3">
      <c r="A1053" s="1" t="s">
        <v>1550</v>
      </c>
      <c r="B1053" s="1">
        <v>25</v>
      </c>
      <c r="C1053" s="1" t="s">
        <v>1063</v>
      </c>
      <c r="D1053" s="1"/>
      <c r="E1053" s="1"/>
      <c r="F1053" s="1">
        <v>127</v>
      </c>
      <c r="G1053" s="1">
        <v>135</v>
      </c>
      <c r="H1053" s="1" t="s">
        <v>277</v>
      </c>
      <c r="I1053" s="1">
        <v>120</v>
      </c>
      <c r="J1053" s="1" t="s">
        <v>257</v>
      </c>
      <c r="K1053" s="1">
        <v>5</v>
      </c>
      <c r="L1053" s="1">
        <f t="shared" si="16"/>
        <v>600</v>
      </c>
      <c r="M1053" s="1" t="s">
        <v>38</v>
      </c>
      <c r="N1053" s="1"/>
      <c r="O1053" s="12" t="str">
        <f>IF($J1053=Sheet2!$A$2, ROW(), "")</f>
        <v/>
      </c>
      <c r="Q1053" s="23" t="s">
        <v>3034</v>
      </c>
    </row>
    <row r="1054" spans="1:17" ht="14" customHeight="1" x14ac:dyDescent="0.3">
      <c r="A1054" s="1" t="s">
        <v>1551</v>
      </c>
      <c r="B1054" s="1">
        <v>28</v>
      </c>
      <c r="C1054" s="1" t="s">
        <v>1063</v>
      </c>
      <c r="D1054" s="1"/>
      <c r="E1054" s="1"/>
      <c r="F1054" s="1">
        <v>120</v>
      </c>
      <c r="G1054" s="1">
        <v>126</v>
      </c>
      <c r="H1054" s="1" t="s">
        <v>260</v>
      </c>
      <c r="I1054" s="1">
        <v>100</v>
      </c>
      <c r="J1054" s="1" t="s">
        <v>257</v>
      </c>
      <c r="K1054" s="1">
        <v>5</v>
      </c>
      <c r="L1054" s="1">
        <f t="shared" si="16"/>
        <v>500</v>
      </c>
      <c r="M1054" s="1" t="s">
        <v>38</v>
      </c>
      <c r="N1054" s="1"/>
      <c r="O1054" s="12" t="str">
        <f>IF($J1054=Sheet2!$A$2, ROW(), "")</f>
        <v/>
      </c>
      <c r="Q1054" s="23" t="s">
        <v>3035</v>
      </c>
    </row>
    <row r="1055" spans="1:17" ht="14" customHeight="1" x14ac:dyDescent="0.3">
      <c r="A1055" s="1" t="s">
        <v>1552</v>
      </c>
      <c r="B1055" s="1">
        <v>28</v>
      </c>
      <c r="C1055" s="1" t="s">
        <v>1063</v>
      </c>
      <c r="D1055" s="1"/>
      <c r="E1055" s="1"/>
      <c r="F1055" s="1">
        <v>120</v>
      </c>
      <c r="G1055" s="1">
        <v>120</v>
      </c>
      <c r="H1055" s="1" t="s">
        <v>1176</v>
      </c>
      <c r="I1055" s="1">
        <v>90</v>
      </c>
      <c r="J1055" s="1" t="s">
        <v>257</v>
      </c>
      <c r="K1055" s="1">
        <v>5</v>
      </c>
      <c r="L1055" s="1">
        <f t="shared" si="16"/>
        <v>450</v>
      </c>
      <c r="M1055" s="1" t="s">
        <v>38</v>
      </c>
      <c r="N1055" s="1"/>
      <c r="O1055" s="12" t="str">
        <f>IF($J1055=Sheet2!$A$2, ROW(), "")</f>
        <v/>
      </c>
      <c r="Q1055" s="23" t="s">
        <v>3036</v>
      </c>
    </row>
    <row r="1056" spans="1:17" ht="14" customHeight="1" x14ac:dyDescent="0.3">
      <c r="A1056" s="1" t="s">
        <v>1553</v>
      </c>
      <c r="B1056" s="1">
        <v>36</v>
      </c>
      <c r="C1056" s="1" t="s">
        <v>1063</v>
      </c>
      <c r="D1056" s="1"/>
      <c r="E1056" s="1"/>
      <c r="F1056" s="1">
        <v>118</v>
      </c>
      <c r="G1056" s="1">
        <v>132</v>
      </c>
      <c r="H1056" s="1" t="s">
        <v>317</v>
      </c>
      <c r="I1056" s="1">
        <v>45</v>
      </c>
      <c r="J1056" s="1" t="s">
        <v>1735</v>
      </c>
      <c r="K1056" s="1">
        <v>4</v>
      </c>
      <c r="L1056" s="1">
        <f t="shared" si="16"/>
        <v>225</v>
      </c>
      <c r="M1056" s="1" t="s">
        <v>38</v>
      </c>
      <c r="N1056" s="1"/>
      <c r="O1056" s="12" t="str">
        <f>IF($J1056=Sheet2!$A$2, ROW(), "")</f>
        <v/>
      </c>
      <c r="Q1056" s="23" t="s">
        <v>3037</v>
      </c>
    </row>
    <row r="1057" spans="1:17" ht="14" customHeight="1" x14ac:dyDescent="0.3">
      <c r="A1057" s="1" t="s">
        <v>1554</v>
      </c>
      <c r="B1057" s="1">
        <v>29</v>
      </c>
      <c r="C1057" s="1" t="s">
        <v>227</v>
      </c>
      <c r="D1057" s="1"/>
      <c r="E1057" s="1"/>
      <c r="F1057" s="1">
        <v>120</v>
      </c>
      <c r="G1057" s="1">
        <v>140</v>
      </c>
      <c r="H1057" s="1" t="s">
        <v>1</v>
      </c>
      <c r="I1057" s="1">
        <v>120</v>
      </c>
      <c r="J1057" s="1" t="s">
        <v>257</v>
      </c>
      <c r="K1057" s="1">
        <v>5</v>
      </c>
      <c r="L1057" s="1">
        <f t="shared" si="16"/>
        <v>600</v>
      </c>
      <c r="M1057" s="1" t="s">
        <v>38</v>
      </c>
      <c r="N1057" s="1"/>
      <c r="O1057" s="12" t="str">
        <f>IF($J1057=Sheet2!$A$2, ROW(), "")</f>
        <v/>
      </c>
      <c r="Q1057" s="23" t="s">
        <v>3038</v>
      </c>
    </row>
    <row r="1058" spans="1:17" ht="14" customHeight="1" x14ac:dyDescent="0.3">
      <c r="A1058" s="1" t="s">
        <v>1555</v>
      </c>
      <c r="B1058" s="1">
        <v>30</v>
      </c>
      <c r="C1058" s="1" t="s">
        <v>980</v>
      </c>
      <c r="D1058" s="1"/>
      <c r="E1058" s="1"/>
      <c r="F1058" s="1">
        <v>122</v>
      </c>
      <c r="G1058" s="1">
        <v>125</v>
      </c>
      <c r="H1058" s="1" t="s">
        <v>1556</v>
      </c>
      <c r="I1058" s="1">
        <v>120</v>
      </c>
      <c r="J1058" s="1" t="s">
        <v>1156</v>
      </c>
      <c r="K1058" s="1">
        <v>5</v>
      </c>
      <c r="L1058" s="1">
        <f t="shared" si="16"/>
        <v>600</v>
      </c>
      <c r="M1058" s="1" t="s">
        <v>38</v>
      </c>
      <c r="N1058" s="1"/>
      <c r="O1058" s="12" t="str">
        <f>IF($J1058=Sheet2!$A$2, ROW(), "")</f>
        <v/>
      </c>
      <c r="Q1058" s="23" t="s">
        <v>3039</v>
      </c>
    </row>
    <row r="1059" spans="1:17" ht="14" customHeight="1" x14ac:dyDescent="0.3">
      <c r="A1059" s="1" t="s">
        <v>1557</v>
      </c>
      <c r="B1059" s="1">
        <v>35</v>
      </c>
      <c r="C1059" s="1" t="s">
        <v>1558</v>
      </c>
      <c r="D1059" s="1"/>
      <c r="E1059" s="1"/>
      <c r="F1059" s="1">
        <v>118</v>
      </c>
      <c r="G1059" s="1">
        <v>122</v>
      </c>
      <c r="H1059" s="1" t="s">
        <v>1440</v>
      </c>
      <c r="I1059" s="1">
        <v>50</v>
      </c>
      <c r="J1059" s="1" t="s">
        <v>1866</v>
      </c>
      <c r="K1059" s="1">
        <v>5</v>
      </c>
      <c r="L1059" s="1">
        <f t="shared" si="16"/>
        <v>250</v>
      </c>
      <c r="M1059" s="1" t="s">
        <v>38</v>
      </c>
      <c r="N1059" s="1"/>
      <c r="O1059" s="12" t="str">
        <f>IF($J1059=Sheet2!$A$2, ROW(), "")</f>
        <v/>
      </c>
      <c r="Q1059" s="23" t="s">
        <v>3040</v>
      </c>
    </row>
    <row r="1060" spans="1:17" ht="14" customHeight="1" x14ac:dyDescent="0.3">
      <c r="A1060" s="1" t="s">
        <v>1559</v>
      </c>
      <c r="B1060" s="1">
        <v>36</v>
      </c>
      <c r="C1060" s="1" t="s">
        <v>1011</v>
      </c>
      <c r="D1060" s="1"/>
      <c r="E1060" s="1"/>
      <c r="F1060" s="1">
        <v>104</v>
      </c>
      <c r="G1060" s="1">
        <v>136</v>
      </c>
      <c r="H1060" s="1" t="s">
        <v>545</v>
      </c>
      <c r="I1060" s="1">
        <v>30</v>
      </c>
      <c r="J1060" s="1" t="s">
        <v>1735</v>
      </c>
      <c r="K1060" s="1">
        <v>4</v>
      </c>
      <c r="L1060" s="1">
        <f t="shared" si="16"/>
        <v>150</v>
      </c>
      <c r="M1060" s="1" t="s">
        <v>38</v>
      </c>
      <c r="N1060" s="1"/>
      <c r="O1060" s="12" t="str">
        <f>IF($J1060=Sheet2!$A$2, ROW(), "")</f>
        <v/>
      </c>
      <c r="Q1060" s="23" t="s">
        <v>3041</v>
      </c>
    </row>
    <row r="1061" spans="1:17" ht="14" customHeight="1" x14ac:dyDescent="0.3">
      <c r="A1061" s="1" t="s">
        <v>1560</v>
      </c>
      <c r="B1061" s="1">
        <v>36</v>
      </c>
      <c r="C1061" s="1" t="s">
        <v>1011</v>
      </c>
      <c r="D1061" s="1"/>
      <c r="E1061" s="1"/>
      <c r="F1061" s="1">
        <v>108</v>
      </c>
      <c r="G1061" s="1">
        <v>126</v>
      </c>
      <c r="H1061" s="1" t="s">
        <v>834</v>
      </c>
      <c r="I1061" s="1">
        <v>24</v>
      </c>
      <c r="J1061" s="1" t="s">
        <v>1735</v>
      </c>
      <c r="K1061" s="1">
        <v>4</v>
      </c>
      <c r="L1061" s="1">
        <f t="shared" si="16"/>
        <v>120</v>
      </c>
      <c r="M1061" s="1" t="s">
        <v>38</v>
      </c>
      <c r="N1061" s="1"/>
      <c r="O1061" s="12" t="str">
        <f>IF($J1061=Sheet2!$A$2, ROW(), "")</f>
        <v/>
      </c>
      <c r="Q1061" s="23" t="s">
        <v>3042</v>
      </c>
    </row>
    <row r="1062" spans="1:17" ht="14" customHeight="1" x14ac:dyDescent="0.3">
      <c r="A1062" s="1" t="s">
        <v>1561</v>
      </c>
      <c r="B1062" s="1">
        <v>34</v>
      </c>
      <c r="C1062" s="1" t="s">
        <v>1011</v>
      </c>
      <c r="D1062" s="1"/>
      <c r="E1062" s="1"/>
      <c r="F1062" s="1">
        <v>114</v>
      </c>
      <c r="G1062" s="1">
        <v>130</v>
      </c>
      <c r="H1062" s="1" t="s">
        <v>1141</v>
      </c>
      <c r="I1062" s="1">
        <v>60</v>
      </c>
      <c r="J1062" s="1" t="s">
        <v>1039</v>
      </c>
      <c r="K1062" s="1">
        <v>5</v>
      </c>
      <c r="L1062" s="1">
        <f t="shared" si="16"/>
        <v>300</v>
      </c>
      <c r="M1062" s="1" t="s">
        <v>38</v>
      </c>
      <c r="N1062" s="1"/>
      <c r="O1062" s="12" t="str">
        <f>IF($J1062=Sheet2!$A$2, ROW(), "")</f>
        <v/>
      </c>
      <c r="Q1062" s="23" t="s">
        <v>3043</v>
      </c>
    </row>
    <row r="1063" spans="1:17" ht="14" customHeight="1" x14ac:dyDescent="0.3">
      <c r="A1063" s="1" t="s">
        <v>1562</v>
      </c>
      <c r="B1063" s="1">
        <v>34</v>
      </c>
      <c r="C1063" s="1" t="s">
        <v>1011</v>
      </c>
      <c r="D1063" s="1"/>
      <c r="E1063" s="1"/>
      <c r="F1063" s="1">
        <v>118</v>
      </c>
      <c r="G1063" s="1">
        <v>130</v>
      </c>
      <c r="H1063" s="1" t="s">
        <v>317</v>
      </c>
      <c r="I1063" s="1">
        <v>90</v>
      </c>
      <c r="J1063" s="1" t="s">
        <v>1039</v>
      </c>
      <c r="K1063" s="1">
        <v>5</v>
      </c>
      <c r="L1063" s="1">
        <f t="shared" si="16"/>
        <v>450</v>
      </c>
      <c r="M1063" s="1" t="s">
        <v>38</v>
      </c>
      <c r="N1063" s="1"/>
      <c r="O1063" s="12" t="str">
        <f>IF($J1063=Sheet2!$A$2, ROW(), "")</f>
        <v/>
      </c>
      <c r="Q1063" s="23" t="s">
        <v>3044</v>
      </c>
    </row>
    <row r="1064" spans="1:17" ht="14" customHeight="1" x14ac:dyDescent="0.3">
      <c r="A1064" s="1" t="s">
        <v>1563</v>
      </c>
      <c r="B1064" s="1">
        <v>35</v>
      </c>
      <c r="C1064" s="1" t="s">
        <v>1011</v>
      </c>
      <c r="D1064" s="1"/>
      <c r="E1064" s="1"/>
      <c r="F1064" s="1">
        <v>112</v>
      </c>
      <c r="G1064" s="1">
        <v>120</v>
      </c>
      <c r="H1064" s="1" t="s">
        <v>260</v>
      </c>
      <c r="I1064" s="1">
        <v>60</v>
      </c>
      <c r="J1064" s="1" t="s">
        <v>1039</v>
      </c>
      <c r="K1064" s="1">
        <v>5</v>
      </c>
      <c r="L1064" s="1">
        <f t="shared" si="16"/>
        <v>300</v>
      </c>
      <c r="M1064" s="1" t="s">
        <v>38</v>
      </c>
      <c r="N1064" s="1"/>
      <c r="O1064" s="12" t="str">
        <f>IF($J1064=Sheet2!$A$2, ROW(), "")</f>
        <v/>
      </c>
      <c r="Q1064" s="23" t="s">
        <v>3045</v>
      </c>
    </row>
    <row r="1065" spans="1:17" ht="14" customHeight="1" x14ac:dyDescent="0.3">
      <c r="A1065" s="1" t="s">
        <v>1564</v>
      </c>
      <c r="B1065" s="1">
        <v>36</v>
      </c>
      <c r="C1065" s="1" t="s">
        <v>1011</v>
      </c>
      <c r="D1065" s="1"/>
      <c r="E1065" s="1"/>
      <c r="F1065" s="1">
        <v>112</v>
      </c>
      <c r="G1065" s="1">
        <v>120</v>
      </c>
      <c r="H1065" s="1" t="s">
        <v>317</v>
      </c>
      <c r="I1065" s="1">
        <v>24</v>
      </c>
      <c r="J1065" s="1" t="s">
        <v>1735</v>
      </c>
      <c r="K1065" s="1">
        <v>4</v>
      </c>
      <c r="L1065" s="1">
        <f t="shared" si="16"/>
        <v>120</v>
      </c>
      <c r="M1065" s="1" t="s">
        <v>38</v>
      </c>
      <c r="N1065" s="1"/>
      <c r="O1065" s="12" t="str">
        <f>IF($J1065=Sheet2!$A$2, ROW(), "")</f>
        <v/>
      </c>
      <c r="Q1065" s="23" t="s">
        <v>3046</v>
      </c>
    </row>
    <row r="1066" spans="1:17" ht="14" customHeight="1" x14ac:dyDescent="0.3">
      <c r="A1066" s="1" t="s">
        <v>1565</v>
      </c>
      <c r="B1066" s="1">
        <v>32</v>
      </c>
      <c r="C1066" s="1" t="s">
        <v>1011</v>
      </c>
      <c r="D1066" s="1"/>
      <c r="E1066" s="1"/>
      <c r="F1066" s="1">
        <v>114</v>
      </c>
      <c r="G1066" s="1">
        <v>136</v>
      </c>
      <c r="H1066" s="1" t="s">
        <v>1143</v>
      </c>
      <c r="I1066" s="1">
        <v>90</v>
      </c>
      <c r="J1066" s="1" t="s">
        <v>1156</v>
      </c>
      <c r="K1066" s="1">
        <v>5</v>
      </c>
      <c r="L1066" s="1">
        <f t="shared" si="16"/>
        <v>450</v>
      </c>
      <c r="M1066" s="1" t="s">
        <v>38</v>
      </c>
      <c r="N1066" s="1"/>
      <c r="O1066" s="12" t="str">
        <f>IF($J1066=Sheet2!$A$2, ROW(), "")</f>
        <v/>
      </c>
      <c r="Q1066" s="23" t="s">
        <v>3047</v>
      </c>
    </row>
    <row r="1067" spans="1:17" ht="14" customHeight="1" x14ac:dyDescent="0.3">
      <c r="A1067" s="1" t="s">
        <v>1566</v>
      </c>
      <c r="B1067" s="1">
        <v>31</v>
      </c>
      <c r="C1067" s="1" t="s">
        <v>1011</v>
      </c>
      <c r="D1067" s="1"/>
      <c r="E1067" s="1"/>
      <c r="F1067" s="1">
        <v>112</v>
      </c>
      <c r="G1067" s="1">
        <v>126</v>
      </c>
      <c r="H1067" s="1" t="s">
        <v>1</v>
      </c>
      <c r="I1067" s="1">
        <v>80</v>
      </c>
      <c r="J1067" s="1" t="s">
        <v>1156</v>
      </c>
      <c r="K1067" s="1">
        <v>5</v>
      </c>
      <c r="L1067" s="1">
        <f t="shared" si="16"/>
        <v>400</v>
      </c>
      <c r="M1067" s="1" t="s">
        <v>38</v>
      </c>
      <c r="N1067" s="1"/>
      <c r="O1067" s="12" t="str">
        <f>IF($J1067=Sheet2!$A$2, ROW(), "")</f>
        <v/>
      </c>
      <c r="Q1067" s="23" t="s">
        <v>3048</v>
      </c>
    </row>
    <row r="1068" spans="1:17" ht="14" customHeight="1" x14ac:dyDescent="0.3">
      <c r="A1068" s="1" t="s">
        <v>1567</v>
      </c>
      <c r="B1068" s="1">
        <v>32</v>
      </c>
      <c r="C1068" s="1" t="s">
        <v>1011</v>
      </c>
      <c r="D1068" s="1"/>
      <c r="E1068" s="1"/>
      <c r="F1068" s="1">
        <v>112</v>
      </c>
      <c r="G1068" s="1">
        <v>116</v>
      </c>
      <c r="H1068" s="1" t="s">
        <v>1568</v>
      </c>
      <c r="I1068" s="1">
        <v>80</v>
      </c>
      <c r="J1068" s="1" t="s">
        <v>1156</v>
      </c>
      <c r="K1068" s="1">
        <v>5</v>
      </c>
      <c r="L1068" s="1">
        <f t="shared" si="16"/>
        <v>400</v>
      </c>
      <c r="M1068" s="1" t="s">
        <v>38</v>
      </c>
      <c r="N1068" s="1"/>
      <c r="O1068" s="12" t="str">
        <f>IF($J1068=Sheet2!$A$2, ROW(), "")</f>
        <v/>
      </c>
      <c r="Q1068" s="23" t="s">
        <v>3049</v>
      </c>
    </row>
    <row r="1069" spans="1:17" ht="14" customHeight="1" x14ac:dyDescent="0.3">
      <c r="A1069" s="1" t="s">
        <v>1569</v>
      </c>
      <c r="B1069" s="1">
        <v>32</v>
      </c>
      <c r="C1069" s="1" t="s">
        <v>1011</v>
      </c>
      <c r="D1069" s="1"/>
      <c r="E1069" s="1"/>
      <c r="F1069" s="1">
        <v>112</v>
      </c>
      <c r="G1069" s="1">
        <v>116</v>
      </c>
      <c r="H1069" s="1" t="s">
        <v>247</v>
      </c>
      <c r="I1069" s="1">
        <v>100</v>
      </c>
      <c r="J1069" s="1" t="s">
        <v>1156</v>
      </c>
      <c r="K1069" s="1">
        <v>5</v>
      </c>
      <c r="L1069" s="1">
        <f t="shared" si="16"/>
        <v>500</v>
      </c>
      <c r="M1069" s="1" t="s">
        <v>38</v>
      </c>
      <c r="N1069" s="1"/>
      <c r="O1069" s="12" t="str">
        <f>IF($J1069=Sheet2!$A$2, ROW(), "")</f>
        <v/>
      </c>
      <c r="Q1069" s="23" t="s">
        <v>3050</v>
      </c>
    </row>
    <row r="1070" spans="1:17" ht="14" customHeight="1" x14ac:dyDescent="0.3">
      <c r="A1070" s="1" t="s">
        <v>1570</v>
      </c>
      <c r="B1070" s="1">
        <v>31</v>
      </c>
      <c r="C1070" s="1" t="s">
        <v>1011</v>
      </c>
      <c r="D1070" s="1"/>
      <c r="E1070" s="1"/>
      <c r="F1070" s="1">
        <v>114</v>
      </c>
      <c r="G1070" s="1">
        <v>116</v>
      </c>
      <c r="H1070" s="1" t="s">
        <v>761</v>
      </c>
      <c r="I1070" s="1">
        <v>100</v>
      </c>
      <c r="J1070" s="1" t="s">
        <v>1156</v>
      </c>
      <c r="K1070" s="1">
        <v>5</v>
      </c>
      <c r="L1070" s="1">
        <f t="shared" si="16"/>
        <v>500</v>
      </c>
      <c r="M1070" s="1" t="s">
        <v>38</v>
      </c>
      <c r="N1070" s="1"/>
      <c r="O1070" s="12" t="str">
        <f>IF($J1070=Sheet2!$A$2, ROW(), "")</f>
        <v/>
      </c>
      <c r="Q1070" s="23" t="s">
        <v>3051</v>
      </c>
    </row>
    <row r="1071" spans="1:17" ht="14" customHeight="1" x14ac:dyDescent="0.3">
      <c r="A1071" s="1" t="s">
        <v>1571</v>
      </c>
      <c r="B1071" s="1">
        <v>31</v>
      </c>
      <c r="C1071" s="1" t="s">
        <v>1011</v>
      </c>
      <c r="D1071" s="1"/>
      <c r="E1071" s="1"/>
      <c r="F1071" s="1">
        <v>114</v>
      </c>
      <c r="G1071" s="1">
        <v>116</v>
      </c>
      <c r="H1071" s="1" t="s">
        <v>317</v>
      </c>
      <c r="I1071" s="1">
        <v>100</v>
      </c>
      <c r="J1071" s="1" t="s">
        <v>1156</v>
      </c>
      <c r="K1071" s="1">
        <v>5</v>
      </c>
      <c r="L1071" s="1">
        <f t="shared" si="16"/>
        <v>500</v>
      </c>
      <c r="M1071" s="1" t="s">
        <v>38</v>
      </c>
      <c r="N1071" s="1"/>
      <c r="O1071" s="12" t="str">
        <f>IF($J1071=Sheet2!$A$2, ROW(), "")</f>
        <v/>
      </c>
      <c r="Q1071" s="23" t="s">
        <v>3052</v>
      </c>
    </row>
    <row r="1072" spans="1:17" ht="14" customHeight="1" x14ac:dyDescent="0.3">
      <c r="A1072" s="1" t="s">
        <v>1572</v>
      </c>
      <c r="B1072" s="1">
        <v>22</v>
      </c>
      <c r="C1072" s="1" t="s">
        <v>1573</v>
      </c>
      <c r="D1072" s="1"/>
      <c r="E1072" s="1"/>
      <c r="F1072" s="1">
        <v>110</v>
      </c>
      <c r="G1072" s="1">
        <v>140</v>
      </c>
      <c r="H1072" s="1" t="s">
        <v>1295</v>
      </c>
      <c r="I1072" s="1">
        <v>60</v>
      </c>
      <c r="J1072" s="1" t="s">
        <v>609</v>
      </c>
      <c r="K1072" s="1">
        <v>5</v>
      </c>
      <c r="L1072" s="1">
        <f t="shared" si="16"/>
        <v>300</v>
      </c>
      <c r="M1072" s="1" t="s">
        <v>38</v>
      </c>
      <c r="N1072" s="1"/>
      <c r="O1072" s="12" t="str">
        <f>IF($J1072=Sheet2!$A$2, ROW(), "")</f>
        <v/>
      </c>
      <c r="Q1072" s="23" t="s">
        <v>3053</v>
      </c>
    </row>
    <row r="1073" spans="1:17" ht="14" customHeight="1" x14ac:dyDescent="0.3">
      <c r="A1073" s="1" t="s">
        <v>1574</v>
      </c>
      <c r="B1073" s="1">
        <v>20</v>
      </c>
      <c r="C1073" s="1" t="s">
        <v>1575</v>
      </c>
      <c r="D1073" s="1"/>
      <c r="E1073" s="1"/>
      <c r="F1073" s="1">
        <v>119</v>
      </c>
      <c r="G1073" s="1">
        <v>150</v>
      </c>
      <c r="H1073" s="1" t="s">
        <v>1576</v>
      </c>
      <c r="I1073" s="1">
        <v>90</v>
      </c>
      <c r="J1073" s="1" t="s">
        <v>609</v>
      </c>
      <c r="K1073" s="1">
        <v>5</v>
      </c>
      <c r="L1073" s="1">
        <f t="shared" si="16"/>
        <v>450</v>
      </c>
      <c r="M1073" s="1" t="s">
        <v>38</v>
      </c>
      <c r="N1073" s="1"/>
      <c r="O1073" s="12" t="str">
        <f>IF($J1073=Sheet2!$A$2, ROW(), "")</f>
        <v/>
      </c>
      <c r="Q1073" s="23" t="s">
        <v>3054</v>
      </c>
    </row>
    <row r="1074" spans="1:17" ht="14" customHeight="1" x14ac:dyDescent="0.3">
      <c r="A1074" s="1" t="s">
        <v>1577</v>
      </c>
      <c r="B1074" s="1">
        <v>38</v>
      </c>
      <c r="C1074" s="1" t="s">
        <v>1578</v>
      </c>
      <c r="D1074" s="1"/>
      <c r="E1074" s="1"/>
      <c r="F1074" s="1">
        <v>116</v>
      </c>
      <c r="G1074" s="1">
        <v>132</v>
      </c>
      <c r="H1074" s="1" t="s">
        <v>317</v>
      </c>
      <c r="I1074" s="1">
        <v>29</v>
      </c>
      <c r="J1074" s="1" t="s">
        <v>1918</v>
      </c>
      <c r="K1074" s="1">
        <v>4</v>
      </c>
      <c r="L1074" s="1">
        <f t="shared" si="16"/>
        <v>145</v>
      </c>
      <c r="M1074" s="1" t="s">
        <v>38</v>
      </c>
      <c r="N1074" s="1"/>
      <c r="O1074" s="12" t="str">
        <f>IF($J1074=Sheet2!$A$2, ROW(), "")</f>
        <v/>
      </c>
      <c r="Q1074" s="23" t="s">
        <v>3055</v>
      </c>
    </row>
    <row r="1075" spans="1:17" ht="14" customHeight="1" x14ac:dyDescent="0.3">
      <c r="A1075" s="1" t="s">
        <v>1579</v>
      </c>
      <c r="B1075" s="1">
        <v>34</v>
      </c>
      <c r="C1075" s="1" t="s">
        <v>1063</v>
      </c>
      <c r="D1075" s="1"/>
      <c r="E1075" s="1"/>
      <c r="F1075" s="1">
        <v>116</v>
      </c>
      <c r="G1075" s="1">
        <v>128</v>
      </c>
      <c r="H1075" s="1" t="s">
        <v>317</v>
      </c>
      <c r="I1075" s="1">
        <v>33</v>
      </c>
      <c r="J1075" s="1" t="s">
        <v>1918</v>
      </c>
      <c r="K1075" s="1">
        <v>4</v>
      </c>
      <c r="L1075" s="1">
        <f t="shared" si="16"/>
        <v>165</v>
      </c>
      <c r="M1075" s="1" t="s">
        <v>38</v>
      </c>
      <c r="N1075" s="1"/>
      <c r="O1075" s="12" t="str">
        <f>IF($J1075=Sheet2!$A$2, ROW(), "")</f>
        <v/>
      </c>
      <c r="Q1075" s="23" t="s">
        <v>3056</v>
      </c>
    </row>
    <row r="1076" spans="1:17" ht="14" customHeight="1" x14ac:dyDescent="0.3">
      <c r="A1076" s="1" t="s">
        <v>1580</v>
      </c>
      <c r="B1076" s="1">
        <v>33</v>
      </c>
      <c r="C1076" s="1" t="s">
        <v>1063</v>
      </c>
      <c r="D1076" s="1"/>
      <c r="E1076" s="1"/>
      <c r="F1076" s="1">
        <v>116</v>
      </c>
      <c r="G1076" s="1">
        <v>130</v>
      </c>
      <c r="H1076" s="1" t="s">
        <v>357</v>
      </c>
      <c r="I1076" s="1">
        <v>40</v>
      </c>
      <c r="J1076" s="1" t="s">
        <v>1918</v>
      </c>
      <c r="K1076" s="1">
        <v>5</v>
      </c>
      <c r="L1076" s="1">
        <f t="shared" si="16"/>
        <v>200</v>
      </c>
      <c r="M1076" s="1" t="s">
        <v>38</v>
      </c>
      <c r="N1076" s="1"/>
      <c r="O1076" s="12" t="str">
        <f>IF($J1076=Sheet2!$A$2, ROW(), "")</f>
        <v/>
      </c>
      <c r="Q1076" s="23" t="s">
        <v>3057</v>
      </c>
    </row>
    <row r="1077" spans="1:17" ht="14" customHeight="1" x14ac:dyDescent="0.3">
      <c r="A1077" s="1" t="s">
        <v>1581</v>
      </c>
      <c r="B1077" s="1">
        <v>39</v>
      </c>
      <c r="C1077" s="1" t="s">
        <v>283</v>
      </c>
      <c r="D1077" s="1"/>
      <c r="E1077" s="1"/>
      <c r="F1077" s="1">
        <v>112</v>
      </c>
      <c r="G1077" s="1">
        <v>112</v>
      </c>
      <c r="H1077" s="1" t="s">
        <v>1582</v>
      </c>
      <c r="I1077" s="1">
        <v>24</v>
      </c>
      <c r="J1077" s="1" t="s">
        <v>1918</v>
      </c>
      <c r="K1077" s="1">
        <v>4</v>
      </c>
      <c r="L1077" s="1">
        <f t="shared" si="16"/>
        <v>120</v>
      </c>
      <c r="M1077" s="1" t="s">
        <v>38</v>
      </c>
      <c r="N1077" s="1"/>
      <c r="O1077" s="12" t="str">
        <f>IF($J1077=Sheet2!$A$2, ROW(), "")</f>
        <v/>
      </c>
      <c r="Q1077" s="23" t="s">
        <v>3058</v>
      </c>
    </row>
    <row r="1078" spans="1:17" ht="14" customHeight="1" x14ac:dyDescent="0.3">
      <c r="A1078" s="1" t="s">
        <v>1583</v>
      </c>
      <c r="B1078" s="1">
        <v>36</v>
      </c>
      <c r="C1078" s="1" t="s">
        <v>1011</v>
      </c>
      <c r="D1078" s="1"/>
      <c r="E1078" s="1"/>
      <c r="F1078" s="1">
        <v>115</v>
      </c>
      <c r="G1078" s="1">
        <v>135</v>
      </c>
      <c r="H1078" s="1" t="s">
        <v>277</v>
      </c>
      <c r="I1078" s="1">
        <v>30</v>
      </c>
      <c r="J1078" s="1" t="s">
        <v>257</v>
      </c>
      <c r="K1078" s="1">
        <v>5</v>
      </c>
      <c r="L1078" s="1">
        <f t="shared" si="16"/>
        <v>150</v>
      </c>
      <c r="M1078" s="1" t="s">
        <v>38</v>
      </c>
      <c r="N1078" s="1"/>
      <c r="O1078" s="12" t="str">
        <f>IF($J1078=Sheet2!$A$2, ROW(), "")</f>
        <v/>
      </c>
      <c r="Q1078" s="23" t="s">
        <v>3059</v>
      </c>
    </row>
    <row r="1079" spans="1:17" ht="14" customHeight="1" x14ac:dyDescent="0.3">
      <c r="A1079" s="1" t="s">
        <v>1584</v>
      </c>
      <c r="B1079" s="1">
        <v>22</v>
      </c>
      <c r="C1079" s="1" t="s">
        <v>815</v>
      </c>
      <c r="D1079" s="1"/>
      <c r="E1079" s="1"/>
      <c r="F1079" s="1">
        <v>108</v>
      </c>
      <c r="G1079" s="1">
        <v>120</v>
      </c>
      <c r="H1079" s="1" t="s">
        <v>1585</v>
      </c>
      <c r="I1079" s="1">
        <v>50</v>
      </c>
      <c r="J1079" s="1" t="s">
        <v>561</v>
      </c>
      <c r="K1079" s="1">
        <v>5</v>
      </c>
      <c r="L1079" s="1">
        <f t="shared" si="16"/>
        <v>250</v>
      </c>
      <c r="M1079" s="1" t="s">
        <v>38</v>
      </c>
      <c r="N1079" s="1"/>
      <c r="O1079" s="12" t="str">
        <f>IF($J1079=Sheet2!$A$2, ROW(), "")</f>
        <v/>
      </c>
      <c r="Q1079" s="23" t="s">
        <v>3060</v>
      </c>
    </row>
    <row r="1080" spans="1:17" ht="14" customHeight="1" x14ac:dyDescent="0.3">
      <c r="A1080" s="1" t="s">
        <v>1586</v>
      </c>
      <c r="B1080" s="1">
        <v>24</v>
      </c>
      <c r="C1080" s="1" t="s">
        <v>815</v>
      </c>
      <c r="D1080" s="1"/>
      <c r="E1080" s="1"/>
      <c r="F1080" s="1">
        <v>120</v>
      </c>
      <c r="G1080" s="1">
        <v>128</v>
      </c>
      <c r="H1080" s="1" t="s">
        <v>357</v>
      </c>
      <c r="I1080" s="1">
        <v>50</v>
      </c>
      <c r="J1080" s="1" t="s">
        <v>561</v>
      </c>
      <c r="K1080" s="1">
        <v>5</v>
      </c>
      <c r="L1080" s="1">
        <f t="shared" si="16"/>
        <v>250</v>
      </c>
      <c r="M1080" s="1" t="s">
        <v>38</v>
      </c>
      <c r="N1080" s="1"/>
      <c r="O1080" s="12" t="str">
        <f>IF($J1080=Sheet2!$A$2, ROW(), "")</f>
        <v/>
      </c>
      <c r="Q1080" s="23" t="s">
        <v>3061</v>
      </c>
    </row>
    <row r="1081" spans="1:17" ht="14" customHeight="1" x14ac:dyDescent="0.3">
      <c r="A1081" s="1" t="s">
        <v>1587</v>
      </c>
      <c r="B1081" s="1">
        <v>35</v>
      </c>
      <c r="C1081" s="1" t="s">
        <v>815</v>
      </c>
      <c r="D1081" s="1"/>
      <c r="E1081" s="1"/>
      <c r="F1081" s="1">
        <v>116</v>
      </c>
      <c r="G1081" s="1">
        <v>126</v>
      </c>
      <c r="H1081" s="1" t="s">
        <v>1588</v>
      </c>
      <c r="I1081" s="1">
        <v>35</v>
      </c>
      <c r="J1081" s="1" t="s">
        <v>1918</v>
      </c>
      <c r="K1081" s="1">
        <v>4</v>
      </c>
      <c r="L1081" s="1">
        <f t="shared" si="16"/>
        <v>175</v>
      </c>
      <c r="M1081" s="1" t="s">
        <v>38</v>
      </c>
      <c r="N1081" s="1"/>
      <c r="O1081" s="12" t="str">
        <f>IF($J1081=Sheet2!$A$2, ROW(), "")</f>
        <v/>
      </c>
      <c r="Q1081" s="23" t="s">
        <v>3062</v>
      </c>
    </row>
    <row r="1082" spans="1:17" ht="14" customHeight="1" x14ac:dyDescent="0.3">
      <c r="A1082" s="1" t="s">
        <v>1589</v>
      </c>
      <c r="B1082" s="1">
        <v>34</v>
      </c>
      <c r="C1082" s="1" t="s">
        <v>815</v>
      </c>
      <c r="D1082" s="1"/>
      <c r="E1082" s="1"/>
      <c r="F1082" s="1">
        <v>110</v>
      </c>
      <c r="G1082" s="1">
        <v>130</v>
      </c>
      <c r="H1082" s="1" t="s">
        <v>770</v>
      </c>
      <c r="I1082" s="1">
        <v>35</v>
      </c>
      <c r="J1082" s="1" t="s">
        <v>1918</v>
      </c>
      <c r="K1082" s="1">
        <v>4</v>
      </c>
      <c r="L1082" s="1">
        <f t="shared" si="16"/>
        <v>175</v>
      </c>
      <c r="M1082" s="1" t="s">
        <v>38</v>
      </c>
      <c r="N1082" s="1"/>
      <c r="O1082" s="12" t="str">
        <f>IF($J1082=Sheet2!$A$2, ROW(), "")</f>
        <v/>
      </c>
      <c r="Q1082" s="23" t="s">
        <v>3063</v>
      </c>
    </row>
    <row r="1083" spans="1:17" ht="14" customHeight="1" x14ac:dyDescent="0.3">
      <c r="A1083" s="1" t="s">
        <v>1590</v>
      </c>
      <c r="B1083" s="1">
        <v>36</v>
      </c>
      <c r="C1083" s="1" t="s">
        <v>734</v>
      </c>
      <c r="D1083" s="1"/>
      <c r="E1083" s="1"/>
      <c r="F1083" s="1">
        <v>120</v>
      </c>
      <c r="G1083" s="1">
        <v>120</v>
      </c>
      <c r="H1083" s="1" t="s">
        <v>1591</v>
      </c>
      <c r="I1083" s="1">
        <v>80</v>
      </c>
      <c r="J1083" s="1" t="s">
        <v>1918</v>
      </c>
      <c r="K1083" s="1">
        <v>5</v>
      </c>
      <c r="L1083" s="1">
        <f t="shared" si="16"/>
        <v>400</v>
      </c>
      <c r="M1083" s="1" t="s">
        <v>38</v>
      </c>
      <c r="N1083" s="1"/>
      <c r="O1083" s="12" t="str">
        <f>IF($J1083=Sheet2!$A$2, ROW(), "")</f>
        <v/>
      </c>
      <c r="Q1083" s="23" t="s">
        <v>3064</v>
      </c>
    </row>
    <row r="1084" spans="1:17" ht="14" customHeight="1" x14ac:dyDescent="0.3">
      <c r="A1084" s="1" t="s">
        <v>1592</v>
      </c>
      <c r="B1084" s="1">
        <v>38</v>
      </c>
      <c r="C1084" s="1" t="s">
        <v>734</v>
      </c>
      <c r="D1084" s="1"/>
      <c r="E1084" s="1"/>
      <c r="F1084" s="1">
        <v>110</v>
      </c>
      <c r="G1084" s="1">
        <v>122</v>
      </c>
      <c r="H1084" s="1" t="s">
        <v>260</v>
      </c>
      <c r="I1084" s="1">
        <v>24</v>
      </c>
      <c r="J1084" s="1" t="s">
        <v>1918</v>
      </c>
      <c r="K1084" s="1">
        <v>4</v>
      </c>
      <c r="L1084" s="1">
        <f t="shared" si="16"/>
        <v>120</v>
      </c>
      <c r="M1084" s="1" t="s">
        <v>38</v>
      </c>
      <c r="N1084" s="1"/>
      <c r="O1084" s="12" t="str">
        <f>IF($J1084=Sheet2!$A$2, ROW(), "")</f>
        <v/>
      </c>
      <c r="Q1084" s="23" t="s">
        <v>3065</v>
      </c>
    </row>
    <row r="1085" spans="1:17" ht="14" customHeight="1" x14ac:dyDescent="0.3">
      <c r="A1085" s="1" t="s">
        <v>1593</v>
      </c>
      <c r="B1085" s="1">
        <v>33</v>
      </c>
      <c r="C1085" s="1" t="s">
        <v>1427</v>
      </c>
      <c r="D1085" s="1"/>
      <c r="E1085" s="1"/>
      <c r="F1085" s="1">
        <v>108</v>
      </c>
      <c r="G1085" s="1">
        <v>128</v>
      </c>
      <c r="H1085" s="1" t="s">
        <v>357</v>
      </c>
      <c r="I1085" s="1">
        <v>35</v>
      </c>
      <c r="J1085" s="1" t="s">
        <v>1918</v>
      </c>
      <c r="K1085" s="1">
        <v>4</v>
      </c>
      <c r="L1085" s="1">
        <f t="shared" si="16"/>
        <v>175</v>
      </c>
      <c r="M1085" s="1" t="s">
        <v>38</v>
      </c>
      <c r="N1085" s="1"/>
      <c r="O1085" s="12" t="str">
        <f>IF($J1085=Sheet2!$A$2, ROW(), "")</f>
        <v/>
      </c>
      <c r="Q1085" s="23" t="s">
        <v>3066</v>
      </c>
    </row>
    <row r="1086" spans="1:17" ht="14" customHeight="1" x14ac:dyDescent="0.3">
      <c r="A1086" s="1" t="s">
        <v>1594</v>
      </c>
      <c r="B1086" s="1">
        <v>34</v>
      </c>
      <c r="C1086" s="1" t="s">
        <v>1011</v>
      </c>
      <c r="D1086" s="1"/>
      <c r="E1086" s="1"/>
      <c r="F1086" s="1">
        <v>118</v>
      </c>
      <c r="G1086" s="1">
        <v>124</v>
      </c>
      <c r="H1086" s="1" t="s">
        <v>357</v>
      </c>
      <c r="I1086" s="1">
        <v>50</v>
      </c>
      <c r="J1086" s="1" t="s">
        <v>1164</v>
      </c>
      <c r="K1086" s="1">
        <v>5</v>
      </c>
      <c r="L1086" s="1">
        <f t="shared" si="16"/>
        <v>250</v>
      </c>
      <c r="M1086" s="1" t="s">
        <v>38</v>
      </c>
      <c r="N1086" s="1"/>
      <c r="O1086" s="12" t="str">
        <f>IF($J1086=Sheet2!$A$2, ROW(), "")</f>
        <v/>
      </c>
      <c r="Q1086" s="23" t="s">
        <v>3067</v>
      </c>
    </row>
    <row r="1087" spans="1:17" ht="14" customHeight="1" x14ac:dyDescent="0.3">
      <c r="A1087" s="1" t="s">
        <v>1595</v>
      </c>
      <c r="B1087" s="1">
        <v>25</v>
      </c>
      <c r="C1087" s="1" t="s">
        <v>1596</v>
      </c>
      <c r="D1087" s="1"/>
      <c r="E1087" s="1"/>
      <c r="F1087" s="1">
        <v>122</v>
      </c>
      <c r="G1087" s="1">
        <v>132</v>
      </c>
      <c r="H1087" s="1" t="s">
        <v>317</v>
      </c>
      <c r="I1087" s="1">
        <v>180</v>
      </c>
      <c r="J1087" s="1" t="s">
        <v>835</v>
      </c>
      <c r="K1087" s="1">
        <v>5</v>
      </c>
      <c r="L1087" s="1">
        <f t="shared" si="16"/>
        <v>900</v>
      </c>
      <c r="M1087" s="1" t="s">
        <v>38</v>
      </c>
      <c r="N1087" s="1"/>
      <c r="O1087" s="12" t="str">
        <f>IF($J1087=Sheet2!$A$2, ROW(), "")</f>
        <v/>
      </c>
      <c r="Q1087" s="23" t="s">
        <v>3068</v>
      </c>
    </row>
    <row r="1088" spans="1:17" ht="14" customHeight="1" x14ac:dyDescent="0.3">
      <c r="A1088" s="1" t="s">
        <v>1597</v>
      </c>
      <c r="B1088" s="1">
        <v>26</v>
      </c>
      <c r="C1088" s="1" t="s">
        <v>1011</v>
      </c>
      <c r="D1088" s="1"/>
      <c r="E1088" s="1"/>
      <c r="F1088" s="1">
        <v>123</v>
      </c>
      <c r="G1088" s="1">
        <v>123</v>
      </c>
      <c r="H1088" s="1" t="s">
        <v>357</v>
      </c>
      <c r="I1088" s="1">
        <v>60</v>
      </c>
      <c r="J1088" s="1" t="s">
        <v>257</v>
      </c>
      <c r="K1088" s="1">
        <v>5</v>
      </c>
      <c r="L1088" s="1">
        <f t="shared" si="16"/>
        <v>300</v>
      </c>
      <c r="M1088" s="1" t="s">
        <v>38</v>
      </c>
      <c r="N1088" s="1"/>
      <c r="O1088" s="12" t="str">
        <f>IF($J1088=Sheet2!$A$2, ROW(), "")</f>
        <v/>
      </c>
      <c r="Q1088" s="23" t="s">
        <v>3069</v>
      </c>
    </row>
    <row r="1089" spans="1:17" ht="14" customHeight="1" x14ac:dyDescent="0.3">
      <c r="A1089" s="1" t="s">
        <v>1598</v>
      </c>
      <c r="B1089" s="1">
        <v>31</v>
      </c>
      <c r="C1089" s="1" t="s">
        <v>1011</v>
      </c>
      <c r="D1089" s="1"/>
      <c r="E1089" s="1"/>
      <c r="F1089" s="1">
        <v>110</v>
      </c>
      <c r="G1089" s="1">
        <v>118</v>
      </c>
      <c r="H1089" s="1" t="s">
        <v>317</v>
      </c>
      <c r="I1089" s="1">
        <v>50</v>
      </c>
      <c r="J1089" s="1" t="s">
        <v>257</v>
      </c>
      <c r="K1089" s="1">
        <v>5</v>
      </c>
      <c r="L1089" s="1">
        <f t="shared" si="16"/>
        <v>250</v>
      </c>
      <c r="M1089" s="1" t="s">
        <v>38</v>
      </c>
      <c r="N1089" s="1"/>
      <c r="O1089" s="12" t="str">
        <f>IF($J1089=Sheet2!$A$2, ROW(), "")</f>
        <v/>
      </c>
      <c r="Q1089" s="23" t="s">
        <v>3070</v>
      </c>
    </row>
    <row r="1090" spans="1:17" ht="14" customHeight="1" x14ac:dyDescent="0.3">
      <c r="A1090" s="1" t="s">
        <v>1599</v>
      </c>
      <c r="B1090" s="1">
        <v>27</v>
      </c>
      <c r="C1090" s="1" t="s">
        <v>1011</v>
      </c>
      <c r="D1090" s="1"/>
      <c r="E1090" s="1"/>
      <c r="F1090" s="1">
        <v>115</v>
      </c>
      <c r="G1090" s="1">
        <v>120</v>
      </c>
      <c r="H1090" s="1" t="s">
        <v>1600</v>
      </c>
      <c r="I1090" s="1">
        <v>80</v>
      </c>
      <c r="J1090" s="1" t="s">
        <v>1783</v>
      </c>
      <c r="K1090" s="1">
        <v>5</v>
      </c>
      <c r="L1090" s="1">
        <f t="shared" ref="L1090:L1153" si="17">I1090*5</f>
        <v>400</v>
      </c>
      <c r="M1090" s="1" t="s">
        <v>38</v>
      </c>
      <c r="N1090" s="1"/>
      <c r="O1090" s="12" t="str">
        <f>IF($J1090=Sheet2!$A$2, ROW(), "")</f>
        <v/>
      </c>
      <c r="Q1090" s="23" t="s">
        <v>3071</v>
      </c>
    </row>
    <row r="1091" spans="1:17" ht="14" customHeight="1" x14ac:dyDescent="0.3">
      <c r="A1091" s="1" t="s">
        <v>1601</v>
      </c>
      <c r="B1091" s="1">
        <v>20</v>
      </c>
      <c r="C1091" s="1" t="s">
        <v>905</v>
      </c>
      <c r="D1091" s="1"/>
      <c r="E1091" s="1"/>
      <c r="F1091" s="1">
        <v>110</v>
      </c>
      <c r="G1091" s="1">
        <v>140</v>
      </c>
      <c r="H1091" s="1" t="s">
        <v>15</v>
      </c>
      <c r="I1091" s="1">
        <v>60</v>
      </c>
      <c r="J1091" s="1" t="s">
        <v>561</v>
      </c>
      <c r="K1091" s="1">
        <v>5</v>
      </c>
      <c r="L1091" s="1">
        <f t="shared" si="17"/>
        <v>300</v>
      </c>
      <c r="M1091" s="1" t="s">
        <v>38</v>
      </c>
      <c r="N1091" s="1"/>
      <c r="O1091" s="12" t="str">
        <f>IF($J1091=Sheet2!$A$2, ROW(), "")</f>
        <v/>
      </c>
      <c r="Q1091" s="23" t="s">
        <v>3072</v>
      </c>
    </row>
    <row r="1092" spans="1:17" ht="14" customHeight="1" x14ac:dyDescent="0.3">
      <c r="A1092" s="1" t="s">
        <v>1602</v>
      </c>
      <c r="B1092" s="1">
        <v>25</v>
      </c>
      <c r="C1092" s="1" t="s">
        <v>644</v>
      </c>
      <c r="D1092" s="1"/>
      <c r="E1092" s="1"/>
      <c r="F1092" s="1">
        <v>118</v>
      </c>
      <c r="G1092" s="1">
        <v>130</v>
      </c>
      <c r="H1092" s="1" t="s">
        <v>357</v>
      </c>
      <c r="I1092" s="1">
        <v>40</v>
      </c>
      <c r="J1092" s="1" t="s">
        <v>561</v>
      </c>
      <c r="K1092" s="1">
        <v>5</v>
      </c>
      <c r="L1092" s="1">
        <f t="shared" si="17"/>
        <v>200</v>
      </c>
      <c r="M1092" s="1" t="s">
        <v>38</v>
      </c>
      <c r="N1092" s="1"/>
      <c r="O1092" s="12" t="str">
        <f>IF($J1092=Sheet2!$A$2, ROW(), "")</f>
        <v/>
      </c>
      <c r="Q1092" s="23" t="s">
        <v>3073</v>
      </c>
    </row>
    <row r="1093" spans="1:17" ht="14" customHeight="1" x14ac:dyDescent="0.3">
      <c r="A1093" s="1" t="s">
        <v>1603</v>
      </c>
      <c r="B1093" s="1">
        <v>25</v>
      </c>
      <c r="C1093" s="1" t="s">
        <v>1011</v>
      </c>
      <c r="D1093" s="1"/>
      <c r="E1093" s="1"/>
      <c r="F1093" s="1">
        <v>124</v>
      </c>
      <c r="G1093" s="1">
        <v>124</v>
      </c>
      <c r="H1093" s="1" t="s">
        <v>247</v>
      </c>
      <c r="I1093" s="1">
        <v>50</v>
      </c>
      <c r="J1093" s="1" t="s">
        <v>835</v>
      </c>
      <c r="K1093" s="1">
        <v>5</v>
      </c>
      <c r="L1093" s="1">
        <f t="shared" si="17"/>
        <v>250</v>
      </c>
      <c r="M1093" s="1" t="s">
        <v>38</v>
      </c>
      <c r="N1093" s="1"/>
      <c r="O1093" s="12" t="str">
        <f>IF($J1093=Sheet2!$A$2, ROW(), "")</f>
        <v/>
      </c>
      <c r="Q1093" s="23" t="s">
        <v>3074</v>
      </c>
    </row>
    <row r="1094" spans="1:17" ht="14" customHeight="1" x14ac:dyDescent="0.3">
      <c r="A1094" s="1" t="s">
        <v>1737</v>
      </c>
      <c r="B1094" s="1">
        <v>24</v>
      </c>
      <c r="C1094" s="1" t="s">
        <v>1738</v>
      </c>
      <c r="D1094" s="1"/>
      <c r="E1094" s="1"/>
      <c r="F1094" s="1">
        <v>127</v>
      </c>
      <c r="G1094" s="1">
        <v>136</v>
      </c>
      <c r="H1094" s="1" t="s">
        <v>1739</v>
      </c>
      <c r="I1094" s="1">
        <v>120</v>
      </c>
      <c r="J1094" s="1" t="s">
        <v>1740</v>
      </c>
      <c r="K1094" s="1">
        <v>6</v>
      </c>
      <c r="L1094" s="1">
        <f t="shared" si="17"/>
        <v>600</v>
      </c>
      <c r="M1094" s="1" t="s">
        <v>1741</v>
      </c>
      <c r="N1094" s="1"/>
      <c r="O1094" s="1" t="str">
        <f>IF($J1094=Sheet2!$A$2, ROW(), "")</f>
        <v/>
      </c>
      <c r="Q1094" s="23" t="s">
        <v>3075</v>
      </c>
    </row>
    <row r="1095" spans="1:17" ht="14" customHeight="1" x14ac:dyDescent="0.3">
      <c r="A1095" s="1" t="s">
        <v>1742</v>
      </c>
      <c r="B1095" s="1">
        <v>22</v>
      </c>
      <c r="C1095" s="1" t="s">
        <v>1743</v>
      </c>
      <c r="D1095" s="1"/>
      <c r="E1095" s="1"/>
      <c r="F1095" s="1">
        <v>127</v>
      </c>
      <c r="G1095" s="1">
        <v>140</v>
      </c>
      <c r="H1095" s="1" t="s">
        <v>1744</v>
      </c>
      <c r="I1095" s="1">
        <v>150</v>
      </c>
      <c r="J1095" s="1" t="s">
        <v>1804</v>
      </c>
      <c r="K1095" s="1">
        <v>6</v>
      </c>
      <c r="L1095" s="1">
        <f t="shared" si="17"/>
        <v>750</v>
      </c>
      <c r="M1095" s="1" t="s">
        <v>1741</v>
      </c>
      <c r="N1095" s="1"/>
      <c r="O1095" s="1" t="str">
        <f>IF($J1095=Sheet2!$A$2, ROW(), "")</f>
        <v/>
      </c>
      <c r="Q1095" s="23" t="s">
        <v>3076</v>
      </c>
    </row>
    <row r="1096" spans="1:17" ht="14" customHeight="1" x14ac:dyDescent="0.3">
      <c r="A1096" s="1" t="s">
        <v>1745</v>
      </c>
      <c r="B1096" s="1">
        <v>32</v>
      </c>
      <c r="C1096" s="1" t="s">
        <v>1746</v>
      </c>
      <c r="D1096" s="1"/>
      <c r="E1096" s="1"/>
      <c r="F1096" s="1">
        <v>116</v>
      </c>
      <c r="G1096" s="1">
        <v>120</v>
      </c>
      <c r="H1096" s="1" t="s">
        <v>1747</v>
      </c>
      <c r="I1096" s="1">
        <v>120</v>
      </c>
      <c r="J1096" s="1" t="s">
        <v>1918</v>
      </c>
      <c r="K1096" s="1">
        <v>6</v>
      </c>
      <c r="L1096" s="1">
        <f t="shared" si="17"/>
        <v>600</v>
      </c>
      <c r="M1096" s="1" t="s">
        <v>1741</v>
      </c>
      <c r="N1096" s="1"/>
      <c r="O1096" s="1" t="str">
        <f>IF($J1096=Sheet2!$A$2, ROW(), "")</f>
        <v/>
      </c>
      <c r="Q1096" s="23" t="s">
        <v>3077</v>
      </c>
    </row>
    <row r="1097" spans="1:17" ht="14" customHeight="1" x14ac:dyDescent="0.3">
      <c r="A1097" s="1" t="s">
        <v>1748</v>
      </c>
      <c r="B1097" s="1">
        <v>32</v>
      </c>
      <c r="C1097" s="1" t="s">
        <v>1746</v>
      </c>
      <c r="D1097" s="1"/>
      <c r="E1097" s="1"/>
      <c r="F1097" s="1">
        <v>116</v>
      </c>
      <c r="G1097" s="1">
        <v>118</v>
      </c>
      <c r="H1097" s="1" t="s">
        <v>1749</v>
      </c>
      <c r="I1097" s="1">
        <v>100</v>
      </c>
      <c r="J1097" s="1" t="s">
        <v>1918</v>
      </c>
      <c r="K1097" s="1">
        <v>6</v>
      </c>
      <c r="L1097" s="1">
        <f t="shared" si="17"/>
        <v>500</v>
      </c>
      <c r="M1097" s="1" t="s">
        <v>1741</v>
      </c>
      <c r="N1097" s="1"/>
      <c r="O1097" s="1" t="str">
        <f>IF($J1097=Sheet2!$A$2, ROW(), "")</f>
        <v/>
      </c>
      <c r="Q1097" s="23" t="s">
        <v>3078</v>
      </c>
    </row>
    <row r="1098" spans="1:17" ht="14" customHeight="1" x14ac:dyDescent="0.3">
      <c r="A1098" s="1" t="s">
        <v>1750</v>
      </c>
      <c r="B1098" s="1">
        <v>21</v>
      </c>
      <c r="C1098" s="1" t="s">
        <v>1751</v>
      </c>
      <c r="D1098" s="1"/>
      <c r="E1098" s="1"/>
      <c r="F1098" s="1">
        <v>106</v>
      </c>
      <c r="G1098" s="1">
        <v>150</v>
      </c>
      <c r="H1098" s="1" t="s">
        <v>1739</v>
      </c>
      <c r="I1098" s="1">
        <v>160</v>
      </c>
      <c r="J1098" s="1" t="s">
        <v>1752</v>
      </c>
      <c r="K1098" s="1">
        <v>6</v>
      </c>
      <c r="L1098" s="1">
        <f t="shared" si="17"/>
        <v>800</v>
      </c>
      <c r="M1098" s="1" t="s">
        <v>1741</v>
      </c>
      <c r="N1098" s="1"/>
      <c r="O1098" s="1" t="str">
        <f>IF($J1098=Sheet2!$A$2, ROW(), "")</f>
        <v/>
      </c>
      <c r="Q1098" s="23" t="s">
        <v>3079</v>
      </c>
    </row>
    <row r="1099" spans="1:17" ht="14" customHeight="1" x14ac:dyDescent="0.3">
      <c r="A1099" s="1" t="s">
        <v>1753</v>
      </c>
      <c r="B1099" s="1">
        <v>23</v>
      </c>
      <c r="C1099" s="1" t="s">
        <v>1751</v>
      </c>
      <c r="D1099" s="1"/>
      <c r="E1099" s="1"/>
      <c r="F1099" s="1">
        <v>108</v>
      </c>
      <c r="G1099" s="1">
        <v>134</v>
      </c>
      <c r="H1099" s="1" t="s">
        <v>1749</v>
      </c>
      <c r="I1099" s="1">
        <v>120</v>
      </c>
      <c r="J1099" s="1" t="s">
        <v>1752</v>
      </c>
      <c r="K1099" s="1">
        <v>6</v>
      </c>
      <c r="L1099" s="1">
        <f t="shared" si="17"/>
        <v>600</v>
      </c>
      <c r="M1099" s="1" t="s">
        <v>1741</v>
      </c>
      <c r="N1099" s="1"/>
      <c r="O1099" s="1" t="str">
        <f>IF($J1099=Sheet2!$A$2, ROW(), "")</f>
        <v/>
      </c>
      <c r="Q1099" s="23" t="s">
        <v>3080</v>
      </c>
    </row>
    <row r="1100" spans="1:17" ht="14" customHeight="1" x14ac:dyDescent="0.3">
      <c r="A1100" s="1" t="s">
        <v>1754</v>
      </c>
      <c r="B1100" s="1">
        <v>19</v>
      </c>
      <c r="C1100" s="1" t="s">
        <v>1755</v>
      </c>
      <c r="D1100" s="1"/>
      <c r="E1100" s="1"/>
      <c r="F1100" s="1">
        <v>78</v>
      </c>
      <c r="G1100" s="1">
        <v>130</v>
      </c>
      <c r="H1100" s="1" t="s">
        <v>1756</v>
      </c>
      <c r="I1100" s="1">
        <v>160</v>
      </c>
      <c r="J1100" s="1" t="s">
        <v>1752</v>
      </c>
      <c r="K1100" s="1">
        <v>8</v>
      </c>
      <c r="L1100" s="1">
        <f t="shared" si="17"/>
        <v>800</v>
      </c>
      <c r="M1100" s="1" t="s">
        <v>1741</v>
      </c>
      <c r="N1100" s="1"/>
      <c r="O1100" s="1" t="str">
        <f>IF($J1100=Sheet2!$A$2, ROW(), "")</f>
        <v/>
      </c>
      <c r="Q1100" s="23" t="s">
        <v>3081</v>
      </c>
    </row>
    <row r="1101" spans="1:17" ht="14" customHeight="1" x14ac:dyDescent="0.3">
      <c r="A1101" s="1" t="s">
        <v>1757</v>
      </c>
      <c r="B1101" s="1">
        <v>22</v>
      </c>
      <c r="C1101" s="1" t="s">
        <v>1758</v>
      </c>
      <c r="D1101" s="1"/>
      <c r="E1101" s="1"/>
      <c r="F1101" s="1">
        <v>130</v>
      </c>
      <c r="G1101" s="1">
        <v>150</v>
      </c>
      <c r="H1101" s="1" t="s">
        <v>1749</v>
      </c>
      <c r="I1101" s="1">
        <v>130</v>
      </c>
      <c r="J1101" s="1" t="s">
        <v>1759</v>
      </c>
      <c r="K1101" s="1">
        <v>6</v>
      </c>
      <c r="L1101" s="1">
        <f t="shared" si="17"/>
        <v>650</v>
      </c>
      <c r="M1101" s="1" t="s">
        <v>1741</v>
      </c>
      <c r="N1101" s="1"/>
      <c r="O1101" s="1" t="str">
        <f>IF($J1101=Sheet2!$A$2, ROW(), "")</f>
        <v/>
      </c>
      <c r="Q1101" s="23" t="s">
        <v>3082</v>
      </c>
    </row>
    <row r="1102" spans="1:17" ht="14" customHeight="1" x14ac:dyDescent="0.3">
      <c r="A1102" s="1" t="s">
        <v>1760</v>
      </c>
      <c r="B1102" s="1">
        <v>24</v>
      </c>
      <c r="C1102" s="1" t="s">
        <v>1746</v>
      </c>
      <c r="D1102" s="1"/>
      <c r="E1102" s="1"/>
      <c r="F1102" s="1">
        <v>123</v>
      </c>
      <c r="G1102" s="1">
        <v>126</v>
      </c>
      <c r="H1102" s="1" t="s">
        <v>1761</v>
      </c>
      <c r="I1102" s="1">
        <v>100</v>
      </c>
      <c r="J1102" s="1" t="s">
        <v>1721</v>
      </c>
      <c r="K1102" s="1">
        <v>6</v>
      </c>
      <c r="L1102" s="1">
        <f t="shared" si="17"/>
        <v>500</v>
      </c>
      <c r="M1102" s="1" t="s">
        <v>1741</v>
      </c>
      <c r="N1102" s="1"/>
      <c r="O1102" s="1" t="str">
        <f>IF($J1102=Sheet2!$A$2, ROW(), "")</f>
        <v/>
      </c>
      <c r="Q1102" s="23" t="s">
        <v>3083</v>
      </c>
    </row>
    <row r="1103" spans="1:17" ht="14" customHeight="1" x14ac:dyDescent="0.3">
      <c r="A1103" s="1" t="s">
        <v>1764</v>
      </c>
      <c r="B1103" s="1">
        <v>24</v>
      </c>
      <c r="C1103" s="1" t="s">
        <v>1765</v>
      </c>
      <c r="D1103" s="1"/>
      <c r="E1103" s="1"/>
      <c r="F1103" s="1">
        <v>131</v>
      </c>
      <c r="G1103" s="1">
        <v>146</v>
      </c>
      <c r="H1103" s="1" t="s">
        <v>1749</v>
      </c>
      <c r="I1103" s="1">
        <v>120</v>
      </c>
      <c r="J1103" s="1" t="s">
        <v>1766</v>
      </c>
      <c r="K1103" s="1">
        <v>6</v>
      </c>
      <c r="L1103" s="1">
        <f t="shared" si="17"/>
        <v>600</v>
      </c>
      <c r="M1103" s="1" t="s">
        <v>1741</v>
      </c>
      <c r="N1103" s="1"/>
      <c r="O1103" s="1" t="str">
        <f>IF($J1103=Sheet2!$A$2, ROW(), "")</f>
        <v/>
      </c>
      <c r="Q1103" s="23" t="s">
        <v>3084</v>
      </c>
    </row>
    <row r="1104" spans="1:17" ht="14" customHeight="1" x14ac:dyDescent="0.3">
      <c r="A1104" s="1" t="s">
        <v>1767</v>
      </c>
      <c r="B1104" s="1">
        <v>20</v>
      </c>
      <c r="C1104" s="1" t="s">
        <v>1768</v>
      </c>
      <c r="D1104" s="1"/>
      <c r="E1104" s="1"/>
      <c r="F1104" s="1">
        <v>131</v>
      </c>
      <c r="G1104" s="1">
        <v>142</v>
      </c>
      <c r="H1104" s="1" t="s">
        <v>1769</v>
      </c>
      <c r="I1104" s="1">
        <v>140</v>
      </c>
      <c r="J1104" s="1" t="s">
        <v>1766</v>
      </c>
      <c r="K1104" s="1">
        <v>7</v>
      </c>
      <c r="L1104" s="1">
        <f t="shared" si="17"/>
        <v>700</v>
      </c>
      <c r="M1104" s="1" t="s">
        <v>1741</v>
      </c>
      <c r="N1104" s="1"/>
      <c r="O1104" s="1" t="str">
        <f>IF($J1104=Sheet2!$A$2, ROW(), "")</f>
        <v/>
      </c>
      <c r="Q1104" s="23" t="s">
        <v>3085</v>
      </c>
    </row>
    <row r="1105" spans="1:17" ht="14" customHeight="1" x14ac:dyDescent="0.3">
      <c r="A1105" s="1" t="s">
        <v>1772</v>
      </c>
      <c r="B1105" s="1">
        <v>22</v>
      </c>
      <c r="C1105" s="1" t="s">
        <v>1773</v>
      </c>
      <c r="D1105" s="1"/>
      <c r="E1105" s="1"/>
      <c r="F1105" s="1">
        <v>132</v>
      </c>
      <c r="G1105" s="1">
        <v>142</v>
      </c>
      <c r="H1105" s="1" t="s">
        <v>1769</v>
      </c>
      <c r="I1105" s="1">
        <v>120</v>
      </c>
      <c r="J1105" s="1" t="s">
        <v>1805</v>
      </c>
      <c r="K1105" s="1">
        <v>6</v>
      </c>
      <c r="L1105" s="1">
        <f t="shared" si="17"/>
        <v>600</v>
      </c>
      <c r="M1105" s="1" t="s">
        <v>1741</v>
      </c>
      <c r="N1105" s="1"/>
      <c r="O1105" s="1" t="str">
        <f>IF($J1105=Sheet2!$A$2, ROW(), "")</f>
        <v/>
      </c>
      <c r="Q1105" s="23" t="s">
        <v>3086</v>
      </c>
    </row>
    <row r="1106" spans="1:17" ht="14" customHeight="1" x14ac:dyDescent="0.3">
      <c r="A1106" s="1" t="s">
        <v>1775</v>
      </c>
      <c r="B1106" s="1">
        <v>21</v>
      </c>
      <c r="C1106" s="1" t="s">
        <v>1776</v>
      </c>
      <c r="D1106" s="1"/>
      <c r="E1106" s="1"/>
      <c r="F1106" s="1">
        <v>122</v>
      </c>
      <c r="G1106" s="1">
        <v>160</v>
      </c>
      <c r="H1106" s="1" t="s">
        <v>1769</v>
      </c>
      <c r="I1106" s="1">
        <v>120</v>
      </c>
      <c r="J1106" s="1" t="s">
        <v>1759</v>
      </c>
      <c r="K1106" s="1">
        <v>6</v>
      </c>
      <c r="L1106" s="1">
        <f t="shared" si="17"/>
        <v>600</v>
      </c>
      <c r="M1106" s="1" t="s">
        <v>1741</v>
      </c>
      <c r="N1106" s="1"/>
      <c r="O1106" s="1" t="str">
        <f>IF($J1106=Sheet2!$A$2, ROW(), "")</f>
        <v/>
      </c>
      <c r="Q1106" s="23" t="s">
        <v>3087</v>
      </c>
    </row>
    <row r="1107" spans="1:17" ht="14" customHeight="1" x14ac:dyDescent="0.3">
      <c r="A1107" s="1" t="s">
        <v>1777</v>
      </c>
      <c r="B1107" s="1">
        <v>27</v>
      </c>
      <c r="C1107" s="1" t="s">
        <v>1778</v>
      </c>
      <c r="D1107" s="1"/>
      <c r="E1107" s="1"/>
      <c r="F1107" s="1">
        <v>104</v>
      </c>
      <c r="G1107" s="1">
        <v>116</v>
      </c>
      <c r="H1107" s="1" t="s">
        <v>1779</v>
      </c>
      <c r="I1107" s="1">
        <v>40</v>
      </c>
      <c r="J1107" s="1" t="s">
        <v>1780</v>
      </c>
      <c r="K1107" s="1">
        <v>6</v>
      </c>
      <c r="L1107" s="1">
        <f t="shared" si="17"/>
        <v>200</v>
      </c>
      <c r="M1107" s="1" t="s">
        <v>1741</v>
      </c>
      <c r="N1107" s="1"/>
      <c r="O1107" s="1" t="str">
        <f>IF($J1107=Sheet2!$A$2, ROW(), "")</f>
        <v/>
      </c>
      <c r="Q1107" s="23" t="s">
        <v>3088</v>
      </c>
    </row>
    <row r="1108" spans="1:17" ht="14" customHeight="1" x14ac:dyDescent="0.3">
      <c r="A1108" s="1" t="s">
        <v>1781</v>
      </c>
      <c r="B1108" s="1">
        <v>23</v>
      </c>
      <c r="C1108" s="1" t="s">
        <v>1778</v>
      </c>
      <c r="D1108" s="1"/>
      <c r="E1108" s="1"/>
      <c r="F1108" s="1">
        <v>116</v>
      </c>
      <c r="G1108" s="1">
        <v>130</v>
      </c>
      <c r="H1108" s="1" t="s">
        <v>1779</v>
      </c>
      <c r="I1108" s="1">
        <v>40</v>
      </c>
      <c r="J1108" s="1" t="s">
        <v>1780</v>
      </c>
      <c r="K1108" s="1">
        <v>6</v>
      </c>
      <c r="L1108" s="1">
        <f t="shared" si="17"/>
        <v>200</v>
      </c>
      <c r="M1108" s="1" t="s">
        <v>1741</v>
      </c>
      <c r="N1108" s="1"/>
      <c r="O1108" s="1" t="str">
        <f>IF($J1108=Sheet2!$A$2, ROW(), "")</f>
        <v/>
      </c>
      <c r="Q1108" s="23" t="s">
        <v>3089</v>
      </c>
    </row>
    <row r="1109" spans="1:17" ht="14" customHeight="1" x14ac:dyDescent="0.3">
      <c r="A1109" s="1" t="s">
        <v>1784</v>
      </c>
      <c r="B1109" s="1">
        <v>24</v>
      </c>
      <c r="C1109" s="1" t="s">
        <v>1746</v>
      </c>
      <c r="D1109" s="1"/>
      <c r="E1109" s="1"/>
      <c r="F1109" s="1">
        <v>120</v>
      </c>
      <c r="G1109" s="1">
        <v>128</v>
      </c>
      <c r="H1109" s="1" t="s">
        <v>1785</v>
      </c>
      <c r="I1109" s="1">
        <v>40</v>
      </c>
      <c r="J1109" s="1" t="s">
        <v>1783</v>
      </c>
      <c r="K1109" s="1">
        <v>6</v>
      </c>
      <c r="L1109" s="1">
        <f t="shared" si="17"/>
        <v>200</v>
      </c>
      <c r="M1109" s="1" t="s">
        <v>1741</v>
      </c>
      <c r="N1109" s="1"/>
      <c r="O1109" s="1" t="str">
        <f>IF($J1109=Sheet2!$A$2, ROW(), "")</f>
        <v/>
      </c>
      <c r="Q1109" s="23" t="s">
        <v>3090</v>
      </c>
    </row>
    <row r="1110" spans="1:17" ht="14" customHeight="1" x14ac:dyDescent="0.3">
      <c r="A1110" s="1" t="s">
        <v>1786</v>
      </c>
      <c r="B1110" s="1">
        <v>23</v>
      </c>
      <c r="C1110" s="1" t="s">
        <v>1746</v>
      </c>
      <c r="D1110" s="1"/>
      <c r="E1110" s="1"/>
      <c r="F1110" s="1">
        <v>111</v>
      </c>
      <c r="G1110" s="1">
        <v>120</v>
      </c>
      <c r="H1110" s="1" t="s">
        <v>1787</v>
      </c>
      <c r="I1110" s="1">
        <v>35</v>
      </c>
      <c r="J1110" s="1" t="s">
        <v>1783</v>
      </c>
      <c r="K1110" s="1">
        <v>6</v>
      </c>
      <c r="L1110" s="1">
        <f t="shared" si="17"/>
        <v>175</v>
      </c>
      <c r="M1110" s="1" t="s">
        <v>1741</v>
      </c>
      <c r="N1110" s="1"/>
      <c r="O1110" s="1" t="str">
        <f>IF($J1110=Sheet2!$A$2, ROW(), "")</f>
        <v/>
      </c>
      <c r="Q1110" s="23" t="s">
        <v>3091</v>
      </c>
    </row>
    <row r="1111" spans="1:17" ht="14" customHeight="1" x14ac:dyDescent="0.3">
      <c r="A1111" s="1" t="s">
        <v>1788</v>
      </c>
      <c r="B1111" s="1">
        <v>23</v>
      </c>
      <c r="C1111" s="1" t="s">
        <v>1746</v>
      </c>
      <c r="D1111" s="1"/>
      <c r="E1111" s="1"/>
      <c r="F1111" s="1">
        <v>103</v>
      </c>
      <c r="G1111" s="1">
        <v>140</v>
      </c>
      <c r="H1111" s="1" t="s">
        <v>1789</v>
      </c>
      <c r="I1111" s="1">
        <v>45</v>
      </c>
      <c r="J1111" s="1" t="s">
        <v>1783</v>
      </c>
      <c r="K1111" s="1">
        <v>6</v>
      </c>
      <c r="L1111" s="1">
        <f t="shared" si="17"/>
        <v>225</v>
      </c>
      <c r="M1111" s="1" t="s">
        <v>1741</v>
      </c>
      <c r="N1111" s="1"/>
      <c r="O1111" s="1" t="str">
        <f>IF($J1111=Sheet2!$A$2, ROW(), "")</f>
        <v/>
      </c>
      <c r="Q1111" s="23" t="s">
        <v>3092</v>
      </c>
    </row>
    <row r="1112" spans="1:17" ht="14" customHeight="1" x14ac:dyDescent="0.3">
      <c r="A1112" s="1" t="s">
        <v>1790</v>
      </c>
      <c r="B1112" s="1">
        <v>25</v>
      </c>
      <c r="C1112" s="1" t="s">
        <v>1746</v>
      </c>
      <c r="D1112" s="1"/>
      <c r="E1112" s="1"/>
      <c r="F1112" s="1">
        <v>118</v>
      </c>
      <c r="G1112" s="1">
        <v>126</v>
      </c>
      <c r="H1112" s="1" t="s">
        <v>1787</v>
      </c>
      <c r="I1112" s="1">
        <v>40</v>
      </c>
      <c r="J1112" s="1" t="s">
        <v>1783</v>
      </c>
      <c r="K1112" s="1">
        <v>6</v>
      </c>
      <c r="L1112" s="1">
        <f t="shared" si="17"/>
        <v>200</v>
      </c>
      <c r="M1112" s="1" t="s">
        <v>1741</v>
      </c>
      <c r="N1112" s="1"/>
      <c r="O1112" s="1" t="str">
        <f>IF($J1112=Sheet2!$A$2, ROW(), "")</f>
        <v/>
      </c>
      <c r="Q1112" s="23" t="s">
        <v>3093</v>
      </c>
    </row>
    <row r="1113" spans="1:17" ht="14" customHeight="1" x14ac:dyDescent="0.3">
      <c r="A1113" s="1" t="s">
        <v>1791</v>
      </c>
      <c r="B1113" s="1">
        <v>19</v>
      </c>
      <c r="C1113" s="1" t="s">
        <v>1792</v>
      </c>
      <c r="D1113" s="1"/>
      <c r="E1113" s="1"/>
      <c r="F1113" s="1">
        <v>70</v>
      </c>
      <c r="G1113" s="1">
        <v>130</v>
      </c>
      <c r="H1113" s="1" t="s">
        <v>1747</v>
      </c>
      <c r="I1113" s="1">
        <v>24</v>
      </c>
      <c r="J1113" s="1" t="s">
        <v>1783</v>
      </c>
      <c r="K1113" s="1">
        <v>6</v>
      </c>
      <c r="L1113" s="1">
        <f t="shared" si="17"/>
        <v>120</v>
      </c>
      <c r="M1113" s="1" t="s">
        <v>1741</v>
      </c>
      <c r="N1113" s="1"/>
      <c r="O1113" s="1" t="str">
        <f>IF($J1113=Sheet2!$A$2, ROW(), "")</f>
        <v/>
      </c>
      <c r="Q1113" s="23" t="s">
        <v>3094</v>
      </c>
    </row>
    <row r="1114" spans="1:17" ht="14" customHeight="1" x14ac:dyDescent="0.3">
      <c r="A1114" s="1" t="s">
        <v>1793</v>
      </c>
      <c r="B1114" s="1">
        <v>24</v>
      </c>
      <c r="C1114" s="1" t="s">
        <v>1794</v>
      </c>
      <c r="D1114" s="1"/>
      <c r="E1114" s="1"/>
      <c r="F1114" s="1">
        <v>115</v>
      </c>
      <c r="G1114" s="1">
        <v>132</v>
      </c>
      <c r="H1114" s="1" t="s">
        <v>1769</v>
      </c>
      <c r="I1114" s="1">
        <v>50</v>
      </c>
      <c r="J1114" s="1" t="s">
        <v>1783</v>
      </c>
      <c r="K1114" s="1">
        <v>6</v>
      </c>
      <c r="L1114" s="1">
        <f t="shared" si="17"/>
        <v>250</v>
      </c>
      <c r="M1114" s="1" t="s">
        <v>1741</v>
      </c>
      <c r="N1114" s="1"/>
      <c r="O1114" s="1" t="str">
        <f>IF($J1114=Sheet2!$A$2, ROW(), "")</f>
        <v/>
      </c>
      <c r="Q1114" s="23" t="s">
        <v>3095</v>
      </c>
    </row>
    <row r="1115" spans="1:17" ht="14" customHeight="1" x14ac:dyDescent="0.3">
      <c r="A1115" s="1" t="s">
        <v>1803</v>
      </c>
      <c r="B1115" s="1">
        <v>27</v>
      </c>
      <c r="C1115" s="1" t="s">
        <v>1800</v>
      </c>
      <c r="D1115" s="1"/>
      <c r="E1115" s="1"/>
      <c r="F1115" s="1">
        <v>110</v>
      </c>
      <c r="G1115" s="1">
        <v>125</v>
      </c>
      <c r="H1115" s="1" t="s">
        <v>1739</v>
      </c>
      <c r="I1115" s="1">
        <v>35</v>
      </c>
      <c r="J1115" s="1" t="s">
        <v>1783</v>
      </c>
      <c r="K1115" s="1">
        <v>6</v>
      </c>
      <c r="L1115" s="1">
        <f t="shared" si="17"/>
        <v>175</v>
      </c>
      <c r="M1115" s="1" t="s">
        <v>1741</v>
      </c>
      <c r="N1115" s="1"/>
      <c r="O1115" s="1" t="str">
        <f>IF($J1115=Sheet2!$A$2, ROW(), "")</f>
        <v/>
      </c>
      <c r="Q1115" s="23" t="s">
        <v>3096</v>
      </c>
    </row>
    <row r="1116" spans="1:17" ht="14" customHeight="1" x14ac:dyDescent="0.3">
      <c r="A1116" s="1" t="s">
        <v>1795</v>
      </c>
      <c r="B1116" s="1">
        <v>22</v>
      </c>
      <c r="C1116" s="1" t="s">
        <v>1796</v>
      </c>
      <c r="D1116" s="1"/>
      <c r="E1116" s="1"/>
      <c r="F1116" s="1">
        <v>116</v>
      </c>
      <c r="G1116" s="1">
        <v>123</v>
      </c>
      <c r="H1116" s="1" t="s">
        <v>1797</v>
      </c>
      <c r="I1116" s="1">
        <v>40</v>
      </c>
      <c r="J1116" s="1" t="s">
        <v>1783</v>
      </c>
      <c r="K1116" s="1">
        <v>6</v>
      </c>
      <c r="L1116" s="1">
        <f t="shared" si="17"/>
        <v>200</v>
      </c>
      <c r="M1116" s="1" t="s">
        <v>1741</v>
      </c>
      <c r="N1116" s="1"/>
      <c r="O1116" s="1" t="str">
        <f>IF($J1116=Sheet2!$A$2, ROW(), "")</f>
        <v/>
      </c>
      <c r="Q1116" s="23" t="s">
        <v>3097</v>
      </c>
    </row>
    <row r="1117" spans="1:17" ht="14" customHeight="1" x14ac:dyDescent="0.3">
      <c r="A1117" s="1" t="s">
        <v>1798</v>
      </c>
      <c r="B1117" s="1">
        <v>22</v>
      </c>
      <c r="C1117" s="1" t="s">
        <v>1796</v>
      </c>
      <c r="D1117" s="1"/>
      <c r="E1117" s="1"/>
      <c r="F1117" s="1">
        <v>112</v>
      </c>
      <c r="G1117" s="1">
        <v>122</v>
      </c>
      <c r="H1117" s="1" t="s">
        <v>1799</v>
      </c>
      <c r="I1117" s="1">
        <v>35</v>
      </c>
      <c r="J1117" s="1" t="s">
        <v>1783</v>
      </c>
      <c r="K1117" s="1">
        <v>6</v>
      </c>
      <c r="L1117" s="1">
        <f t="shared" si="17"/>
        <v>175</v>
      </c>
      <c r="M1117" s="1" t="s">
        <v>1741</v>
      </c>
      <c r="N1117" s="1"/>
      <c r="O1117" s="1" t="str">
        <f>IF($J1117=Sheet2!$A$2, ROW(), "")</f>
        <v/>
      </c>
      <c r="Q1117" s="23" t="s">
        <v>3098</v>
      </c>
    </row>
    <row r="1118" spans="1:17" ht="14" customHeight="1" x14ac:dyDescent="0.3">
      <c r="A1118" s="1" t="s">
        <v>1801</v>
      </c>
      <c r="B1118" s="1">
        <v>25</v>
      </c>
      <c r="C1118" s="1" t="s">
        <v>1802</v>
      </c>
      <c r="D1118" s="1"/>
      <c r="E1118" s="1"/>
      <c r="F1118" s="1">
        <v>120</v>
      </c>
      <c r="G1118" s="1">
        <v>124</v>
      </c>
      <c r="H1118" s="1" t="s">
        <v>1739</v>
      </c>
      <c r="I1118" s="1">
        <v>40</v>
      </c>
      <c r="J1118" s="1" t="s">
        <v>1783</v>
      </c>
      <c r="K1118" s="1">
        <v>6</v>
      </c>
      <c r="L1118" s="1">
        <f t="shared" si="17"/>
        <v>200</v>
      </c>
      <c r="M1118" s="1" t="s">
        <v>1741</v>
      </c>
      <c r="N1118" s="1"/>
      <c r="O1118" s="1" t="str">
        <f>IF($J1118=Sheet2!$A$2, ROW(), "")</f>
        <v/>
      </c>
      <c r="Q1118" s="23" t="s">
        <v>3099</v>
      </c>
    </row>
    <row r="1119" spans="1:17" ht="14" customHeight="1" x14ac:dyDescent="0.3">
      <c r="A1119" s="1" t="s">
        <v>1806</v>
      </c>
      <c r="B1119" s="1">
        <v>27</v>
      </c>
      <c r="C1119" s="1" t="s">
        <v>1807</v>
      </c>
      <c r="D1119" s="1"/>
      <c r="E1119" s="1"/>
      <c r="F1119" s="1">
        <v>114</v>
      </c>
      <c r="G1119" s="1">
        <v>124</v>
      </c>
      <c r="H1119" s="1" t="s">
        <v>1808</v>
      </c>
      <c r="I1119" s="1">
        <v>50</v>
      </c>
      <c r="J1119" s="1" t="s">
        <v>1783</v>
      </c>
      <c r="K1119" s="1">
        <v>6</v>
      </c>
      <c r="L1119" s="1">
        <f t="shared" si="17"/>
        <v>250</v>
      </c>
      <c r="M1119" s="1" t="s">
        <v>1741</v>
      </c>
      <c r="N1119" s="1"/>
      <c r="O1119" s="1" t="str">
        <f>IF($J1119=Sheet2!$A$2, ROW(), "")</f>
        <v/>
      </c>
      <c r="Q1119" s="23" t="s">
        <v>3100</v>
      </c>
    </row>
    <row r="1120" spans="1:17" ht="14" customHeight="1" x14ac:dyDescent="0.3">
      <c r="A1120" s="1" t="s">
        <v>1809</v>
      </c>
      <c r="B1120" s="1">
        <v>24</v>
      </c>
      <c r="C1120" s="1" t="s">
        <v>1810</v>
      </c>
      <c r="D1120" s="1"/>
      <c r="E1120" s="1"/>
      <c r="F1120" s="1">
        <v>126</v>
      </c>
      <c r="G1120" s="1">
        <v>133</v>
      </c>
      <c r="H1120" s="1" t="s">
        <v>1811</v>
      </c>
      <c r="I1120" s="1">
        <v>120</v>
      </c>
      <c r="J1120" s="1" t="s">
        <v>1805</v>
      </c>
      <c r="K1120" s="1">
        <v>6</v>
      </c>
      <c r="L1120" s="1">
        <f t="shared" si="17"/>
        <v>600</v>
      </c>
      <c r="M1120" s="1" t="s">
        <v>1741</v>
      </c>
      <c r="N1120" s="1"/>
      <c r="O1120" s="1" t="str">
        <f>IF($J1120=Sheet2!$A$2, ROW(), "")</f>
        <v/>
      </c>
      <c r="Q1120" s="23" t="s">
        <v>3101</v>
      </c>
    </row>
    <row r="1121" spans="1:17" ht="14" customHeight="1" x14ac:dyDescent="0.3">
      <c r="A1121" s="1" t="s">
        <v>1812</v>
      </c>
      <c r="B1121" s="1">
        <v>23</v>
      </c>
      <c r="C1121" s="1" t="s">
        <v>1768</v>
      </c>
      <c r="D1121" s="1"/>
      <c r="E1121" s="1"/>
      <c r="F1121" s="1">
        <v>128</v>
      </c>
      <c r="G1121" s="1">
        <v>138</v>
      </c>
      <c r="H1121" s="1" t="s">
        <v>1813</v>
      </c>
      <c r="I1121" s="1">
        <v>130</v>
      </c>
      <c r="J1121" s="1" t="s">
        <v>1805</v>
      </c>
      <c r="K1121" s="1">
        <v>6</v>
      </c>
      <c r="L1121" s="1">
        <f t="shared" si="17"/>
        <v>650</v>
      </c>
      <c r="M1121" s="1" t="s">
        <v>1741</v>
      </c>
      <c r="N1121" s="1"/>
      <c r="O1121" s="1" t="str">
        <f>IF($J1121=Sheet2!$A$2, ROW(), "")</f>
        <v/>
      </c>
      <c r="Q1121" s="23" t="s">
        <v>3102</v>
      </c>
    </row>
    <row r="1122" spans="1:17" ht="14" customHeight="1" x14ac:dyDescent="0.3">
      <c r="A1122" s="1" t="s">
        <v>1814</v>
      </c>
      <c r="B1122" s="1">
        <v>23</v>
      </c>
      <c r="C1122" s="1" t="s">
        <v>1815</v>
      </c>
      <c r="D1122" s="1"/>
      <c r="E1122" s="1"/>
      <c r="F1122" s="1">
        <v>126</v>
      </c>
      <c r="G1122" s="1">
        <v>136</v>
      </c>
      <c r="H1122" s="1" t="s">
        <v>1816</v>
      </c>
      <c r="I1122" s="1">
        <v>120</v>
      </c>
      <c r="J1122" s="1" t="s">
        <v>1805</v>
      </c>
      <c r="K1122" s="1">
        <v>6</v>
      </c>
      <c r="L1122" s="1">
        <f t="shared" si="17"/>
        <v>600</v>
      </c>
      <c r="M1122" s="1" t="s">
        <v>1741</v>
      </c>
      <c r="N1122" s="1"/>
      <c r="O1122" s="1" t="str">
        <f>IF($J1122=Sheet2!$A$2, ROW(), "")</f>
        <v/>
      </c>
      <c r="Q1122" s="23" t="s">
        <v>3103</v>
      </c>
    </row>
    <row r="1123" spans="1:17" ht="14" customHeight="1" x14ac:dyDescent="0.3">
      <c r="A1123" s="1" t="s">
        <v>1817</v>
      </c>
      <c r="B1123" s="1">
        <v>23</v>
      </c>
      <c r="C1123" s="1" t="s">
        <v>1818</v>
      </c>
      <c r="D1123" s="1"/>
      <c r="E1123" s="1"/>
      <c r="F1123" s="1">
        <v>96</v>
      </c>
      <c r="G1123" s="1">
        <v>120</v>
      </c>
      <c r="H1123" s="1" t="s">
        <v>1819</v>
      </c>
      <c r="I1123" s="1">
        <v>40</v>
      </c>
      <c r="J1123" s="1" t="s">
        <v>1805</v>
      </c>
      <c r="K1123" s="1">
        <v>6</v>
      </c>
      <c r="L1123" s="1">
        <f t="shared" si="17"/>
        <v>200</v>
      </c>
      <c r="M1123" s="1" t="s">
        <v>1741</v>
      </c>
      <c r="N1123" s="1"/>
      <c r="O1123" s="1" t="str">
        <f>IF($J1123=Sheet2!$A$2, ROW(), "")</f>
        <v/>
      </c>
      <c r="Q1123" s="23" t="s">
        <v>3104</v>
      </c>
    </row>
    <row r="1124" spans="1:17" ht="14" customHeight="1" x14ac:dyDescent="0.3">
      <c r="A1124" s="1" t="s">
        <v>1820</v>
      </c>
      <c r="B1124" s="1">
        <v>24</v>
      </c>
      <c r="C1124" s="1" t="s">
        <v>1818</v>
      </c>
      <c r="D1124" s="1"/>
      <c r="E1124" s="1"/>
      <c r="F1124" s="1">
        <v>119</v>
      </c>
      <c r="G1124" s="1">
        <v>134</v>
      </c>
      <c r="H1124" s="1" t="s">
        <v>1785</v>
      </c>
      <c r="I1124" s="1">
        <v>45</v>
      </c>
      <c r="J1124" s="1" t="s">
        <v>1805</v>
      </c>
      <c r="K1124" s="1">
        <v>6</v>
      </c>
      <c r="L1124" s="1">
        <f t="shared" si="17"/>
        <v>225</v>
      </c>
      <c r="M1124" s="1" t="s">
        <v>1741</v>
      </c>
      <c r="N1124" s="1"/>
      <c r="O1124" s="1" t="str">
        <f>IF($J1124=Sheet2!$A$2, ROW(), "")</f>
        <v/>
      </c>
      <c r="Q1124" s="23" t="s">
        <v>3105</v>
      </c>
    </row>
    <row r="1125" spans="1:17" ht="14" customHeight="1" x14ac:dyDescent="0.3">
      <c r="A1125" s="1" t="s">
        <v>1821</v>
      </c>
      <c r="B1125" s="1">
        <v>26</v>
      </c>
      <c r="C1125" s="1" t="s">
        <v>1818</v>
      </c>
      <c r="D1125" s="1"/>
      <c r="E1125" s="1"/>
      <c r="F1125" s="1">
        <v>116</v>
      </c>
      <c r="G1125" s="1">
        <v>126</v>
      </c>
      <c r="H1125" s="1" t="s">
        <v>1747</v>
      </c>
      <c r="I1125" s="1">
        <v>45</v>
      </c>
      <c r="J1125" s="1" t="s">
        <v>1805</v>
      </c>
      <c r="K1125" s="1">
        <v>6</v>
      </c>
      <c r="L1125" s="1">
        <f t="shared" si="17"/>
        <v>225</v>
      </c>
      <c r="M1125" s="1" t="s">
        <v>1741</v>
      </c>
      <c r="N1125" s="1"/>
      <c r="O1125" s="1" t="str">
        <f>IF($J1125=Sheet2!$A$2, ROW(), "")</f>
        <v/>
      </c>
      <c r="Q1125" s="23" t="s">
        <v>3106</v>
      </c>
    </row>
    <row r="1126" spans="1:17" ht="14" customHeight="1" x14ac:dyDescent="0.3">
      <c r="A1126" s="1" t="s">
        <v>1822</v>
      </c>
      <c r="B1126" s="1">
        <v>23</v>
      </c>
      <c r="C1126" s="1" t="s">
        <v>1823</v>
      </c>
      <c r="D1126" s="1"/>
      <c r="E1126" s="1"/>
      <c r="F1126" s="1">
        <v>128</v>
      </c>
      <c r="G1126" s="1">
        <v>129</v>
      </c>
      <c r="H1126" s="1" t="s">
        <v>1824</v>
      </c>
      <c r="I1126" s="1">
        <v>24</v>
      </c>
      <c r="J1126" s="1" t="s">
        <v>1834</v>
      </c>
      <c r="K1126" s="1">
        <v>5</v>
      </c>
      <c r="L1126" s="1">
        <f t="shared" si="17"/>
        <v>120</v>
      </c>
      <c r="M1126" s="1" t="s">
        <v>1825</v>
      </c>
      <c r="N1126" s="1"/>
      <c r="O1126" s="1" t="str">
        <f>IF($J1126=Sheet2!$A$2, ROW(), "")</f>
        <v/>
      </c>
      <c r="Q1126" s="23" t="s">
        <v>3107</v>
      </c>
    </row>
    <row r="1127" spans="1:17" ht="14" customHeight="1" x14ac:dyDescent="0.3">
      <c r="A1127" s="1" t="s">
        <v>1826</v>
      </c>
      <c r="B1127" s="1">
        <v>20</v>
      </c>
      <c r="C1127" s="1" t="s">
        <v>1827</v>
      </c>
      <c r="D1127" s="1"/>
      <c r="E1127" s="1"/>
      <c r="F1127" s="1">
        <v>124</v>
      </c>
      <c r="G1127" s="1">
        <v>130</v>
      </c>
      <c r="H1127" s="1" t="s">
        <v>1828</v>
      </c>
      <c r="I1127" s="1">
        <v>24</v>
      </c>
      <c r="J1127" s="1" t="s">
        <v>1763</v>
      </c>
      <c r="K1127" s="1">
        <v>5</v>
      </c>
      <c r="L1127" s="1">
        <f t="shared" si="17"/>
        <v>120</v>
      </c>
      <c r="M1127" s="1" t="s">
        <v>1825</v>
      </c>
      <c r="N1127" s="1"/>
      <c r="O1127" s="1">
        <f>IF($J1127=Sheet2!$A$2, ROW(), "")</f>
        <v>1127</v>
      </c>
      <c r="Q1127" s="23" t="s">
        <v>3108</v>
      </c>
    </row>
    <row r="1128" spans="1:17" ht="14" customHeight="1" x14ac:dyDescent="0.3">
      <c r="A1128" s="1" t="s">
        <v>1829</v>
      </c>
      <c r="B1128" s="1">
        <v>21</v>
      </c>
      <c r="C1128" s="1" t="s">
        <v>1830</v>
      </c>
      <c r="D1128" s="1"/>
      <c r="E1128" s="1"/>
      <c r="F1128" s="1">
        <v>123</v>
      </c>
      <c r="G1128" s="1">
        <v>141</v>
      </c>
      <c r="H1128" s="1" t="s">
        <v>1831</v>
      </c>
      <c r="I1128" s="1">
        <v>24</v>
      </c>
      <c r="J1128" s="1" t="s">
        <v>1763</v>
      </c>
      <c r="K1128" s="1">
        <v>5</v>
      </c>
      <c r="L1128" s="1">
        <f t="shared" si="17"/>
        <v>120</v>
      </c>
      <c r="M1128" s="1" t="s">
        <v>1825</v>
      </c>
      <c r="N1128" s="1"/>
      <c r="O1128" s="1">
        <f>IF($J1128=Sheet2!$A$2, ROW(), "")</f>
        <v>1128</v>
      </c>
      <c r="Q1128" s="23" t="s">
        <v>3109</v>
      </c>
    </row>
    <row r="1129" spans="1:17" ht="14" customHeight="1" x14ac:dyDescent="0.3">
      <c r="A1129" s="1" t="s">
        <v>1832</v>
      </c>
      <c r="B1129" s="1">
        <v>19</v>
      </c>
      <c r="C1129" s="1" t="s">
        <v>1833</v>
      </c>
      <c r="D1129" s="1"/>
      <c r="E1129" s="1"/>
      <c r="F1129" s="1">
        <v>130</v>
      </c>
      <c r="G1129" s="1">
        <v>148</v>
      </c>
      <c r="H1129" s="1" t="s">
        <v>1739</v>
      </c>
      <c r="I1129" s="1">
        <v>40</v>
      </c>
      <c r="J1129" s="1" t="s">
        <v>1834</v>
      </c>
      <c r="K1129" s="1">
        <v>6</v>
      </c>
      <c r="L1129" s="1">
        <f t="shared" si="17"/>
        <v>200</v>
      </c>
      <c r="M1129" s="1" t="s">
        <v>1741</v>
      </c>
      <c r="N1129" s="1"/>
      <c r="O1129" s="1" t="str">
        <f>IF($J1129=Sheet2!$A$2, ROW(), "")</f>
        <v/>
      </c>
      <c r="Q1129" s="23" t="s">
        <v>3110</v>
      </c>
    </row>
    <row r="1130" spans="1:17" ht="14" customHeight="1" x14ac:dyDescent="0.3">
      <c r="A1130" s="1" t="s">
        <v>1835</v>
      </c>
      <c r="B1130" s="1">
        <v>22</v>
      </c>
      <c r="C1130" s="1" t="s">
        <v>1830</v>
      </c>
      <c r="D1130" s="1"/>
      <c r="E1130" s="1"/>
      <c r="F1130" s="1">
        <v>128</v>
      </c>
      <c r="G1130" s="1">
        <v>132</v>
      </c>
      <c r="H1130" s="1" t="s">
        <v>1836</v>
      </c>
      <c r="I1130" s="1">
        <v>24</v>
      </c>
      <c r="J1130" s="1" t="s">
        <v>1720</v>
      </c>
      <c r="K1130" s="1">
        <v>5</v>
      </c>
      <c r="L1130" s="1">
        <f t="shared" si="17"/>
        <v>120</v>
      </c>
      <c r="M1130" s="1" t="s">
        <v>1825</v>
      </c>
      <c r="N1130" s="1"/>
      <c r="O1130" s="1" t="str">
        <f>IF($J1130=Sheet2!$A$2, ROW(), "")</f>
        <v/>
      </c>
      <c r="Q1130" s="23" t="s">
        <v>3111</v>
      </c>
    </row>
    <row r="1131" spans="1:17" ht="14" customHeight="1" x14ac:dyDescent="0.3">
      <c r="A1131" s="1" t="s">
        <v>1837</v>
      </c>
      <c r="B1131" s="1">
        <v>20</v>
      </c>
      <c r="C1131" s="1" t="s">
        <v>1830</v>
      </c>
      <c r="D1131" s="1"/>
      <c r="E1131" s="1"/>
      <c r="F1131" s="1">
        <v>124</v>
      </c>
      <c r="G1131" s="1">
        <v>133</v>
      </c>
      <c r="H1131" s="1" t="s">
        <v>1838</v>
      </c>
      <c r="I1131" s="1">
        <v>24</v>
      </c>
      <c r="J1131" s="1" t="s">
        <v>1720</v>
      </c>
      <c r="K1131" s="1">
        <v>5</v>
      </c>
      <c r="L1131" s="1">
        <f t="shared" si="17"/>
        <v>120</v>
      </c>
      <c r="M1131" s="1" t="s">
        <v>1825</v>
      </c>
      <c r="N1131" s="1"/>
      <c r="O1131" s="1" t="str">
        <f>IF($J1131=Sheet2!$A$2, ROW(), "")</f>
        <v/>
      </c>
      <c r="Q1131" s="23" t="s">
        <v>3112</v>
      </c>
    </row>
    <row r="1132" spans="1:17" ht="14" customHeight="1" x14ac:dyDescent="0.3">
      <c r="A1132" s="1" t="s">
        <v>1839</v>
      </c>
      <c r="B1132" s="1">
        <v>21</v>
      </c>
      <c r="C1132" s="1" t="s">
        <v>1830</v>
      </c>
      <c r="D1132" s="1"/>
      <c r="E1132" s="1"/>
      <c r="F1132" s="1">
        <v>128</v>
      </c>
      <c r="G1132" s="1">
        <v>135</v>
      </c>
      <c r="H1132" s="1" t="s">
        <v>1840</v>
      </c>
      <c r="I1132" s="1">
        <v>24</v>
      </c>
      <c r="J1132" s="1" t="s">
        <v>1892</v>
      </c>
      <c r="K1132" s="1">
        <v>5</v>
      </c>
      <c r="L1132" s="1">
        <f t="shared" si="17"/>
        <v>120</v>
      </c>
      <c r="M1132" s="1" t="s">
        <v>1825</v>
      </c>
      <c r="N1132" s="1"/>
      <c r="O1132" s="1" t="str">
        <f>IF($J1132=Sheet2!$A$2, ROW(), "")</f>
        <v/>
      </c>
      <c r="Q1132" s="23" t="s">
        <v>3113</v>
      </c>
    </row>
    <row r="1133" spans="1:17" ht="14" customHeight="1" x14ac:dyDescent="0.3">
      <c r="A1133" s="1" t="s">
        <v>1842</v>
      </c>
      <c r="B1133" s="1">
        <v>22</v>
      </c>
      <c r="C1133" s="1" t="s">
        <v>1830</v>
      </c>
      <c r="D1133" s="1"/>
      <c r="E1133" s="1"/>
      <c r="F1133" s="1">
        <v>126</v>
      </c>
      <c r="G1133" s="1">
        <v>132</v>
      </c>
      <c r="H1133" s="1" t="s">
        <v>1843</v>
      </c>
      <c r="I1133" s="1">
        <v>40</v>
      </c>
      <c r="J1133" s="1" t="s">
        <v>1834</v>
      </c>
      <c r="K1133" s="1">
        <v>6</v>
      </c>
      <c r="L1133" s="1">
        <f t="shared" si="17"/>
        <v>200</v>
      </c>
      <c r="M1133" s="1" t="s">
        <v>1741</v>
      </c>
      <c r="N1133" s="1"/>
      <c r="O1133" s="1" t="str">
        <f>IF($J1133=Sheet2!$A$2, ROW(), "")</f>
        <v/>
      </c>
      <c r="Q1133" s="23" t="s">
        <v>3114</v>
      </c>
    </row>
    <row r="1134" spans="1:17" ht="14" customHeight="1" x14ac:dyDescent="0.3">
      <c r="A1134" s="1" t="s">
        <v>1844</v>
      </c>
      <c r="B1134" s="1">
        <v>21</v>
      </c>
      <c r="C1134" s="1" t="s">
        <v>1830</v>
      </c>
      <c r="D1134" s="1"/>
      <c r="E1134" s="1"/>
      <c r="F1134" s="1">
        <v>127</v>
      </c>
      <c r="G1134" s="1">
        <v>140</v>
      </c>
      <c r="H1134" s="1" t="s">
        <v>1845</v>
      </c>
      <c r="I1134" s="1">
        <v>24</v>
      </c>
      <c r="J1134" s="1" t="s">
        <v>1888</v>
      </c>
      <c r="K1134" s="1">
        <v>5</v>
      </c>
      <c r="L1134" s="1">
        <f t="shared" si="17"/>
        <v>120</v>
      </c>
      <c r="M1134" s="1" t="s">
        <v>1825</v>
      </c>
      <c r="N1134" s="1"/>
      <c r="O1134" s="1" t="str">
        <f>IF($J1134=Sheet2!$A$2, ROW(), "")</f>
        <v/>
      </c>
      <c r="Q1134" s="23" t="s">
        <v>3115</v>
      </c>
    </row>
    <row r="1135" spans="1:17" ht="14" customHeight="1" x14ac:dyDescent="0.3">
      <c r="A1135" s="1" t="s">
        <v>1846</v>
      </c>
      <c r="B1135" s="1">
        <v>21</v>
      </c>
      <c r="C1135" s="1" t="s">
        <v>1830</v>
      </c>
      <c r="D1135" s="1"/>
      <c r="E1135" s="1"/>
      <c r="F1135" s="1">
        <v>124</v>
      </c>
      <c r="G1135" s="1">
        <v>133</v>
      </c>
      <c r="H1135" s="1" t="s">
        <v>1847</v>
      </c>
      <c r="I1135" s="1">
        <v>24</v>
      </c>
      <c r="J1135" s="1" t="s">
        <v>1805</v>
      </c>
      <c r="K1135" s="1">
        <v>5</v>
      </c>
      <c r="L1135" s="1">
        <f t="shared" si="17"/>
        <v>120</v>
      </c>
      <c r="M1135" s="1" t="s">
        <v>1825</v>
      </c>
      <c r="N1135" s="1"/>
      <c r="O1135" s="1" t="str">
        <f>IF($J1135=Sheet2!$A$2, ROW(), "")</f>
        <v/>
      </c>
      <c r="Q1135" s="23" t="s">
        <v>3116</v>
      </c>
    </row>
    <row r="1136" spans="1:17" ht="14" customHeight="1" x14ac:dyDescent="0.3">
      <c r="A1136" s="1" t="s">
        <v>1849</v>
      </c>
      <c r="B1136" s="1">
        <v>21</v>
      </c>
      <c r="C1136" s="1" t="s">
        <v>1850</v>
      </c>
      <c r="D1136" s="1"/>
      <c r="E1136" s="1"/>
      <c r="F1136" s="1">
        <v>134</v>
      </c>
      <c r="G1136" s="1">
        <v>170</v>
      </c>
      <c r="H1136" s="1" t="s">
        <v>1769</v>
      </c>
      <c r="I1136" s="1">
        <v>180</v>
      </c>
      <c r="J1136" s="1" t="s">
        <v>1766</v>
      </c>
      <c r="K1136" s="1">
        <v>7</v>
      </c>
      <c r="L1136" s="1">
        <f t="shared" si="17"/>
        <v>900</v>
      </c>
      <c r="M1136" s="1" t="s">
        <v>1741</v>
      </c>
      <c r="N1136" s="1"/>
      <c r="O1136" s="1" t="str">
        <f>IF($J1136=Sheet2!$A$2, ROW(), "")</f>
        <v/>
      </c>
      <c r="Q1136" s="23" t="s">
        <v>3117</v>
      </c>
    </row>
    <row r="1137" spans="1:17" ht="14" customHeight="1" x14ac:dyDescent="0.3">
      <c r="A1137" s="1" t="s">
        <v>1856</v>
      </c>
      <c r="B1137" s="1">
        <v>24</v>
      </c>
      <c r="C1137" s="1" t="s">
        <v>1857</v>
      </c>
      <c r="D1137" s="1"/>
      <c r="E1137" s="1"/>
      <c r="F1137" s="1">
        <v>122</v>
      </c>
      <c r="G1137" s="1">
        <v>140</v>
      </c>
      <c r="H1137" s="1" t="s">
        <v>1838</v>
      </c>
      <c r="I1137" s="1">
        <v>120</v>
      </c>
      <c r="J1137" s="1" t="s">
        <v>1783</v>
      </c>
      <c r="K1137" s="1">
        <v>6</v>
      </c>
      <c r="L1137" s="1">
        <f t="shared" si="17"/>
        <v>600</v>
      </c>
      <c r="M1137" s="1" t="s">
        <v>1741</v>
      </c>
      <c r="N1137" s="1"/>
      <c r="O1137" s="1" t="str">
        <f>IF($J1137=Sheet2!$A$2, ROW(), "")</f>
        <v/>
      </c>
      <c r="Q1137" s="23" t="s">
        <v>3118</v>
      </c>
    </row>
    <row r="1138" spans="1:17" ht="14" customHeight="1" x14ac:dyDescent="0.3">
      <c r="A1138" s="1" t="s">
        <v>1858</v>
      </c>
      <c r="B1138" s="1">
        <v>24</v>
      </c>
      <c r="C1138" s="1" t="s">
        <v>1859</v>
      </c>
      <c r="D1138" s="1"/>
      <c r="E1138" s="1"/>
      <c r="F1138" s="1">
        <v>129</v>
      </c>
      <c r="G1138" s="1">
        <v>138</v>
      </c>
      <c r="H1138" s="1" t="s">
        <v>1769</v>
      </c>
      <c r="I1138" s="1">
        <v>120</v>
      </c>
      <c r="J1138" s="1" t="s">
        <v>1783</v>
      </c>
      <c r="K1138" s="1">
        <v>6</v>
      </c>
      <c r="L1138" s="1">
        <f t="shared" si="17"/>
        <v>600</v>
      </c>
      <c r="M1138" s="1" t="s">
        <v>1741</v>
      </c>
      <c r="N1138" s="1"/>
      <c r="O1138" s="1" t="str">
        <f>IF($J1138=Sheet2!$A$2, ROW(), "")</f>
        <v/>
      </c>
      <c r="Q1138" s="23" t="s">
        <v>3119</v>
      </c>
    </row>
    <row r="1139" spans="1:17" ht="14" customHeight="1" x14ac:dyDescent="0.3">
      <c r="A1139" s="1" t="s">
        <v>1860</v>
      </c>
      <c r="B1139" s="1">
        <v>26</v>
      </c>
      <c r="C1139" s="1" t="s">
        <v>1861</v>
      </c>
      <c r="D1139" s="1"/>
      <c r="E1139" s="1"/>
      <c r="F1139" s="1">
        <v>130</v>
      </c>
      <c r="G1139" s="1">
        <v>136</v>
      </c>
      <c r="H1139" s="1" t="s">
        <v>1862</v>
      </c>
      <c r="I1139" s="1">
        <v>110</v>
      </c>
      <c r="J1139" s="1" t="s">
        <v>1783</v>
      </c>
      <c r="K1139" s="1">
        <v>6</v>
      </c>
      <c r="L1139" s="1">
        <f t="shared" si="17"/>
        <v>550</v>
      </c>
      <c r="M1139" s="1" t="s">
        <v>1741</v>
      </c>
      <c r="N1139" s="1"/>
      <c r="O1139" s="1" t="str">
        <f>IF($J1139=Sheet2!$A$2, ROW(), "")</f>
        <v/>
      </c>
      <c r="Q1139" s="23" t="s">
        <v>3120</v>
      </c>
    </row>
    <row r="1140" spans="1:17" ht="14" customHeight="1" x14ac:dyDescent="0.3">
      <c r="A1140" s="1" t="s">
        <v>1864</v>
      </c>
      <c r="B1140" s="1">
        <v>27</v>
      </c>
      <c r="C1140" s="1" t="s">
        <v>1865</v>
      </c>
      <c r="D1140" s="1"/>
      <c r="E1140" s="1"/>
      <c r="F1140" s="1">
        <v>117</v>
      </c>
      <c r="G1140" s="1">
        <v>117</v>
      </c>
      <c r="H1140" s="1" t="s">
        <v>1749</v>
      </c>
      <c r="I1140" s="1">
        <v>40</v>
      </c>
      <c r="J1140" s="1" t="s">
        <v>1721</v>
      </c>
      <c r="K1140" s="1">
        <v>5</v>
      </c>
      <c r="L1140" s="1">
        <f t="shared" si="17"/>
        <v>200</v>
      </c>
      <c r="M1140" s="1" t="s">
        <v>1741</v>
      </c>
      <c r="N1140" s="1"/>
      <c r="O1140" s="1" t="str">
        <f>IF($J1140=Sheet2!$A$2, ROW(), "")</f>
        <v/>
      </c>
      <c r="Q1140" s="23" t="s">
        <v>3121</v>
      </c>
    </row>
    <row r="1141" spans="1:17" ht="14" customHeight="1" x14ac:dyDescent="0.3">
      <c r="A1141" s="1" t="s">
        <v>1867</v>
      </c>
      <c r="B1141" s="1">
        <v>34</v>
      </c>
      <c r="C1141" s="1" t="s">
        <v>1746</v>
      </c>
      <c r="D1141" s="1"/>
      <c r="E1141" s="1"/>
      <c r="F1141" s="1">
        <v>118</v>
      </c>
      <c r="G1141" s="1">
        <v>124</v>
      </c>
      <c r="H1141" s="1" t="s">
        <v>1749</v>
      </c>
      <c r="I1141" s="1">
        <v>40</v>
      </c>
      <c r="J1141" s="1" t="s">
        <v>1866</v>
      </c>
      <c r="K1141" s="1">
        <v>6</v>
      </c>
      <c r="L1141" s="1">
        <f t="shared" si="17"/>
        <v>200</v>
      </c>
      <c r="M1141" s="1" t="s">
        <v>1741</v>
      </c>
      <c r="N1141" s="1"/>
      <c r="O1141" s="1" t="str">
        <f>IF($J1141=Sheet2!$A$2, ROW(), "")</f>
        <v/>
      </c>
      <c r="Q1141" s="23" t="s">
        <v>3122</v>
      </c>
    </row>
    <row r="1142" spans="1:17" ht="14" customHeight="1" x14ac:dyDescent="0.3">
      <c r="A1142" s="1" t="s">
        <v>1868</v>
      </c>
      <c r="B1142" s="1">
        <v>25</v>
      </c>
      <c r="C1142" s="1" t="s">
        <v>1796</v>
      </c>
      <c r="D1142" s="1"/>
      <c r="E1142" s="1"/>
      <c r="F1142" s="1">
        <v>101</v>
      </c>
      <c r="G1142" s="1">
        <v>118</v>
      </c>
      <c r="H1142" s="1" t="s">
        <v>1785</v>
      </c>
      <c r="I1142" s="1">
        <v>24</v>
      </c>
      <c r="J1142" s="1" t="s">
        <v>1973</v>
      </c>
      <c r="K1142" s="1">
        <v>6</v>
      </c>
      <c r="L1142" s="1">
        <f t="shared" si="17"/>
        <v>120</v>
      </c>
      <c r="M1142" s="1" t="s">
        <v>1741</v>
      </c>
      <c r="N1142" s="1"/>
      <c r="O1142" s="1" t="str">
        <f>IF($J1142=Sheet2!$A$2, ROW(), "")</f>
        <v/>
      </c>
      <c r="Q1142" s="23" t="s">
        <v>3123</v>
      </c>
    </row>
    <row r="1143" spans="1:17" ht="14" customHeight="1" x14ac:dyDescent="0.3">
      <c r="A1143" s="1" t="s">
        <v>1869</v>
      </c>
      <c r="B1143" s="1">
        <v>23</v>
      </c>
      <c r="C1143" s="1" t="s">
        <v>1870</v>
      </c>
      <c r="D1143" s="1"/>
      <c r="E1143" s="1"/>
      <c r="F1143" s="1">
        <v>118</v>
      </c>
      <c r="G1143" s="1">
        <v>144</v>
      </c>
      <c r="H1143" s="1" t="s">
        <v>1747</v>
      </c>
      <c r="I1143" s="1">
        <v>120</v>
      </c>
      <c r="J1143" s="1" t="s">
        <v>1973</v>
      </c>
      <c r="K1143" s="1">
        <v>6</v>
      </c>
      <c r="L1143" s="1">
        <f t="shared" si="17"/>
        <v>600</v>
      </c>
      <c r="M1143" s="1" t="s">
        <v>1741</v>
      </c>
      <c r="N1143" s="1"/>
      <c r="O1143" s="1" t="str">
        <f>IF($J1143=Sheet2!$A$2, ROW(), "")</f>
        <v/>
      </c>
      <c r="Q1143" s="23" t="s">
        <v>3124</v>
      </c>
    </row>
    <row r="1144" spans="1:17" ht="14" customHeight="1" x14ac:dyDescent="0.3">
      <c r="A1144" s="1" t="s">
        <v>1871</v>
      </c>
      <c r="B1144" s="1">
        <v>33</v>
      </c>
      <c r="C1144" s="1" t="s">
        <v>1776</v>
      </c>
      <c r="D1144" s="1"/>
      <c r="E1144" s="1"/>
      <c r="F1144" s="1">
        <v>122</v>
      </c>
      <c r="G1144" s="1">
        <v>130</v>
      </c>
      <c r="H1144" s="1" t="s">
        <v>1872</v>
      </c>
      <c r="I1144" s="1">
        <v>100</v>
      </c>
      <c r="J1144" s="1" t="s">
        <v>1973</v>
      </c>
      <c r="K1144" s="1">
        <v>6</v>
      </c>
      <c r="L1144" s="1">
        <f t="shared" si="17"/>
        <v>500</v>
      </c>
      <c r="M1144" s="1" t="s">
        <v>1741</v>
      </c>
      <c r="N1144" s="1"/>
      <c r="O1144" s="1" t="str">
        <f>IF($J1144=Sheet2!$A$2, ROW(), "")</f>
        <v/>
      </c>
      <c r="Q1144" s="23" t="s">
        <v>3125</v>
      </c>
    </row>
    <row r="1145" spans="1:17" ht="14" customHeight="1" x14ac:dyDescent="0.3">
      <c r="A1145" s="1" t="s">
        <v>1873</v>
      </c>
      <c r="B1145" s="1">
        <v>25</v>
      </c>
      <c r="C1145" s="1" t="s">
        <v>1874</v>
      </c>
      <c r="D1145" s="1"/>
      <c r="E1145" s="1"/>
      <c r="F1145" s="1">
        <v>118</v>
      </c>
      <c r="G1145" s="1">
        <v>136</v>
      </c>
      <c r="H1145" s="1" t="s">
        <v>1875</v>
      </c>
      <c r="I1145" s="1">
        <v>80</v>
      </c>
      <c r="J1145" s="1" t="s">
        <v>1973</v>
      </c>
      <c r="K1145" s="1">
        <v>6</v>
      </c>
      <c r="L1145" s="1">
        <f t="shared" si="17"/>
        <v>400</v>
      </c>
      <c r="M1145" s="1" t="s">
        <v>1741</v>
      </c>
      <c r="N1145" s="1"/>
      <c r="O1145" s="1" t="str">
        <f>IF($J1145=Sheet2!$A$2, ROW(), "")</f>
        <v/>
      </c>
      <c r="Q1145" s="23" t="s">
        <v>3126</v>
      </c>
    </row>
    <row r="1146" spans="1:17" ht="14" customHeight="1" x14ac:dyDescent="0.3">
      <c r="A1146" s="1" t="s">
        <v>1876</v>
      </c>
      <c r="B1146" s="1">
        <v>22</v>
      </c>
      <c r="C1146" s="1" t="s">
        <v>1877</v>
      </c>
      <c r="D1146" s="1"/>
      <c r="E1146" s="1"/>
      <c r="F1146" s="1">
        <v>106</v>
      </c>
      <c r="G1146" s="1">
        <v>130</v>
      </c>
      <c r="H1146" s="1" t="s">
        <v>1749</v>
      </c>
      <c r="I1146" s="1">
        <v>55</v>
      </c>
      <c r="J1146" s="1" t="s">
        <v>1973</v>
      </c>
      <c r="K1146" s="1">
        <v>6</v>
      </c>
      <c r="L1146" s="1">
        <f t="shared" si="17"/>
        <v>275</v>
      </c>
      <c r="M1146" s="1" t="s">
        <v>1741</v>
      </c>
      <c r="N1146" s="1"/>
      <c r="O1146" s="1" t="str">
        <f>IF($J1146=Sheet2!$A$2, ROW(), "")</f>
        <v/>
      </c>
      <c r="Q1146" s="23" t="s">
        <v>3127</v>
      </c>
    </row>
    <row r="1147" spans="1:17" ht="14" customHeight="1" x14ac:dyDescent="0.3">
      <c r="A1147" s="1" t="s">
        <v>1878</v>
      </c>
      <c r="B1147" s="1">
        <v>29</v>
      </c>
      <c r="C1147" s="1" t="s">
        <v>1746</v>
      </c>
      <c r="D1147" s="1"/>
      <c r="E1147" s="1"/>
      <c r="F1147" s="1">
        <v>115</v>
      </c>
      <c r="G1147" s="1">
        <v>115</v>
      </c>
      <c r="H1147" s="1" t="s">
        <v>1785</v>
      </c>
      <c r="I1147" s="1">
        <v>40</v>
      </c>
      <c r="J1147" s="1" t="s">
        <v>1866</v>
      </c>
      <c r="K1147" s="1">
        <v>5</v>
      </c>
      <c r="L1147" s="1">
        <f t="shared" si="17"/>
        <v>200</v>
      </c>
      <c r="M1147" s="1" t="s">
        <v>1741</v>
      </c>
      <c r="N1147" s="1"/>
      <c r="O1147" s="1" t="str">
        <f>IF($J1147=Sheet2!$A$2, ROW(), "")</f>
        <v/>
      </c>
      <c r="Q1147" s="23" t="s">
        <v>3128</v>
      </c>
    </row>
    <row r="1148" spans="1:17" ht="14" customHeight="1" x14ac:dyDescent="0.3">
      <c r="A1148" s="1" t="s">
        <v>1879</v>
      </c>
      <c r="B1148" s="1">
        <v>22</v>
      </c>
      <c r="C1148" s="1" t="s">
        <v>1880</v>
      </c>
      <c r="D1148" s="1"/>
      <c r="E1148" s="1"/>
      <c r="F1148" s="1">
        <v>108</v>
      </c>
      <c r="G1148" s="1">
        <v>124</v>
      </c>
      <c r="H1148" s="1" t="s">
        <v>1744</v>
      </c>
      <c r="I1148" s="1">
        <v>40</v>
      </c>
      <c r="J1148" s="1" t="s">
        <v>1973</v>
      </c>
      <c r="K1148" s="1">
        <v>6</v>
      </c>
      <c r="L1148" s="1">
        <f t="shared" si="17"/>
        <v>200</v>
      </c>
      <c r="M1148" s="1" t="s">
        <v>1741</v>
      </c>
      <c r="N1148" s="1"/>
      <c r="O1148" s="1" t="str">
        <f>IF($J1148=Sheet2!$A$2, ROW(), "")</f>
        <v/>
      </c>
      <c r="Q1148" s="23" t="s">
        <v>3129</v>
      </c>
    </row>
    <row r="1149" spans="1:17" ht="14" customHeight="1" x14ac:dyDescent="0.3">
      <c r="A1149" s="1" t="s">
        <v>1881</v>
      </c>
      <c r="B1149" s="1">
        <v>27</v>
      </c>
      <c r="C1149" s="1" t="s">
        <v>1882</v>
      </c>
      <c r="D1149" s="1"/>
      <c r="E1149" s="1"/>
      <c r="F1149" s="1">
        <v>114</v>
      </c>
      <c r="G1149" s="1">
        <v>130</v>
      </c>
      <c r="H1149" s="1" t="s">
        <v>1787</v>
      </c>
      <c r="I1149" s="1">
        <v>70</v>
      </c>
      <c r="J1149" s="1" t="s">
        <v>1973</v>
      </c>
      <c r="K1149" s="1">
        <v>6</v>
      </c>
      <c r="L1149" s="1">
        <f t="shared" si="17"/>
        <v>350</v>
      </c>
      <c r="M1149" s="1" t="s">
        <v>1741</v>
      </c>
      <c r="N1149" s="1"/>
      <c r="O1149" s="1" t="str">
        <f>IF($J1149=Sheet2!$A$2, ROW(), "")</f>
        <v/>
      </c>
      <c r="Q1149" s="23" t="s">
        <v>3130</v>
      </c>
    </row>
    <row r="1150" spans="1:17" ht="14" customHeight="1" x14ac:dyDescent="0.3">
      <c r="A1150" s="1" t="s">
        <v>1883</v>
      </c>
      <c r="B1150" s="1">
        <v>23</v>
      </c>
      <c r="C1150" s="1" t="s">
        <v>1746</v>
      </c>
      <c r="D1150" s="1"/>
      <c r="E1150" s="1"/>
      <c r="F1150" s="1">
        <v>116</v>
      </c>
      <c r="G1150" s="1">
        <v>130</v>
      </c>
      <c r="H1150" s="1" t="s">
        <v>1747</v>
      </c>
      <c r="I1150" s="1">
        <v>80</v>
      </c>
      <c r="J1150" s="1" t="s">
        <v>1973</v>
      </c>
      <c r="K1150" s="1">
        <v>6</v>
      </c>
      <c r="L1150" s="1">
        <f t="shared" si="17"/>
        <v>400</v>
      </c>
      <c r="M1150" s="1" t="s">
        <v>1741</v>
      </c>
      <c r="N1150" s="1"/>
      <c r="O1150" s="1" t="str">
        <f>IF($J1150=Sheet2!$A$2, ROW(), "")</f>
        <v/>
      </c>
      <c r="Q1150" s="23" t="s">
        <v>3131</v>
      </c>
    </row>
    <row r="1151" spans="1:17" ht="14" customHeight="1" x14ac:dyDescent="0.3">
      <c r="A1151" s="1" t="s">
        <v>1884</v>
      </c>
      <c r="B1151" s="1">
        <v>25</v>
      </c>
      <c r="C1151" s="1" t="s">
        <v>1746</v>
      </c>
      <c r="D1151" s="1"/>
      <c r="E1151" s="1"/>
      <c r="F1151" s="1">
        <v>106</v>
      </c>
      <c r="G1151" s="1">
        <v>140</v>
      </c>
      <c r="H1151" s="1" t="s">
        <v>1785</v>
      </c>
      <c r="I1151" s="1">
        <v>80</v>
      </c>
      <c r="J1151" s="1" t="s">
        <v>1973</v>
      </c>
      <c r="K1151" s="1">
        <v>6</v>
      </c>
      <c r="L1151" s="1">
        <f t="shared" si="17"/>
        <v>400</v>
      </c>
      <c r="M1151" s="1" t="s">
        <v>1741</v>
      </c>
      <c r="N1151" s="1"/>
      <c r="O1151" s="1" t="str">
        <f>IF($J1151=Sheet2!$A$2, ROW(), "")</f>
        <v/>
      </c>
      <c r="Q1151" s="23" t="s">
        <v>3132</v>
      </c>
    </row>
    <row r="1152" spans="1:17" ht="14" customHeight="1" x14ac:dyDescent="0.3">
      <c r="A1152" s="1" t="s">
        <v>1885</v>
      </c>
      <c r="B1152" s="1">
        <v>30</v>
      </c>
      <c r="C1152" s="1" t="s">
        <v>1886</v>
      </c>
      <c r="D1152" s="1"/>
      <c r="E1152" s="1"/>
      <c r="F1152" s="1">
        <v>116</v>
      </c>
      <c r="G1152" s="1">
        <v>124</v>
      </c>
      <c r="H1152" s="1" t="s">
        <v>1887</v>
      </c>
      <c r="I1152" s="1">
        <v>60</v>
      </c>
      <c r="J1152" s="1" t="s">
        <v>1973</v>
      </c>
      <c r="K1152" s="1">
        <v>6</v>
      </c>
      <c r="L1152" s="1">
        <f t="shared" si="17"/>
        <v>300</v>
      </c>
      <c r="M1152" s="1" t="s">
        <v>1741</v>
      </c>
      <c r="N1152" s="1"/>
      <c r="O1152" s="1" t="str">
        <f>IF($J1152=Sheet2!$A$2, ROW(), "")</f>
        <v/>
      </c>
      <c r="Q1152" s="23" t="s">
        <v>3133</v>
      </c>
    </row>
    <row r="1153" spans="1:17" ht="14" customHeight="1" x14ac:dyDescent="0.3">
      <c r="A1153" s="1" t="s">
        <v>1889</v>
      </c>
      <c r="B1153" s="1">
        <v>25</v>
      </c>
      <c r="C1153" s="1" t="s">
        <v>1890</v>
      </c>
      <c r="D1153" s="1"/>
      <c r="E1153" s="1"/>
      <c r="F1153" s="1">
        <v>126</v>
      </c>
      <c r="G1153" s="1">
        <v>126</v>
      </c>
      <c r="H1153" s="1" t="s">
        <v>1769</v>
      </c>
      <c r="I1153" s="1">
        <v>70</v>
      </c>
      <c r="J1153" s="1" t="s">
        <v>1891</v>
      </c>
      <c r="K1153" s="1">
        <v>6</v>
      </c>
      <c r="L1153" s="1">
        <f t="shared" si="17"/>
        <v>350</v>
      </c>
      <c r="M1153" s="1" t="s">
        <v>1741</v>
      </c>
      <c r="N1153" s="1"/>
      <c r="O1153" s="1" t="str">
        <f>IF($J1153=Sheet2!$A$2, ROW(), "")</f>
        <v/>
      </c>
      <c r="Q1153" s="23" t="s">
        <v>3134</v>
      </c>
    </row>
    <row r="1154" spans="1:17" ht="14" customHeight="1" x14ac:dyDescent="0.3">
      <c r="A1154" s="1" t="s">
        <v>1893</v>
      </c>
      <c r="B1154" s="1">
        <v>26</v>
      </c>
      <c r="C1154" s="1" t="s">
        <v>1890</v>
      </c>
      <c r="D1154" s="1"/>
      <c r="E1154" s="1"/>
      <c r="F1154" s="1">
        <v>131</v>
      </c>
      <c r="G1154" s="1">
        <v>135</v>
      </c>
      <c r="H1154" s="1" t="s">
        <v>3328</v>
      </c>
      <c r="I1154" s="1">
        <v>90</v>
      </c>
      <c r="J1154" s="1" t="s">
        <v>1854</v>
      </c>
      <c r="K1154" s="1">
        <v>6</v>
      </c>
      <c r="L1154" s="1">
        <f t="shared" ref="L1154:L1217" si="18">I1154*5</f>
        <v>450</v>
      </c>
      <c r="M1154" s="1" t="s">
        <v>1741</v>
      </c>
      <c r="N1154" s="1"/>
      <c r="O1154" s="1" t="str">
        <f>IF($J1154=Sheet2!$A$2, ROW(), "")</f>
        <v/>
      </c>
      <c r="Q1154" s="23" t="s">
        <v>3135</v>
      </c>
    </row>
    <row r="1155" spans="1:17" ht="14" customHeight="1" x14ac:dyDescent="0.3">
      <c r="A1155" s="1" t="s">
        <v>1894</v>
      </c>
      <c r="B1155" s="1">
        <v>26</v>
      </c>
      <c r="C1155" s="1" t="s">
        <v>1895</v>
      </c>
      <c r="D1155" s="1"/>
      <c r="E1155" s="1"/>
      <c r="F1155" s="1">
        <v>128</v>
      </c>
      <c r="G1155" s="1">
        <v>133</v>
      </c>
      <c r="H1155" s="1" t="s">
        <v>1862</v>
      </c>
      <c r="I1155" s="1">
        <v>80</v>
      </c>
      <c r="J1155" s="1" t="s">
        <v>1736</v>
      </c>
      <c r="K1155" s="1">
        <v>6</v>
      </c>
      <c r="L1155" s="1">
        <f t="shared" si="18"/>
        <v>400</v>
      </c>
      <c r="M1155" s="1" t="s">
        <v>1741</v>
      </c>
      <c r="N1155" s="1"/>
      <c r="O1155" s="1" t="str">
        <f>IF($J1155=Sheet2!$A$2, ROW(), "")</f>
        <v/>
      </c>
      <c r="Q1155" s="23" t="s">
        <v>3136</v>
      </c>
    </row>
    <row r="1156" spans="1:17" ht="14" customHeight="1" x14ac:dyDescent="0.3">
      <c r="A1156" s="1" t="s">
        <v>1896</v>
      </c>
      <c r="B1156" s="1">
        <v>23</v>
      </c>
      <c r="C1156" s="1" t="s">
        <v>1897</v>
      </c>
      <c r="D1156" s="1"/>
      <c r="E1156" s="1"/>
      <c r="F1156" s="1">
        <v>114</v>
      </c>
      <c r="G1156" s="1">
        <v>128</v>
      </c>
      <c r="H1156" s="1" t="s">
        <v>1898</v>
      </c>
      <c r="I1156" s="1">
        <v>40</v>
      </c>
      <c r="J1156" s="1" t="s">
        <v>1891</v>
      </c>
      <c r="K1156" s="1">
        <v>6</v>
      </c>
      <c r="L1156" s="1">
        <f t="shared" si="18"/>
        <v>200</v>
      </c>
      <c r="M1156" s="1" t="s">
        <v>1741</v>
      </c>
      <c r="N1156" s="1"/>
      <c r="O1156" s="1" t="str">
        <f>IF($J1156=Sheet2!$A$2, ROW(), "")</f>
        <v/>
      </c>
      <c r="Q1156" s="23" t="s">
        <v>3137</v>
      </c>
    </row>
    <row r="1157" spans="1:17" ht="14" customHeight="1" x14ac:dyDescent="0.3">
      <c r="A1157" s="1" t="s">
        <v>1899</v>
      </c>
      <c r="B1157" s="1">
        <v>28</v>
      </c>
      <c r="C1157" s="1" t="s">
        <v>1865</v>
      </c>
      <c r="D1157" s="1"/>
      <c r="E1157" s="1"/>
      <c r="F1157" s="1">
        <v>118</v>
      </c>
      <c r="G1157" s="1">
        <v>124</v>
      </c>
      <c r="H1157" s="1" t="s">
        <v>1900</v>
      </c>
      <c r="I1157" s="1">
        <v>80</v>
      </c>
      <c r="J1157" s="1" t="s">
        <v>1780</v>
      </c>
      <c r="K1157" s="1">
        <v>6</v>
      </c>
      <c r="L1157" s="1">
        <f t="shared" si="18"/>
        <v>400</v>
      </c>
      <c r="M1157" s="1" t="s">
        <v>1741</v>
      </c>
      <c r="N1157" s="1"/>
      <c r="O1157" s="1" t="str">
        <f>IF($J1157=Sheet2!$A$2, ROW(), "")</f>
        <v/>
      </c>
      <c r="Q1157" s="23" t="s">
        <v>3138</v>
      </c>
    </row>
    <row r="1158" spans="1:17" ht="14" customHeight="1" x14ac:dyDescent="0.3">
      <c r="A1158" s="1" t="s">
        <v>1902</v>
      </c>
      <c r="B1158" s="1">
        <v>33</v>
      </c>
      <c r="C1158" s="1" t="s">
        <v>1903</v>
      </c>
      <c r="D1158" s="1"/>
      <c r="E1158" s="1"/>
      <c r="F1158" s="1">
        <v>120</v>
      </c>
      <c r="G1158" s="1">
        <v>132</v>
      </c>
      <c r="H1158" s="1" t="s">
        <v>1739</v>
      </c>
      <c r="I1158" s="1">
        <v>65</v>
      </c>
      <c r="J1158" s="1" t="s">
        <v>1783</v>
      </c>
      <c r="K1158" s="1">
        <v>5</v>
      </c>
      <c r="L1158" s="1">
        <f t="shared" si="18"/>
        <v>325</v>
      </c>
      <c r="M1158" s="1" t="s">
        <v>1825</v>
      </c>
      <c r="N1158" s="1"/>
      <c r="O1158" s="1" t="str">
        <f>IF($J1158=Sheet2!$A$2, ROW(), "")</f>
        <v/>
      </c>
      <c r="Q1158" s="23" t="s">
        <v>3139</v>
      </c>
    </row>
    <row r="1159" spans="1:17" ht="14" customHeight="1" x14ac:dyDescent="0.3">
      <c r="A1159" s="1" t="s">
        <v>1904</v>
      </c>
      <c r="B1159" s="1">
        <v>32</v>
      </c>
      <c r="C1159" s="1" t="s">
        <v>1905</v>
      </c>
      <c r="D1159" s="1"/>
      <c r="E1159" s="1"/>
      <c r="F1159" s="1">
        <v>122</v>
      </c>
      <c r="G1159" s="1">
        <v>136</v>
      </c>
      <c r="H1159" s="1" t="s">
        <v>1906</v>
      </c>
      <c r="I1159" s="1">
        <v>100</v>
      </c>
      <c r="J1159" s="1" t="s">
        <v>1783</v>
      </c>
      <c r="K1159" s="1">
        <v>6</v>
      </c>
      <c r="L1159" s="1">
        <f t="shared" si="18"/>
        <v>500</v>
      </c>
      <c r="M1159" s="1" t="s">
        <v>1741</v>
      </c>
      <c r="N1159" s="1"/>
      <c r="O1159" s="1" t="str">
        <f>IF($J1159=Sheet2!$A$2, ROW(), "")</f>
        <v/>
      </c>
      <c r="Q1159" s="23" t="s">
        <v>3140</v>
      </c>
    </row>
    <row r="1160" spans="1:17" ht="14" customHeight="1" x14ac:dyDescent="0.3">
      <c r="A1160" s="1" t="s">
        <v>1907</v>
      </c>
      <c r="B1160" s="1">
        <v>30</v>
      </c>
      <c r="C1160" s="1" t="s">
        <v>1890</v>
      </c>
      <c r="D1160" s="1"/>
      <c r="E1160" s="1"/>
      <c r="F1160" s="1">
        <v>122</v>
      </c>
      <c r="G1160" s="1">
        <v>122</v>
      </c>
      <c r="H1160" s="1" t="s">
        <v>1739</v>
      </c>
      <c r="I1160" s="1">
        <v>80</v>
      </c>
      <c r="J1160" s="1" t="s">
        <v>1783</v>
      </c>
      <c r="K1160" s="1">
        <v>6</v>
      </c>
      <c r="L1160" s="1">
        <f t="shared" si="18"/>
        <v>400</v>
      </c>
      <c r="M1160" s="1" t="s">
        <v>1825</v>
      </c>
      <c r="N1160" s="1"/>
      <c r="O1160" s="1" t="str">
        <f>IF($J1160=Sheet2!$A$2, ROW(), "")</f>
        <v/>
      </c>
      <c r="Q1160" s="23" t="s">
        <v>3141</v>
      </c>
    </row>
    <row r="1161" spans="1:17" ht="14" customHeight="1" x14ac:dyDescent="0.3">
      <c r="A1161" s="1" t="s">
        <v>1908</v>
      </c>
      <c r="B1161" s="1">
        <v>37</v>
      </c>
      <c r="C1161" s="1" t="s">
        <v>1909</v>
      </c>
      <c r="D1161" s="1"/>
      <c r="E1161" s="1"/>
      <c r="F1161" s="1">
        <v>118</v>
      </c>
      <c r="G1161" s="1">
        <v>136</v>
      </c>
      <c r="H1161" s="1" t="s">
        <v>1769</v>
      </c>
      <c r="I1161" s="1">
        <v>80</v>
      </c>
      <c r="J1161" s="1" t="s">
        <v>1780</v>
      </c>
      <c r="K1161" s="1">
        <v>5</v>
      </c>
      <c r="L1161" s="1">
        <f t="shared" si="18"/>
        <v>400</v>
      </c>
      <c r="M1161" s="1" t="s">
        <v>1825</v>
      </c>
      <c r="N1161" s="1"/>
      <c r="O1161" s="1" t="str">
        <f>IF($J1161=Sheet2!$A$2, ROW(), "")</f>
        <v/>
      </c>
      <c r="Q1161" s="23" t="s">
        <v>3142</v>
      </c>
    </row>
    <row r="1162" spans="1:17" ht="14" customHeight="1" x14ac:dyDescent="0.3">
      <c r="A1162" s="1" t="s">
        <v>1910</v>
      </c>
      <c r="B1162" s="1">
        <v>33</v>
      </c>
      <c r="C1162" s="1" t="s">
        <v>1911</v>
      </c>
      <c r="D1162" s="1"/>
      <c r="E1162" s="1"/>
      <c r="F1162" s="1">
        <v>122</v>
      </c>
      <c r="G1162" s="1">
        <v>143</v>
      </c>
      <c r="H1162" s="1" t="s">
        <v>1769</v>
      </c>
      <c r="I1162" s="1">
        <v>100</v>
      </c>
      <c r="J1162" s="1" t="s">
        <v>1774</v>
      </c>
      <c r="K1162" s="1">
        <v>6</v>
      </c>
      <c r="L1162" s="1">
        <f t="shared" si="18"/>
        <v>500</v>
      </c>
      <c r="M1162" s="1" t="s">
        <v>1741</v>
      </c>
      <c r="N1162" s="1"/>
      <c r="O1162" s="1" t="str">
        <f>IF($J1162=Sheet2!$A$2, ROW(), "")</f>
        <v/>
      </c>
      <c r="Q1162" s="23" t="s">
        <v>3143</v>
      </c>
    </row>
    <row r="1163" spans="1:17" ht="14" customHeight="1" x14ac:dyDescent="0.3">
      <c r="A1163" s="1" t="s">
        <v>1912</v>
      </c>
      <c r="B1163" s="1">
        <v>27</v>
      </c>
      <c r="C1163" s="1" t="s">
        <v>1886</v>
      </c>
      <c r="D1163" s="1"/>
      <c r="E1163" s="1"/>
      <c r="F1163" s="1">
        <v>109</v>
      </c>
      <c r="G1163" s="1">
        <v>121</v>
      </c>
      <c r="H1163" s="1" t="s">
        <v>1779</v>
      </c>
      <c r="I1163" s="1">
        <v>50</v>
      </c>
      <c r="J1163" s="1" t="s">
        <v>1973</v>
      </c>
      <c r="K1163" s="1">
        <v>6</v>
      </c>
      <c r="L1163" s="1">
        <f t="shared" si="18"/>
        <v>250</v>
      </c>
      <c r="M1163" s="1" t="s">
        <v>1741</v>
      </c>
      <c r="N1163" s="1"/>
      <c r="O1163" s="1" t="str">
        <f>IF($J1163=Sheet2!$A$2, ROW(), "")</f>
        <v/>
      </c>
      <c r="Q1163" s="23" t="s">
        <v>3144</v>
      </c>
    </row>
    <row r="1164" spans="1:17" ht="14" customHeight="1" x14ac:dyDescent="0.3">
      <c r="A1164" s="1" t="s">
        <v>1913</v>
      </c>
      <c r="B1164" s="1">
        <v>22</v>
      </c>
      <c r="C1164" s="1" t="s">
        <v>1796</v>
      </c>
      <c r="D1164" s="1"/>
      <c r="E1164" s="1"/>
      <c r="F1164" s="1">
        <v>91</v>
      </c>
      <c r="G1164" s="1">
        <v>124</v>
      </c>
      <c r="H1164" s="1" t="s">
        <v>1914</v>
      </c>
      <c r="I1164" s="1">
        <v>30</v>
      </c>
      <c r="J1164" s="1" t="s">
        <v>1973</v>
      </c>
      <c r="K1164" s="1">
        <v>6</v>
      </c>
      <c r="L1164" s="1">
        <f t="shared" si="18"/>
        <v>150</v>
      </c>
      <c r="M1164" s="1" t="s">
        <v>1741</v>
      </c>
      <c r="N1164" s="1"/>
      <c r="O1164" s="1" t="str">
        <f>IF($J1164=Sheet2!$A$2, ROW(), "")</f>
        <v/>
      </c>
      <c r="Q1164" s="23" t="s">
        <v>3145</v>
      </c>
    </row>
    <row r="1165" spans="1:17" ht="14" customHeight="1" x14ac:dyDescent="0.3">
      <c r="A1165" s="1" t="s">
        <v>1915</v>
      </c>
      <c r="B1165" s="1">
        <v>20</v>
      </c>
      <c r="C1165" s="1" t="s">
        <v>1796</v>
      </c>
      <c r="D1165" s="1"/>
      <c r="E1165" s="1"/>
      <c r="F1165" s="1">
        <v>95</v>
      </c>
      <c r="G1165" s="1">
        <v>129</v>
      </c>
      <c r="H1165" s="1" t="s">
        <v>1739</v>
      </c>
      <c r="I1165" s="1">
        <v>30</v>
      </c>
      <c r="J1165" s="1" t="s">
        <v>1973</v>
      </c>
      <c r="K1165" s="1">
        <v>7</v>
      </c>
      <c r="L1165" s="1">
        <f t="shared" si="18"/>
        <v>150</v>
      </c>
      <c r="M1165" s="1" t="s">
        <v>1741</v>
      </c>
      <c r="N1165" s="1"/>
      <c r="O1165" s="1" t="str">
        <f>IF($J1165=Sheet2!$A$2, ROW(), "")</f>
        <v/>
      </c>
      <c r="Q1165" s="23" t="s">
        <v>3146</v>
      </c>
    </row>
    <row r="1166" spans="1:17" ht="14" customHeight="1" x14ac:dyDescent="0.3">
      <c r="A1166" s="1" t="s">
        <v>1916</v>
      </c>
      <c r="B1166" s="1">
        <v>23</v>
      </c>
      <c r="C1166" s="1" t="s">
        <v>1796</v>
      </c>
      <c r="D1166" s="1"/>
      <c r="E1166" s="1"/>
      <c r="F1166" s="1">
        <v>98</v>
      </c>
      <c r="G1166" s="1">
        <v>126</v>
      </c>
      <c r="H1166" s="1" t="s">
        <v>1779</v>
      </c>
      <c r="I1166" s="1">
        <v>35</v>
      </c>
      <c r="J1166" s="1" t="s">
        <v>1973</v>
      </c>
      <c r="K1166" s="1">
        <v>6</v>
      </c>
      <c r="L1166" s="1">
        <f t="shared" si="18"/>
        <v>175</v>
      </c>
      <c r="M1166" s="1" t="s">
        <v>1741</v>
      </c>
      <c r="N1166" s="1"/>
      <c r="O1166" s="1" t="str">
        <f>IF($J1166=Sheet2!$A$2, ROW(), "")</f>
        <v/>
      </c>
      <c r="Q1166" s="23" t="s">
        <v>3147</v>
      </c>
    </row>
    <row r="1167" spans="1:17" ht="14" customHeight="1" x14ac:dyDescent="0.3">
      <c r="A1167" s="1" t="s">
        <v>1917</v>
      </c>
      <c r="B1167" s="1">
        <v>20</v>
      </c>
      <c r="C1167" s="1" t="s">
        <v>1796</v>
      </c>
      <c r="D1167" s="1"/>
      <c r="E1167" s="1"/>
      <c r="F1167" s="1">
        <v>100</v>
      </c>
      <c r="G1167" s="1">
        <v>129</v>
      </c>
      <c r="H1167" s="1" t="s">
        <v>1769</v>
      </c>
      <c r="I1167" s="1">
        <v>50</v>
      </c>
      <c r="J1167" s="1" t="s">
        <v>1973</v>
      </c>
      <c r="K1167" s="1">
        <v>6</v>
      </c>
      <c r="L1167" s="1">
        <f t="shared" si="18"/>
        <v>250</v>
      </c>
      <c r="M1167" s="1" t="s">
        <v>1741</v>
      </c>
      <c r="N1167" s="1"/>
      <c r="O1167" s="1" t="str">
        <f>IF($J1167=Sheet2!$A$2, ROW(), "")</f>
        <v/>
      </c>
      <c r="Q1167" s="23" t="s">
        <v>3148</v>
      </c>
    </row>
    <row r="1168" spans="1:17" ht="14" customHeight="1" x14ac:dyDescent="0.3">
      <c r="A1168" s="1" t="s">
        <v>1920</v>
      </c>
      <c r="B1168" s="1">
        <v>29</v>
      </c>
      <c r="C1168" s="1" t="s">
        <v>1768</v>
      </c>
      <c r="D1168" s="1"/>
      <c r="E1168" s="1"/>
      <c r="F1168" s="1">
        <v>122</v>
      </c>
      <c r="G1168" s="1">
        <v>150</v>
      </c>
      <c r="H1168" s="1" t="s">
        <v>1739</v>
      </c>
      <c r="I1168" s="1">
        <v>100</v>
      </c>
      <c r="J1168" s="1" t="s">
        <v>1805</v>
      </c>
      <c r="K1168" s="1">
        <v>6</v>
      </c>
      <c r="L1168" s="1">
        <f t="shared" si="18"/>
        <v>500</v>
      </c>
      <c r="M1168" s="1" t="s">
        <v>1741</v>
      </c>
      <c r="N1168" s="1"/>
      <c r="O1168" s="1" t="str">
        <f>IF($J1168=Sheet2!$A$2, ROW(), "")</f>
        <v/>
      </c>
      <c r="Q1168" s="23" t="s">
        <v>3149</v>
      </c>
    </row>
    <row r="1169" spans="1:17" ht="14" customHeight="1" x14ac:dyDescent="0.3">
      <c r="A1169" s="1" t="s">
        <v>1921</v>
      </c>
      <c r="B1169" s="1">
        <v>21</v>
      </c>
      <c r="C1169" s="1" t="s">
        <v>1861</v>
      </c>
      <c r="D1169" s="1"/>
      <c r="E1169" s="1"/>
      <c r="F1169" s="1">
        <v>126</v>
      </c>
      <c r="G1169" s="1">
        <v>150</v>
      </c>
      <c r="H1169" s="1" t="s">
        <v>1739</v>
      </c>
      <c r="I1169" s="1">
        <v>140</v>
      </c>
      <c r="J1169" s="1" t="s">
        <v>1919</v>
      </c>
      <c r="K1169" s="1">
        <v>6</v>
      </c>
      <c r="L1169" s="1">
        <f t="shared" si="18"/>
        <v>700</v>
      </c>
      <c r="M1169" s="1" t="s">
        <v>1741</v>
      </c>
      <c r="N1169" s="1"/>
      <c r="O1169" s="1" t="str">
        <f>IF($J1169=Sheet2!$A$2, ROW(), "")</f>
        <v/>
      </c>
      <c r="Q1169" s="23" t="s">
        <v>3150</v>
      </c>
    </row>
    <row r="1170" spans="1:17" ht="14" customHeight="1" x14ac:dyDescent="0.3">
      <c r="A1170" s="1" t="s">
        <v>1922</v>
      </c>
      <c r="B1170" s="1">
        <v>19</v>
      </c>
      <c r="C1170" s="1" t="s">
        <v>1923</v>
      </c>
      <c r="D1170" s="1"/>
      <c r="E1170" s="1"/>
      <c r="F1170" s="1">
        <v>128</v>
      </c>
      <c r="G1170" s="1">
        <v>160</v>
      </c>
      <c r="H1170" s="1" t="s">
        <v>1769</v>
      </c>
      <c r="I1170" s="1">
        <v>120</v>
      </c>
      <c r="J1170" s="1" t="s">
        <v>1924</v>
      </c>
      <c r="K1170" s="1">
        <v>8</v>
      </c>
      <c r="L1170" s="1">
        <f t="shared" si="18"/>
        <v>600</v>
      </c>
      <c r="M1170" s="1" t="s">
        <v>1741</v>
      </c>
      <c r="N1170" s="1"/>
      <c r="O1170" s="1" t="str">
        <f>IF($J1170=Sheet2!$A$2, ROW(), "")</f>
        <v/>
      </c>
      <c r="Q1170" s="23" t="s">
        <v>3151</v>
      </c>
    </row>
    <row r="1171" spans="1:17" ht="14" customHeight="1" x14ac:dyDescent="0.3">
      <c r="A1171" s="1" t="s">
        <v>1925</v>
      </c>
      <c r="B1171" s="1">
        <v>21</v>
      </c>
      <c r="C1171" s="1" t="s">
        <v>1926</v>
      </c>
      <c r="D1171" s="1"/>
      <c r="E1171" s="1"/>
      <c r="F1171" s="1">
        <v>132</v>
      </c>
      <c r="G1171" s="1">
        <v>160</v>
      </c>
      <c r="H1171" s="1" t="s">
        <v>1824</v>
      </c>
      <c r="I1171" s="1">
        <v>130</v>
      </c>
      <c r="J1171" s="1" t="s">
        <v>1866</v>
      </c>
      <c r="K1171" s="1">
        <v>6</v>
      </c>
      <c r="L1171" s="1">
        <f t="shared" si="18"/>
        <v>650</v>
      </c>
      <c r="M1171" s="1" t="s">
        <v>1741</v>
      </c>
      <c r="N1171" s="1"/>
      <c r="O1171" s="1" t="str">
        <f>IF($J1171=Sheet2!$A$2, ROW(), "")</f>
        <v/>
      </c>
      <c r="Q1171" s="23" t="s">
        <v>3152</v>
      </c>
    </row>
    <row r="1172" spans="1:17" ht="14" customHeight="1" x14ac:dyDescent="0.3">
      <c r="A1172" s="1" t="s">
        <v>1929</v>
      </c>
      <c r="B1172" s="1">
        <v>31</v>
      </c>
      <c r="C1172" s="1" t="s">
        <v>1861</v>
      </c>
      <c r="D1172" s="1"/>
      <c r="E1172" s="1"/>
      <c r="F1172" s="1">
        <v>121</v>
      </c>
      <c r="G1172" s="1">
        <v>154</v>
      </c>
      <c r="H1172" s="1" t="s">
        <v>1739</v>
      </c>
      <c r="I1172" s="1">
        <v>170</v>
      </c>
      <c r="J1172" s="1" t="s">
        <v>1919</v>
      </c>
      <c r="K1172" s="1">
        <v>6</v>
      </c>
      <c r="L1172" s="1">
        <f t="shared" si="18"/>
        <v>850</v>
      </c>
      <c r="M1172" s="1" t="s">
        <v>1741</v>
      </c>
      <c r="N1172" s="1"/>
      <c r="O1172" s="1" t="str">
        <f>IF($J1172=Sheet2!$A$2, ROW(), "")</f>
        <v/>
      </c>
      <c r="Q1172" s="23" t="s">
        <v>3153</v>
      </c>
    </row>
    <row r="1173" spans="1:17" ht="14" customHeight="1" x14ac:dyDescent="0.3">
      <c r="A1173" s="1" t="s">
        <v>1930</v>
      </c>
      <c r="B1173" s="1">
        <v>33</v>
      </c>
      <c r="C1173" s="1" t="s">
        <v>1890</v>
      </c>
      <c r="D1173" s="1"/>
      <c r="E1173" s="1"/>
      <c r="F1173" s="1">
        <v>120</v>
      </c>
      <c r="G1173" s="1">
        <v>132</v>
      </c>
      <c r="H1173" s="1" t="s">
        <v>1931</v>
      </c>
      <c r="I1173" s="1">
        <v>120</v>
      </c>
      <c r="J1173" s="1" t="s">
        <v>1919</v>
      </c>
      <c r="K1173" s="1">
        <v>6</v>
      </c>
      <c r="L1173" s="1">
        <f t="shared" si="18"/>
        <v>600</v>
      </c>
      <c r="M1173" s="1" t="s">
        <v>1741</v>
      </c>
      <c r="N1173" s="1"/>
      <c r="O1173" s="1" t="str">
        <f>IF($J1173=Sheet2!$A$2, ROW(), "")</f>
        <v/>
      </c>
      <c r="Q1173" s="23" t="s">
        <v>3154</v>
      </c>
    </row>
    <row r="1174" spans="1:17" ht="14" customHeight="1" x14ac:dyDescent="0.3">
      <c r="A1174" s="1" t="s">
        <v>1933</v>
      </c>
      <c r="B1174" s="1">
        <v>33</v>
      </c>
      <c r="C1174" s="1" t="s">
        <v>1934</v>
      </c>
      <c r="D1174" s="1"/>
      <c r="E1174" s="1"/>
      <c r="F1174" s="1">
        <v>122</v>
      </c>
      <c r="G1174" s="1">
        <v>134</v>
      </c>
      <c r="H1174" s="1" t="s">
        <v>1887</v>
      </c>
      <c r="I1174" s="1">
        <v>160</v>
      </c>
      <c r="J1174" s="1" t="s">
        <v>1973</v>
      </c>
      <c r="K1174" s="1">
        <v>6</v>
      </c>
      <c r="L1174" s="1">
        <f t="shared" si="18"/>
        <v>800</v>
      </c>
      <c r="M1174" s="1" t="s">
        <v>1741</v>
      </c>
      <c r="N1174" s="1"/>
      <c r="O1174" s="1" t="str">
        <f>IF($J1174=Sheet2!$A$2, ROW(), "")</f>
        <v/>
      </c>
      <c r="Q1174" s="23" t="s">
        <v>3155</v>
      </c>
    </row>
    <row r="1175" spans="1:17" ht="14" customHeight="1" x14ac:dyDescent="0.3">
      <c r="A1175" s="1" t="s">
        <v>1935</v>
      </c>
      <c r="B1175" s="1">
        <v>28</v>
      </c>
      <c r="C1175" s="1" t="s">
        <v>1890</v>
      </c>
      <c r="D1175" s="1"/>
      <c r="E1175" s="1"/>
      <c r="F1175" s="1">
        <v>122</v>
      </c>
      <c r="G1175" s="1">
        <v>134</v>
      </c>
      <c r="H1175" s="1" t="s">
        <v>1785</v>
      </c>
      <c r="I1175" s="1">
        <v>120</v>
      </c>
      <c r="J1175" s="1" t="s">
        <v>1973</v>
      </c>
      <c r="K1175" s="1">
        <v>6</v>
      </c>
      <c r="L1175" s="1">
        <f t="shared" si="18"/>
        <v>600</v>
      </c>
      <c r="M1175" s="1" t="s">
        <v>1741</v>
      </c>
      <c r="N1175" s="1"/>
      <c r="O1175" s="1" t="str">
        <f>IF($J1175=Sheet2!$A$2, ROW(), "")</f>
        <v/>
      </c>
      <c r="Q1175" s="23" t="s">
        <v>3156</v>
      </c>
    </row>
    <row r="1176" spans="1:17" ht="14" customHeight="1" x14ac:dyDescent="0.3">
      <c r="A1176" s="1" t="s">
        <v>1936</v>
      </c>
      <c r="B1176" s="1">
        <v>30</v>
      </c>
      <c r="C1176" s="1" t="s">
        <v>1746</v>
      </c>
      <c r="D1176" s="1"/>
      <c r="E1176" s="1"/>
      <c r="F1176" s="1">
        <v>120</v>
      </c>
      <c r="G1176" s="1">
        <v>120</v>
      </c>
      <c r="H1176" s="1" t="s">
        <v>1937</v>
      </c>
      <c r="I1176" s="1">
        <v>40</v>
      </c>
      <c r="J1176" s="1" t="s">
        <v>1721</v>
      </c>
      <c r="K1176" s="1">
        <v>5</v>
      </c>
      <c r="L1176" s="1">
        <f t="shared" si="18"/>
        <v>200</v>
      </c>
      <c r="M1176" s="1" t="s">
        <v>1741</v>
      </c>
      <c r="N1176" s="1"/>
      <c r="O1176" s="1" t="str">
        <f>IF($J1176=Sheet2!$A$2, ROW(), "")</f>
        <v/>
      </c>
      <c r="Q1176" s="23" t="s">
        <v>3157</v>
      </c>
    </row>
    <row r="1177" spans="1:17" ht="14" customHeight="1" x14ac:dyDescent="0.3">
      <c r="A1177" s="1" t="s">
        <v>1938</v>
      </c>
      <c r="B1177" s="1">
        <v>21</v>
      </c>
      <c r="C1177" s="1" t="s">
        <v>1738</v>
      </c>
      <c r="D1177" s="1"/>
      <c r="E1177" s="1"/>
      <c r="F1177" s="1">
        <v>123</v>
      </c>
      <c r="G1177" s="1">
        <v>150</v>
      </c>
      <c r="H1177" s="1" t="s">
        <v>1769</v>
      </c>
      <c r="I1177" s="1">
        <v>120</v>
      </c>
      <c r="J1177" s="1" t="s">
        <v>1924</v>
      </c>
      <c r="K1177" s="1">
        <v>8</v>
      </c>
      <c r="L1177" s="1">
        <f t="shared" si="18"/>
        <v>600</v>
      </c>
      <c r="M1177" s="1" t="s">
        <v>1741</v>
      </c>
      <c r="N1177" s="1"/>
      <c r="O1177" s="1" t="str">
        <f>IF($J1177=Sheet2!$A$2, ROW(), "")</f>
        <v/>
      </c>
      <c r="Q1177" s="23" t="s">
        <v>3158</v>
      </c>
    </row>
    <row r="1178" spans="1:17" ht="14" customHeight="1" x14ac:dyDescent="0.3">
      <c r="A1178" s="1" t="s">
        <v>1940</v>
      </c>
      <c r="B1178" s="1">
        <v>23</v>
      </c>
      <c r="C1178" s="1" t="s">
        <v>1941</v>
      </c>
      <c r="D1178" s="1"/>
      <c r="E1178" s="1"/>
      <c r="F1178" s="1">
        <v>132</v>
      </c>
      <c r="G1178" s="1">
        <v>142</v>
      </c>
      <c r="H1178" s="1" t="s">
        <v>1942</v>
      </c>
      <c r="I1178" s="1">
        <v>120</v>
      </c>
      <c r="J1178" s="1" t="s">
        <v>1866</v>
      </c>
      <c r="K1178" s="1">
        <v>6</v>
      </c>
      <c r="L1178" s="1">
        <f t="shared" si="18"/>
        <v>600</v>
      </c>
      <c r="M1178" s="1" t="s">
        <v>1741</v>
      </c>
      <c r="N1178" s="1"/>
      <c r="O1178" s="1" t="str">
        <f>IF($J1178=Sheet2!$A$2, ROW(), "")</f>
        <v/>
      </c>
      <c r="Q1178" s="23" t="s">
        <v>3159</v>
      </c>
    </row>
    <row r="1179" spans="1:17" ht="14" customHeight="1" x14ac:dyDescent="0.3">
      <c r="A1179" s="1" t="s">
        <v>1943</v>
      </c>
      <c r="B1179" s="1">
        <v>19</v>
      </c>
      <c r="C1179" s="1" t="s">
        <v>1944</v>
      </c>
      <c r="D1179" s="1"/>
      <c r="E1179" s="1"/>
      <c r="F1179" s="1">
        <v>105</v>
      </c>
      <c r="G1179" s="1">
        <v>150</v>
      </c>
      <c r="H1179" s="1" t="s">
        <v>1785</v>
      </c>
      <c r="I1179" s="1">
        <v>24</v>
      </c>
      <c r="J1179" s="1" t="s">
        <v>1924</v>
      </c>
      <c r="K1179" s="1">
        <v>9</v>
      </c>
      <c r="L1179" s="1">
        <f t="shared" si="18"/>
        <v>120</v>
      </c>
      <c r="M1179" s="1" t="s">
        <v>1741</v>
      </c>
      <c r="N1179" s="1"/>
      <c r="O1179" s="1" t="str">
        <f>IF($J1179=Sheet2!$A$2, ROW(), "")</f>
        <v/>
      </c>
      <c r="Q1179" s="23" t="s">
        <v>3160</v>
      </c>
    </row>
    <row r="1180" spans="1:17" ht="14" customHeight="1" x14ac:dyDescent="0.3">
      <c r="A1180" s="1" t="s">
        <v>1945</v>
      </c>
      <c r="B1180" s="1">
        <v>22</v>
      </c>
      <c r="C1180" s="1" t="s">
        <v>1946</v>
      </c>
      <c r="D1180" s="1"/>
      <c r="E1180" s="1"/>
      <c r="F1180" s="1">
        <v>127</v>
      </c>
      <c r="G1180" s="1">
        <v>149</v>
      </c>
      <c r="H1180" s="1" t="s">
        <v>1769</v>
      </c>
      <c r="I1180" s="1">
        <v>130</v>
      </c>
      <c r="J1180" s="1" t="s">
        <v>1841</v>
      </c>
      <c r="K1180" s="1">
        <v>6</v>
      </c>
      <c r="L1180" s="1">
        <f t="shared" si="18"/>
        <v>650</v>
      </c>
      <c r="M1180" s="1" t="s">
        <v>1741</v>
      </c>
      <c r="N1180" s="1"/>
      <c r="O1180" s="1" t="str">
        <f>IF($J1180=Sheet2!$A$2, ROW(), "")</f>
        <v/>
      </c>
      <c r="Q1180" s="23" t="s">
        <v>3161</v>
      </c>
    </row>
    <row r="1181" spans="1:17" ht="14" customHeight="1" x14ac:dyDescent="0.3">
      <c r="A1181" s="1" t="s">
        <v>1947</v>
      </c>
      <c r="B1181" s="1">
        <v>21</v>
      </c>
      <c r="C1181" s="1" t="s">
        <v>1911</v>
      </c>
      <c r="D1181" s="1"/>
      <c r="E1181" s="1"/>
      <c r="F1181" s="1">
        <v>127</v>
      </c>
      <c r="G1181" s="1">
        <v>150</v>
      </c>
      <c r="H1181" s="1" t="s">
        <v>1838</v>
      </c>
      <c r="I1181" s="1">
        <v>100</v>
      </c>
      <c r="J1181" s="1" t="s">
        <v>1948</v>
      </c>
      <c r="K1181" s="1">
        <v>6</v>
      </c>
      <c r="L1181" s="1">
        <f t="shared" si="18"/>
        <v>500</v>
      </c>
      <c r="M1181" s="1" t="s">
        <v>1741</v>
      </c>
      <c r="N1181" s="1"/>
      <c r="O1181" s="1" t="str">
        <f>IF($J1181=Sheet2!$A$2, ROW(), "")</f>
        <v/>
      </c>
      <c r="Q1181" s="23" t="s">
        <v>3162</v>
      </c>
    </row>
    <row r="1182" spans="1:17" ht="14" customHeight="1" x14ac:dyDescent="0.3">
      <c r="A1182" s="1" t="s">
        <v>1949</v>
      </c>
      <c r="B1182" s="1">
        <v>25</v>
      </c>
      <c r="C1182" s="1" t="s">
        <v>1743</v>
      </c>
      <c r="D1182" s="1"/>
      <c r="E1182" s="1"/>
      <c r="F1182" s="1">
        <v>125</v>
      </c>
      <c r="G1182" s="1">
        <v>136</v>
      </c>
      <c r="H1182" s="1" t="s">
        <v>1950</v>
      </c>
      <c r="I1182" s="1">
        <v>30</v>
      </c>
      <c r="J1182" s="1" t="s">
        <v>1948</v>
      </c>
      <c r="K1182" s="1">
        <v>6</v>
      </c>
      <c r="L1182" s="1">
        <f t="shared" si="18"/>
        <v>150</v>
      </c>
      <c r="M1182" s="1" t="s">
        <v>1741</v>
      </c>
      <c r="N1182" s="1"/>
      <c r="O1182" s="1" t="str">
        <f>IF($J1182=Sheet2!$A$2, ROW(), "")</f>
        <v/>
      </c>
      <c r="Q1182" s="23" t="s">
        <v>3163</v>
      </c>
    </row>
    <row r="1183" spans="1:17" ht="14" customHeight="1" x14ac:dyDescent="0.3">
      <c r="A1183" s="1" t="s">
        <v>1952</v>
      </c>
      <c r="B1183" s="1">
        <v>22</v>
      </c>
      <c r="C1183" s="1" t="s">
        <v>1953</v>
      </c>
      <c r="D1183" s="1"/>
      <c r="E1183" s="1"/>
      <c r="F1183" s="1">
        <v>125</v>
      </c>
      <c r="G1183" s="1">
        <v>140</v>
      </c>
      <c r="H1183" s="1" t="s">
        <v>1872</v>
      </c>
      <c r="I1183" s="1">
        <v>90</v>
      </c>
      <c r="J1183" s="1" t="s">
        <v>1977</v>
      </c>
      <c r="K1183" s="1">
        <v>6</v>
      </c>
      <c r="L1183" s="1">
        <f t="shared" si="18"/>
        <v>450</v>
      </c>
      <c r="M1183" s="1" t="s">
        <v>1741</v>
      </c>
      <c r="N1183" s="1"/>
      <c r="O1183" s="1" t="str">
        <f>IF($J1183=Sheet2!$A$2, ROW(), "")</f>
        <v/>
      </c>
      <c r="Q1183" s="23" t="s">
        <v>3164</v>
      </c>
    </row>
    <row r="1184" spans="1:17" ht="14" customHeight="1" x14ac:dyDescent="0.3">
      <c r="A1184" s="1" t="s">
        <v>1955</v>
      </c>
      <c r="B1184" s="1">
        <v>19</v>
      </c>
      <c r="C1184" s="1" t="s">
        <v>1877</v>
      </c>
      <c r="D1184" s="1"/>
      <c r="E1184" s="1"/>
      <c r="F1184" s="1">
        <v>118</v>
      </c>
      <c r="G1184" s="1">
        <v>160</v>
      </c>
      <c r="H1184" s="1" t="s">
        <v>1749</v>
      </c>
      <c r="I1184" s="1">
        <v>40</v>
      </c>
      <c r="J1184" s="1" t="s">
        <v>1977</v>
      </c>
      <c r="K1184" s="1">
        <v>6</v>
      </c>
      <c r="L1184" s="1">
        <f t="shared" si="18"/>
        <v>200</v>
      </c>
      <c r="M1184" s="1" t="s">
        <v>1741</v>
      </c>
      <c r="N1184" s="1"/>
      <c r="O1184" s="1" t="str">
        <f>IF($J1184=Sheet2!$A$2, ROW(), "")</f>
        <v/>
      </c>
      <c r="Q1184" s="23" t="s">
        <v>3165</v>
      </c>
    </row>
    <row r="1185" spans="1:17" ht="14" customHeight="1" x14ac:dyDescent="0.3">
      <c r="A1185" s="1" t="s">
        <v>1956</v>
      </c>
      <c r="B1185" s="1">
        <v>25</v>
      </c>
      <c r="C1185" s="1" t="s">
        <v>1957</v>
      </c>
      <c r="D1185" s="1"/>
      <c r="E1185" s="1"/>
      <c r="F1185" s="1">
        <v>125</v>
      </c>
      <c r="G1185" s="1">
        <v>125</v>
      </c>
      <c r="H1185" s="1" t="s">
        <v>1958</v>
      </c>
      <c r="I1185" s="1">
        <v>60</v>
      </c>
      <c r="J1185" s="1" t="s">
        <v>1977</v>
      </c>
      <c r="K1185" s="1">
        <v>6</v>
      </c>
      <c r="L1185" s="1">
        <f t="shared" si="18"/>
        <v>300</v>
      </c>
      <c r="M1185" s="1" t="s">
        <v>1741</v>
      </c>
      <c r="N1185" s="1"/>
      <c r="O1185" s="1" t="str">
        <f>IF($J1185=Sheet2!$A$2, ROW(), "")</f>
        <v/>
      </c>
      <c r="Q1185" s="23" t="s">
        <v>3166</v>
      </c>
    </row>
    <row r="1186" spans="1:17" ht="14" customHeight="1" x14ac:dyDescent="0.3">
      <c r="A1186" s="1" t="s">
        <v>1959</v>
      </c>
      <c r="B1186" s="1">
        <v>22</v>
      </c>
      <c r="C1186" s="1" t="s">
        <v>1960</v>
      </c>
      <c r="D1186" s="1"/>
      <c r="E1186" s="1"/>
      <c r="F1186" s="1">
        <v>126</v>
      </c>
      <c r="G1186" s="1">
        <v>155</v>
      </c>
      <c r="H1186" s="1" t="s">
        <v>1785</v>
      </c>
      <c r="I1186" s="1">
        <v>100</v>
      </c>
      <c r="J1186" s="1" t="s">
        <v>1977</v>
      </c>
      <c r="K1186" s="1">
        <v>6</v>
      </c>
      <c r="L1186" s="1">
        <f t="shared" si="18"/>
        <v>500</v>
      </c>
      <c r="M1186" s="1" t="s">
        <v>1741</v>
      </c>
      <c r="N1186" s="1"/>
      <c r="O1186" s="1" t="str">
        <f>IF($J1186=Sheet2!$A$2, ROW(), "")</f>
        <v/>
      </c>
      <c r="Q1186" s="23" t="s">
        <v>3167</v>
      </c>
    </row>
    <row r="1187" spans="1:17" ht="14" customHeight="1" x14ac:dyDescent="0.3">
      <c r="A1187" s="1" t="s">
        <v>1961</v>
      </c>
      <c r="B1187" s="1">
        <v>31</v>
      </c>
      <c r="C1187" s="1" t="s">
        <v>1877</v>
      </c>
      <c r="D1187" s="1"/>
      <c r="E1187" s="1"/>
      <c r="F1187" s="1">
        <v>110</v>
      </c>
      <c r="G1187" s="1">
        <v>115</v>
      </c>
      <c r="H1187" s="1" t="s">
        <v>1769</v>
      </c>
      <c r="I1187" s="1">
        <v>50</v>
      </c>
      <c r="J1187" s="1" t="s">
        <v>1977</v>
      </c>
      <c r="K1187" s="1">
        <v>6</v>
      </c>
      <c r="L1187" s="1">
        <f t="shared" si="18"/>
        <v>250</v>
      </c>
      <c r="M1187" s="1" t="s">
        <v>1741</v>
      </c>
      <c r="N1187" s="1"/>
      <c r="O1187" s="1" t="str">
        <f>IF($J1187=Sheet2!$A$2, ROW(), "")</f>
        <v/>
      </c>
      <c r="Q1187" s="23" t="s">
        <v>3168</v>
      </c>
    </row>
    <row r="1188" spans="1:17" ht="14" customHeight="1" x14ac:dyDescent="0.3">
      <c r="A1188" s="1" t="s">
        <v>1962</v>
      </c>
      <c r="B1188" s="1">
        <v>20</v>
      </c>
      <c r="C1188" s="1" t="s">
        <v>1865</v>
      </c>
      <c r="D1188" s="1"/>
      <c r="E1188" s="1"/>
      <c r="F1188" s="1">
        <v>114</v>
      </c>
      <c r="G1188" s="1">
        <v>140</v>
      </c>
      <c r="H1188" s="1" t="s">
        <v>1749</v>
      </c>
      <c r="I1188" s="1">
        <v>50</v>
      </c>
      <c r="J1188" s="1" t="s">
        <v>1977</v>
      </c>
      <c r="K1188" s="1">
        <v>6</v>
      </c>
      <c r="L1188" s="1">
        <f t="shared" si="18"/>
        <v>250</v>
      </c>
      <c r="M1188" s="1" t="s">
        <v>1741</v>
      </c>
      <c r="N1188" s="1"/>
      <c r="O1188" s="1" t="str">
        <f>IF($J1188=Sheet2!$A$2, ROW(), "")</f>
        <v/>
      </c>
      <c r="Q1188" s="23" t="s">
        <v>3169</v>
      </c>
    </row>
    <row r="1189" spans="1:17" ht="14" customHeight="1" x14ac:dyDescent="0.3">
      <c r="A1189" s="1" t="s">
        <v>1963</v>
      </c>
      <c r="B1189" s="1">
        <v>18</v>
      </c>
      <c r="C1189" s="1" t="s">
        <v>1964</v>
      </c>
      <c r="D1189" s="1"/>
      <c r="E1189" s="1"/>
      <c r="F1189" s="1">
        <v>118</v>
      </c>
      <c r="G1189" s="1">
        <v>160</v>
      </c>
      <c r="H1189" s="1" t="s">
        <v>1965</v>
      </c>
      <c r="I1189" s="1">
        <v>90</v>
      </c>
      <c r="J1189" s="1" t="s">
        <v>1977</v>
      </c>
      <c r="K1189" s="1">
        <v>6</v>
      </c>
      <c r="L1189" s="1">
        <f t="shared" si="18"/>
        <v>450</v>
      </c>
      <c r="M1189" s="1" t="s">
        <v>1741</v>
      </c>
      <c r="N1189" s="1"/>
      <c r="O1189" s="1" t="str">
        <f>IF($J1189=Sheet2!$A$2, ROW(), "")</f>
        <v/>
      </c>
      <c r="Q1189" s="23" t="s">
        <v>3170</v>
      </c>
    </row>
    <row r="1190" spans="1:17" ht="14" customHeight="1" x14ac:dyDescent="0.3">
      <c r="A1190" s="1" t="s">
        <v>1966</v>
      </c>
      <c r="B1190" s="1">
        <v>28</v>
      </c>
      <c r="C1190" s="1" t="s">
        <v>1746</v>
      </c>
      <c r="D1190" s="1"/>
      <c r="E1190" s="1"/>
      <c r="F1190" s="1">
        <v>115</v>
      </c>
      <c r="G1190" s="1">
        <v>120</v>
      </c>
      <c r="H1190" s="1" t="s">
        <v>1769</v>
      </c>
      <c r="I1190" s="1">
        <v>40</v>
      </c>
      <c r="J1190" s="1" t="s">
        <v>1977</v>
      </c>
      <c r="K1190" s="1">
        <v>6</v>
      </c>
      <c r="L1190" s="1">
        <f t="shared" si="18"/>
        <v>200</v>
      </c>
      <c r="M1190" s="1" t="s">
        <v>1741</v>
      </c>
      <c r="N1190" s="1"/>
      <c r="O1190" s="1" t="str">
        <f>IF($J1190=Sheet2!$A$2, ROW(), "")</f>
        <v/>
      </c>
      <c r="Q1190" s="23" t="s">
        <v>3171</v>
      </c>
    </row>
    <row r="1191" spans="1:17" ht="14" customHeight="1" x14ac:dyDescent="0.3">
      <c r="A1191" s="1" t="s">
        <v>1967</v>
      </c>
      <c r="B1191" s="1">
        <v>17</v>
      </c>
      <c r="C1191" s="1" t="s">
        <v>1738</v>
      </c>
      <c r="D1191" s="1"/>
      <c r="E1191" s="1"/>
      <c r="F1191" s="1">
        <v>127</v>
      </c>
      <c r="G1191" s="1">
        <v>180</v>
      </c>
      <c r="H1191" s="1" t="s">
        <v>1769</v>
      </c>
      <c r="I1191" s="1">
        <v>180</v>
      </c>
      <c r="J1191" s="1" t="s">
        <v>1977</v>
      </c>
      <c r="K1191" s="1">
        <v>6</v>
      </c>
      <c r="L1191" s="1">
        <f t="shared" si="18"/>
        <v>900</v>
      </c>
      <c r="M1191" s="1" t="s">
        <v>1741</v>
      </c>
      <c r="N1191" s="1"/>
      <c r="O1191" s="1" t="str">
        <f>IF($J1191=Sheet2!$A$2, ROW(), "")</f>
        <v/>
      </c>
      <c r="Q1191" s="23" t="s">
        <v>3172</v>
      </c>
    </row>
    <row r="1192" spans="1:17" ht="14" customHeight="1" x14ac:dyDescent="0.3">
      <c r="A1192" s="1" t="s">
        <v>1968</v>
      </c>
      <c r="B1192" s="1">
        <v>25</v>
      </c>
      <c r="C1192" s="1" t="s">
        <v>1969</v>
      </c>
      <c r="D1192" s="1"/>
      <c r="E1192" s="1"/>
      <c r="F1192" s="1">
        <v>126</v>
      </c>
      <c r="G1192" s="1">
        <v>145</v>
      </c>
      <c r="H1192" s="1" t="s">
        <v>1970</v>
      </c>
      <c r="I1192" s="1">
        <v>100</v>
      </c>
      <c r="J1192" s="1" t="s">
        <v>1977</v>
      </c>
      <c r="K1192" s="1">
        <v>6</v>
      </c>
      <c r="L1192" s="1">
        <f t="shared" si="18"/>
        <v>500</v>
      </c>
      <c r="M1192" s="1" t="s">
        <v>1741</v>
      </c>
      <c r="N1192" s="1"/>
      <c r="O1192" s="1" t="str">
        <f>IF($J1192=Sheet2!$A$2, ROW(), "")</f>
        <v/>
      </c>
      <c r="Q1192" s="23" t="s">
        <v>3173</v>
      </c>
    </row>
    <row r="1193" spans="1:17" ht="14" customHeight="1" x14ac:dyDescent="0.3">
      <c r="A1193" s="1" t="s">
        <v>1971</v>
      </c>
      <c r="B1193" s="1">
        <v>19</v>
      </c>
      <c r="C1193" s="1" t="s">
        <v>1909</v>
      </c>
      <c r="D1193" s="1"/>
      <c r="E1193" s="1"/>
      <c r="F1193" s="1">
        <v>123</v>
      </c>
      <c r="G1193" s="1">
        <v>170</v>
      </c>
      <c r="H1193" s="1" t="s">
        <v>1972</v>
      </c>
      <c r="I1193" s="1">
        <v>120</v>
      </c>
      <c r="J1193" s="1" t="s">
        <v>1977</v>
      </c>
      <c r="K1193" s="1">
        <v>6</v>
      </c>
      <c r="L1193" s="1">
        <f t="shared" si="18"/>
        <v>600</v>
      </c>
      <c r="M1193" s="1" t="s">
        <v>1741</v>
      </c>
      <c r="N1193" s="1"/>
      <c r="O1193" s="1" t="str">
        <f>IF($J1193=Sheet2!$A$2, ROW(), "")</f>
        <v/>
      </c>
      <c r="Q1193" s="23" t="s">
        <v>3174</v>
      </c>
    </row>
    <row r="1194" spans="1:17" ht="14" customHeight="1" x14ac:dyDescent="0.3">
      <c r="A1194" s="1" t="s">
        <v>1976</v>
      </c>
      <c r="B1194" s="1">
        <v>17</v>
      </c>
      <c r="C1194" s="1" t="s">
        <v>1877</v>
      </c>
      <c r="D1194" s="1"/>
      <c r="E1194" s="1"/>
      <c r="F1194" s="1">
        <v>104</v>
      </c>
      <c r="G1194" s="1">
        <v>170</v>
      </c>
      <c r="H1194" s="1" t="s">
        <v>1739</v>
      </c>
      <c r="I1194" s="1">
        <v>120</v>
      </c>
      <c r="J1194" s="1" t="s">
        <v>1977</v>
      </c>
      <c r="K1194" s="1">
        <v>6</v>
      </c>
      <c r="L1194" s="1">
        <f t="shared" si="18"/>
        <v>600</v>
      </c>
      <c r="M1194" s="1" t="s">
        <v>1741</v>
      </c>
      <c r="N1194" s="1"/>
      <c r="O1194" s="1" t="str">
        <f>IF($J1194=Sheet2!$A$2, ROW(), "")</f>
        <v/>
      </c>
      <c r="Q1194" s="23" t="s">
        <v>3175</v>
      </c>
    </row>
    <row r="1195" spans="1:17" ht="14" customHeight="1" x14ac:dyDescent="0.3">
      <c r="A1195" s="1" t="s">
        <v>3182</v>
      </c>
      <c r="B1195" s="1">
        <v>23</v>
      </c>
      <c r="C1195" s="1" t="s">
        <v>3183</v>
      </c>
      <c r="D1195" s="1"/>
      <c r="E1195" s="1"/>
      <c r="F1195" s="1">
        <v>133</v>
      </c>
      <c r="G1195" s="1">
        <v>146</v>
      </c>
      <c r="H1195" s="1" t="s">
        <v>1739</v>
      </c>
      <c r="I1195" s="1">
        <v>80</v>
      </c>
      <c r="J1195" s="1" t="s">
        <v>1855</v>
      </c>
      <c r="K1195" s="1">
        <v>6</v>
      </c>
      <c r="L1195" s="1">
        <f t="shared" si="18"/>
        <v>400</v>
      </c>
      <c r="M1195" s="1" t="s">
        <v>1741</v>
      </c>
      <c r="N1195" s="1"/>
      <c r="O1195" s="1" t="str">
        <f>IF($J1195=Sheet2!$A$2, ROW(), "")</f>
        <v/>
      </c>
    </row>
    <row r="1196" spans="1:17" ht="14" customHeight="1" x14ac:dyDescent="0.3">
      <c r="A1196" s="1" t="s">
        <v>3230</v>
      </c>
      <c r="B1196" s="1">
        <v>19</v>
      </c>
      <c r="C1196" s="1" t="s">
        <v>1830</v>
      </c>
      <c r="D1196" s="1"/>
      <c r="E1196" s="1"/>
      <c r="F1196" s="1">
        <v>111</v>
      </c>
      <c r="G1196" s="1">
        <v>136</v>
      </c>
      <c r="H1196" s="1" t="s">
        <v>1749</v>
      </c>
      <c r="I1196" s="1">
        <v>24</v>
      </c>
      <c r="J1196" s="1" t="s">
        <v>3231</v>
      </c>
      <c r="K1196" s="1">
        <v>5</v>
      </c>
      <c r="L1196" s="1">
        <f t="shared" si="18"/>
        <v>120</v>
      </c>
      <c r="M1196" s="1" t="s">
        <v>1825</v>
      </c>
      <c r="N1196" s="1"/>
      <c r="O1196" s="1" t="str">
        <f>IF($J1196=Sheet2!$A$2, ROW(), "")</f>
        <v/>
      </c>
    </row>
    <row r="1197" spans="1:17" ht="14" customHeight="1" x14ac:dyDescent="0.3">
      <c r="A1197" s="1" t="s">
        <v>3232</v>
      </c>
      <c r="B1197" s="1">
        <v>20</v>
      </c>
      <c r="C1197" s="1" t="s">
        <v>1830</v>
      </c>
      <c r="D1197" s="1"/>
      <c r="E1197" s="1"/>
      <c r="F1197" s="1">
        <v>123</v>
      </c>
      <c r="G1197" s="1">
        <v>161</v>
      </c>
      <c r="H1197" s="1" t="s">
        <v>3233</v>
      </c>
      <c r="I1197" s="1">
        <v>24</v>
      </c>
      <c r="J1197" s="1" t="s">
        <v>1783</v>
      </c>
      <c r="K1197" s="1">
        <v>5</v>
      </c>
      <c r="L1197" s="1">
        <f t="shared" si="18"/>
        <v>120</v>
      </c>
      <c r="M1197" s="1" t="s">
        <v>1825</v>
      </c>
      <c r="N1197" s="1"/>
      <c r="O1197" s="1" t="str">
        <f>IF($J1197=Sheet2!$A$2, ROW(), "")</f>
        <v/>
      </c>
    </row>
    <row r="1198" spans="1:17" ht="14" customHeight="1" x14ac:dyDescent="0.3">
      <c r="A1198" s="1" t="s">
        <v>3234</v>
      </c>
      <c r="B1198" s="1">
        <v>20</v>
      </c>
      <c r="C1198" s="1" t="s">
        <v>1830</v>
      </c>
      <c r="D1198" s="1"/>
      <c r="E1198" s="1"/>
      <c r="F1198" s="1">
        <v>116</v>
      </c>
      <c r="G1198" s="1">
        <v>141</v>
      </c>
      <c r="H1198" s="1" t="s">
        <v>1785</v>
      </c>
      <c r="I1198" s="1">
        <v>24</v>
      </c>
      <c r="J1198" s="1" t="s">
        <v>1834</v>
      </c>
      <c r="K1198" s="1">
        <v>5</v>
      </c>
      <c r="L1198" s="1">
        <f t="shared" si="18"/>
        <v>120</v>
      </c>
      <c r="M1198" s="1" t="s">
        <v>1825</v>
      </c>
      <c r="N1198" s="1"/>
      <c r="O1198" s="1" t="str">
        <f>IF($J1198=Sheet2!$A$2, ROW(), "")</f>
        <v/>
      </c>
    </row>
    <row r="1199" spans="1:17" ht="14" customHeight="1" x14ac:dyDescent="0.3">
      <c r="A1199" s="1" t="s">
        <v>3235</v>
      </c>
      <c r="B1199" s="1">
        <v>19</v>
      </c>
      <c r="C1199" s="1" t="s">
        <v>1830</v>
      </c>
      <c r="D1199" s="1"/>
      <c r="E1199" s="1"/>
      <c r="F1199" s="1">
        <v>118</v>
      </c>
      <c r="G1199" s="1">
        <v>129</v>
      </c>
      <c r="H1199" s="1" t="s">
        <v>1785</v>
      </c>
      <c r="I1199" s="1">
        <v>24</v>
      </c>
      <c r="J1199" s="1" t="s">
        <v>1834</v>
      </c>
      <c r="K1199" s="1">
        <v>5</v>
      </c>
      <c r="L1199" s="1">
        <f t="shared" si="18"/>
        <v>120</v>
      </c>
      <c r="M1199" s="1" t="s">
        <v>1825</v>
      </c>
      <c r="N1199" s="1"/>
      <c r="O1199" s="1" t="str">
        <f>IF($J1199=Sheet2!$A$2, ROW(), "")</f>
        <v/>
      </c>
    </row>
    <row r="1200" spans="1:17" ht="14" customHeight="1" x14ac:dyDescent="0.3">
      <c r="A1200" s="1" t="s">
        <v>3236</v>
      </c>
      <c r="B1200" s="1">
        <v>19</v>
      </c>
      <c r="C1200" s="1" t="s">
        <v>1830</v>
      </c>
      <c r="D1200" s="1"/>
      <c r="E1200" s="1"/>
      <c r="F1200" s="1">
        <v>114</v>
      </c>
      <c r="G1200" s="1">
        <v>132</v>
      </c>
      <c r="H1200" s="1" t="s">
        <v>1739</v>
      </c>
      <c r="I1200" s="1">
        <v>24</v>
      </c>
      <c r="J1200" s="1" t="s">
        <v>1888</v>
      </c>
      <c r="K1200" s="1">
        <v>5</v>
      </c>
      <c r="L1200" s="1">
        <f t="shared" si="18"/>
        <v>120</v>
      </c>
      <c r="M1200" s="1" t="s">
        <v>1825</v>
      </c>
      <c r="N1200" s="1"/>
      <c r="O1200" s="1" t="str">
        <f>IF($J1200=Sheet2!$A$2, ROW(), "")</f>
        <v/>
      </c>
    </row>
    <row r="1201" spans="1:15" ht="14" customHeight="1" x14ac:dyDescent="0.3">
      <c r="A1201" s="1" t="s">
        <v>3237</v>
      </c>
      <c r="B1201" s="1">
        <v>20</v>
      </c>
      <c r="C1201" s="1" t="s">
        <v>1830</v>
      </c>
      <c r="D1201" s="1"/>
      <c r="E1201" s="1"/>
      <c r="F1201" s="1">
        <v>123</v>
      </c>
      <c r="G1201" s="1">
        <v>128</v>
      </c>
      <c r="H1201" s="1" t="s">
        <v>1914</v>
      </c>
      <c r="I1201" s="1">
        <v>24</v>
      </c>
      <c r="J1201" s="1" t="s">
        <v>1721</v>
      </c>
      <c r="K1201" s="1">
        <v>5</v>
      </c>
      <c r="L1201" s="1">
        <f t="shared" si="18"/>
        <v>120</v>
      </c>
      <c r="M1201" s="1" t="s">
        <v>1825</v>
      </c>
      <c r="N1201" s="1"/>
      <c r="O1201" s="1" t="str">
        <f>IF($J1201=Sheet2!$A$2, ROW(), "")</f>
        <v/>
      </c>
    </row>
    <row r="1202" spans="1:15" ht="14" customHeight="1" x14ac:dyDescent="0.3">
      <c r="A1202" s="1" t="s">
        <v>3238</v>
      </c>
      <c r="B1202" s="1">
        <v>20</v>
      </c>
      <c r="C1202" s="1" t="s">
        <v>1830</v>
      </c>
      <c r="D1202" s="1"/>
      <c r="E1202" s="1"/>
      <c r="F1202" s="1">
        <v>121</v>
      </c>
      <c r="G1202" s="1">
        <v>134</v>
      </c>
      <c r="H1202" s="1" t="s">
        <v>1739</v>
      </c>
      <c r="I1202" s="1">
        <v>24</v>
      </c>
      <c r="J1202" s="1" t="s">
        <v>1783</v>
      </c>
      <c r="K1202" s="1">
        <v>5</v>
      </c>
      <c r="L1202" s="1">
        <f t="shared" si="18"/>
        <v>120</v>
      </c>
      <c r="M1202" s="1" t="s">
        <v>1825</v>
      </c>
      <c r="N1202" s="1"/>
      <c r="O1202" s="1" t="str">
        <f>IF($J1202=Sheet2!$A$2, ROW(), "")</f>
        <v/>
      </c>
    </row>
    <row r="1203" spans="1:15" ht="14" customHeight="1" x14ac:dyDescent="0.3">
      <c r="A1203" s="1" t="s">
        <v>3239</v>
      </c>
      <c r="B1203" s="1">
        <v>20</v>
      </c>
      <c r="C1203" s="1" t="s">
        <v>1830</v>
      </c>
      <c r="D1203" s="1"/>
      <c r="E1203" s="1"/>
      <c r="F1203" s="1">
        <v>123</v>
      </c>
      <c r="G1203" s="1">
        <v>123</v>
      </c>
      <c r="H1203" s="1" t="s">
        <v>1749</v>
      </c>
      <c r="I1203" s="1">
        <v>24</v>
      </c>
      <c r="J1203" s="1" t="s">
        <v>1766</v>
      </c>
      <c r="K1203" s="1">
        <v>6</v>
      </c>
      <c r="L1203" s="1">
        <f t="shared" si="18"/>
        <v>120</v>
      </c>
      <c r="M1203" s="1" t="s">
        <v>1741</v>
      </c>
      <c r="N1203" s="1"/>
      <c r="O1203" s="1" t="str">
        <f>IF($J1203=Sheet2!$A$2, ROW(), "")</f>
        <v/>
      </c>
    </row>
    <row r="1204" spans="1:15" ht="14" customHeight="1" x14ac:dyDescent="0.3">
      <c r="A1204" s="1" t="s">
        <v>3240</v>
      </c>
      <c r="B1204" s="1">
        <v>20</v>
      </c>
      <c r="C1204" s="1" t="s">
        <v>1830</v>
      </c>
      <c r="D1204" s="1"/>
      <c r="E1204" s="1"/>
      <c r="F1204" s="1">
        <v>126</v>
      </c>
      <c r="G1204" s="1">
        <v>126</v>
      </c>
      <c r="H1204" s="1" t="s">
        <v>1838</v>
      </c>
      <c r="I1204" s="1">
        <v>24</v>
      </c>
      <c r="J1204" s="1" t="s">
        <v>1720</v>
      </c>
      <c r="K1204" s="1">
        <v>5</v>
      </c>
      <c r="L1204" s="1">
        <f t="shared" si="18"/>
        <v>120</v>
      </c>
      <c r="M1204" s="1" t="s">
        <v>1825</v>
      </c>
      <c r="N1204" s="1"/>
      <c r="O1204" s="1" t="str">
        <f>IF($J1204=Sheet2!$A$2, ROW(), "")</f>
        <v/>
      </c>
    </row>
    <row r="1205" spans="1:15" ht="14" customHeight="1" x14ac:dyDescent="0.3">
      <c r="A1205" s="1" t="s">
        <v>3241</v>
      </c>
      <c r="B1205" s="1">
        <v>20</v>
      </c>
      <c r="C1205" s="1" t="s">
        <v>1830</v>
      </c>
      <c r="D1205" s="1"/>
      <c r="E1205" s="1"/>
      <c r="F1205" s="1">
        <v>121</v>
      </c>
      <c r="G1205" s="1">
        <v>131</v>
      </c>
      <c r="H1205" s="1" t="s">
        <v>1845</v>
      </c>
      <c r="I1205" s="1">
        <v>24</v>
      </c>
      <c r="J1205" s="1" t="s">
        <v>1763</v>
      </c>
      <c r="K1205" s="1">
        <v>5</v>
      </c>
      <c r="L1205" s="1">
        <f t="shared" si="18"/>
        <v>120</v>
      </c>
      <c r="M1205" s="1" t="s">
        <v>1825</v>
      </c>
      <c r="N1205" s="1"/>
      <c r="O1205" s="1">
        <f>IF($J1205=Sheet2!$A$2, ROW(), "")</f>
        <v>1205</v>
      </c>
    </row>
    <row r="1206" spans="1:15" ht="14" customHeight="1" x14ac:dyDescent="0.3">
      <c r="A1206" s="1" t="s">
        <v>3242</v>
      </c>
      <c r="B1206" s="1">
        <v>23</v>
      </c>
      <c r="C1206" s="1" t="s">
        <v>1830</v>
      </c>
      <c r="D1206" s="1"/>
      <c r="E1206" s="1"/>
      <c r="F1206" s="1">
        <v>122</v>
      </c>
      <c r="G1206" s="1">
        <v>139</v>
      </c>
      <c r="H1206" s="1" t="s">
        <v>1769</v>
      </c>
      <c r="I1206" s="1">
        <v>24</v>
      </c>
      <c r="J1206" s="1" t="s">
        <v>1720</v>
      </c>
      <c r="K1206" s="1">
        <v>5</v>
      </c>
      <c r="L1206" s="1">
        <f t="shared" si="18"/>
        <v>120</v>
      </c>
      <c r="M1206" s="1" t="s">
        <v>1825</v>
      </c>
      <c r="N1206" s="1"/>
      <c r="O1206" s="1" t="str">
        <f>IF($J1206=Sheet2!$A$2, ROW(), "")</f>
        <v/>
      </c>
    </row>
    <row r="1207" spans="1:15" ht="14" customHeight="1" x14ac:dyDescent="0.3">
      <c r="A1207" s="1" t="s">
        <v>3243</v>
      </c>
      <c r="B1207" s="1">
        <v>17</v>
      </c>
      <c r="C1207" s="1" t="s">
        <v>1830</v>
      </c>
      <c r="D1207" s="1"/>
      <c r="E1207" s="1"/>
      <c r="F1207" s="1">
        <v>136</v>
      </c>
      <c r="G1207" s="1">
        <v>189</v>
      </c>
      <c r="H1207" s="1" t="s">
        <v>3244</v>
      </c>
      <c r="I1207" s="1">
        <v>800</v>
      </c>
      <c r="J1207" s="1" t="s">
        <v>1721</v>
      </c>
      <c r="K1207" s="1">
        <v>5</v>
      </c>
      <c r="L1207" s="1">
        <f t="shared" si="18"/>
        <v>4000</v>
      </c>
      <c r="M1207" s="1" t="s">
        <v>1825</v>
      </c>
      <c r="N1207" s="1"/>
      <c r="O1207" s="1" t="str">
        <f>IF($J1207=Sheet2!$A$2, ROW(), "")</f>
        <v/>
      </c>
    </row>
    <row r="1208" spans="1:15" ht="14" customHeight="1" x14ac:dyDescent="0.3">
      <c r="A1208" s="1" t="s">
        <v>3245</v>
      </c>
      <c r="B1208" s="1">
        <v>18</v>
      </c>
      <c r="C1208" s="1" t="s">
        <v>1830</v>
      </c>
      <c r="D1208" s="1"/>
      <c r="E1208" s="1"/>
      <c r="F1208" s="1">
        <v>111</v>
      </c>
      <c r="G1208" s="1">
        <v>141</v>
      </c>
      <c r="H1208" s="1" t="s">
        <v>1942</v>
      </c>
      <c r="I1208" s="1">
        <v>24</v>
      </c>
      <c r="J1208" s="1" t="s">
        <v>1720</v>
      </c>
      <c r="K1208" s="1">
        <v>5</v>
      </c>
      <c r="L1208" s="1">
        <f t="shared" si="18"/>
        <v>120</v>
      </c>
      <c r="M1208" s="1" t="s">
        <v>1825</v>
      </c>
      <c r="N1208" s="1"/>
      <c r="O1208" s="1" t="str">
        <f>IF($J1208=Sheet2!$A$2, ROW(), "")</f>
        <v/>
      </c>
    </row>
    <row r="1209" spans="1:15" ht="14" customHeight="1" x14ac:dyDescent="0.3">
      <c r="A1209" s="1" t="s">
        <v>3247</v>
      </c>
      <c r="B1209" s="1">
        <v>30</v>
      </c>
      <c r="C1209" s="1" t="s">
        <v>3248</v>
      </c>
      <c r="D1209" s="1"/>
      <c r="E1209" s="1"/>
      <c r="F1209" s="1">
        <v>126</v>
      </c>
      <c r="G1209" s="1">
        <v>126</v>
      </c>
      <c r="H1209" s="1" t="s">
        <v>3249</v>
      </c>
      <c r="I1209" s="1">
        <v>200</v>
      </c>
      <c r="J1209" s="1" t="s">
        <v>1834</v>
      </c>
      <c r="K1209" s="1">
        <v>6</v>
      </c>
      <c r="L1209" s="1">
        <f t="shared" si="18"/>
        <v>1000</v>
      </c>
      <c r="M1209" s="1" t="s">
        <v>1741</v>
      </c>
      <c r="N1209" s="1"/>
      <c r="O1209" s="1" t="str">
        <f>IF($J1209=Sheet2!$A$2, ROW(), "")</f>
        <v/>
      </c>
    </row>
    <row r="1210" spans="1:15" ht="14" customHeight="1" x14ac:dyDescent="0.3">
      <c r="A1210" s="1" t="s">
        <v>3250</v>
      </c>
      <c r="B1210" s="1">
        <v>30</v>
      </c>
      <c r="C1210" s="1" t="s">
        <v>1738</v>
      </c>
      <c r="D1210" s="1"/>
      <c r="E1210" s="1"/>
      <c r="F1210" s="1">
        <v>126</v>
      </c>
      <c r="G1210" s="1">
        <v>126</v>
      </c>
      <c r="H1210" s="1" t="s">
        <v>1785</v>
      </c>
      <c r="I1210" s="1">
        <v>200</v>
      </c>
      <c r="J1210" s="1" t="s">
        <v>1740</v>
      </c>
      <c r="K1210" s="1">
        <v>6</v>
      </c>
      <c r="L1210" s="1">
        <f t="shared" si="18"/>
        <v>1000</v>
      </c>
      <c r="M1210" s="1" t="s">
        <v>1741</v>
      </c>
      <c r="N1210" s="1"/>
      <c r="O1210" s="1" t="str">
        <f>IF($J1210=Sheet2!$A$2, ROW(), "")</f>
        <v/>
      </c>
    </row>
    <row r="1211" spans="1:15" ht="14" customHeight="1" x14ac:dyDescent="0.3">
      <c r="A1211" s="1" t="s">
        <v>3251</v>
      </c>
      <c r="B1211" s="1">
        <v>30</v>
      </c>
      <c r="C1211" s="1" t="s">
        <v>1738</v>
      </c>
      <c r="D1211" s="1"/>
      <c r="E1211" s="1"/>
      <c r="F1211" s="1">
        <v>128</v>
      </c>
      <c r="G1211" s="1">
        <v>128</v>
      </c>
      <c r="H1211" s="1" t="s">
        <v>3252</v>
      </c>
      <c r="I1211" s="1">
        <v>200</v>
      </c>
      <c r="J1211" s="1" t="s">
        <v>1721</v>
      </c>
      <c r="K1211" s="1">
        <v>6</v>
      </c>
      <c r="L1211" s="1">
        <f t="shared" si="18"/>
        <v>1000</v>
      </c>
      <c r="M1211" s="1" t="s">
        <v>1741</v>
      </c>
      <c r="N1211" s="1"/>
      <c r="O1211" s="1" t="str">
        <f>IF($J1211=Sheet2!$A$2, ROW(), "")</f>
        <v/>
      </c>
    </row>
    <row r="1212" spans="1:15" ht="14" customHeight="1" x14ac:dyDescent="0.3">
      <c r="A1212" s="1" t="s">
        <v>3253</v>
      </c>
      <c r="B1212" s="1">
        <v>30</v>
      </c>
      <c r="C1212" s="1" t="s">
        <v>1870</v>
      </c>
      <c r="D1212" s="1"/>
      <c r="E1212" s="1"/>
      <c r="F1212" s="1">
        <v>130</v>
      </c>
      <c r="G1212" s="1">
        <v>130</v>
      </c>
      <c r="H1212" s="1" t="s">
        <v>1739</v>
      </c>
      <c r="I1212" s="1">
        <v>200</v>
      </c>
      <c r="J1212" s="1" t="s">
        <v>1721</v>
      </c>
      <c r="K1212" s="1">
        <v>6</v>
      </c>
      <c r="L1212" s="1">
        <f t="shared" si="18"/>
        <v>1000</v>
      </c>
      <c r="M1212" s="1" t="s">
        <v>1741</v>
      </c>
      <c r="N1212" s="1"/>
      <c r="O1212" s="1" t="str">
        <f>IF($J1212=Sheet2!$A$2, ROW(), "")</f>
        <v/>
      </c>
    </row>
    <row r="1213" spans="1:15" ht="14" customHeight="1" x14ac:dyDescent="0.3">
      <c r="A1213" s="1" t="s">
        <v>3254</v>
      </c>
      <c r="B1213" s="1">
        <v>30</v>
      </c>
      <c r="C1213" s="1" t="s">
        <v>3255</v>
      </c>
      <c r="D1213" s="1"/>
      <c r="E1213" s="1"/>
      <c r="F1213" s="1">
        <v>127</v>
      </c>
      <c r="G1213" s="1">
        <v>127</v>
      </c>
      <c r="H1213" s="1" t="s">
        <v>1931</v>
      </c>
      <c r="I1213" s="1">
        <v>200</v>
      </c>
      <c r="J1213" s="1" t="s">
        <v>1951</v>
      </c>
      <c r="K1213" s="1">
        <v>6</v>
      </c>
      <c r="L1213" s="1">
        <f t="shared" si="18"/>
        <v>1000</v>
      </c>
      <c r="M1213" s="1" t="s">
        <v>1741</v>
      </c>
      <c r="N1213" s="1"/>
      <c r="O1213" s="1" t="str">
        <f>IF($J1213=Sheet2!$A$2, ROW(), "")</f>
        <v/>
      </c>
    </row>
    <row r="1214" spans="1:15" ht="14" customHeight="1" x14ac:dyDescent="0.3">
      <c r="A1214" s="1" t="s">
        <v>3256</v>
      </c>
      <c r="B1214" s="1">
        <v>30</v>
      </c>
      <c r="C1214" s="1" t="s">
        <v>1870</v>
      </c>
      <c r="D1214" s="1"/>
      <c r="E1214" s="1"/>
      <c r="F1214" s="1">
        <v>128</v>
      </c>
      <c r="G1214" s="1">
        <v>128</v>
      </c>
      <c r="H1214" s="1" t="s">
        <v>3257</v>
      </c>
      <c r="I1214" s="1">
        <v>200</v>
      </c>
      <c r="J1214" s="1" t="s">
        <v>1766</v>
      </c>
      <c r="K1214" s="1">
        <v>6</v>
      </c>
      <c r="L1214" s="1">
        <f t="shared" si="18"/>
        <v>1000</v>
      </c>
      <c r="M1214" s="1" t="s">
        <v>1741</v>
      </c>
      <c r="N1214" s="1"/>
      <c r="O1214" s="1" t="str">
        <f>IF($J1214=Sheet2!$A$2, ROW(), "")</f>
        <v/>
      </c>
    </row>
    <row r="1215" spans="1:15" ht="14" customHeight="1" x14ac:dyDescent="0.3">
      <c r="A1215" s="1" t="s">
        <v>3258</v>
      </c>
      <c r="B1215" s="1">
        <v>30</v>
      </c>
      <c r="C1215" s="1" t="s">
        <v>1850</v>
      </c>
      <c r="D1215" s="1"/>
      <c r="E1215" s="1"/>
      <c r="F1215" s="1">
        <v>126</v>
      </c>
      <c r="G1215" s="1">
        <v>126</v>
      </c>
      <c r="H1215" s="1" t="s">
        <v>1785</v>
      </c>
      <c r="I1215" s="1">
        <v>200</v>
      </c>
      <c r="J1215" s="1" t="s">
        <v>1720</v>
      </c>
      <c r="K1215" s="1">
        <v>6</v>
      </c>
      <c r="L1215" s="1">
        <f t="shared" si="18"/>
        <v>1000</v>
      </c>
      <c r="M1215" s="1" t="s">
        <v>1741</v>
      </c>
      <c r="N1215" s="1"/>
      <c r="O1215" s="1" t="str">
        <f>IF($J1215=Sheet2!$A$2, ROW(), "")</f>
        <v/>
      </c>
    </row>
    <row r="1216" spans="1:15" ht="14" customHeight="1" x14ac:dyDescent="0.3">
      <c r="A1216" s="1" t="s">
        <v>3259</v>
      </c>
      <c r="B1216" s="1">
        <v>30</v>
      </c>
      <c r="C1216" s="1" t="s">
        <v>1870</v>
      </c>
      <c r="D1216" s="1"/>
      <c r="E1216" s="1"/>
      <c r="F1216" s="1">
        <v>130</v>
      </c>
      <c r="G1216" s="1">
        <v>130</v>
      </c>
      <c r="H1216" s="1" t="s">
        <v>3249</v>
      </c>
      <c r="I1216" s="1">
        <v>200</v>
      </c>
      <c r="J1216" s="1" t="s">
        <v>1780</v>
      </c>
      <c r="K1216" s="1">
        <v>6</v>
      </c>
      <c r="L1216" s="1">
        <f t="shared" si="18"/>
        <v>1000</v>
      </c>
      <c r="M1216" s="1" t="s">
        <v>1741</v>
      </c>
      <c r="N1216" s="1"/>
      <c r="O1216" s="1" t="str">
        <f>IF($J1216=Sheet2!$A$2, ROW(), "")</f>
        <v/>
      </c>
    </row>
    <row r="1217" spans="1:15" ht="14" customHeight="1" x14ac:dyDescent="0.3">
      <c r="A1217" s="1" t="s">
        <v>3281</v>
      </c>
      <c r="B1217" s="1">
        <v>20</v>
      </c>
      <c r="C1217" s="1" t="s">
        <v>3282</v>
      </c>
      <c r="D1217" s="1"/>
      <c r="E1217" s="1"/>
      <c r="F1217" s="1">
        <v>126</v>
      </c>
      <c r="G1217" s="1">
        <v>152</v>
      </c>
      <c r="H1217" s="1" t="s">
        <v>1769</v>
      </c>
      <c r="I1217" s="1">
        <v>150</v>
      </c>
      <c r="J1217" s="1" t="s">
        <v>1854</v>
      </c>
      <c r="K1217" s="1">
        <v>6</v>
      </c>
      <c r="L1217" s="1">
        <f t="shared" si="18"/>
        <v>750</v>
      </c>
      <c r="M1217" s="1" t="s">
        <v>1741</v>
      </c>
      <c r="N1217" s="1"/>
      <c r="O1217" s="1" t="str">
        <f>IF($J1217=Sheet2!$A$2, ROW(), "")</f>
        <v/>
      </c>
    </row>
    <row r="1218" spans="1:15" ht="14" customHeight="1" x14ac:dyDescent="0.3">
      <c r="A1218" s="1" t="s">
        <v>3283</v>
      </c>
      <c r="B1218" s="1">
        <v>30</v>
      </c>
      <c r="C1218" s="1" t="s">
        <v>1911</v>
      </c>
      <c r="D1218" s="1"/>
      <c r="E1218" s="1"/>
      <c r="F1218" s="1">
        <v>128</v>
      </c>
      <c r="G1218" s="1">
        <v>128</v>
      </c>
      <c r="H1218" s="1" t="s">
        <v>1779</v>
      </c>
      <c r="I1218" s="1">
        <v>150</v>
      </c>
      <c r="J1218" s="1" t="s">
        <v>1855</v>
      </c>
      <c r="K1218" s="1">
        <v>6</v>
      </c>
      <c r="L1218" s="1">
        <f t="shared" ref="L1218:L1255" si="19">I1218*5</f>
        <v>750</v>
      </c>
      <c r="M1218" s="1" t="s">
        <v>1741</v>
      </c>
      <c r="N1218" s="1"/>
      <c r="O1218" s="1" t="str">
        <f>IF($J1218=Sheet2!$A$2, ROW(), "")</f>
        <v/>
      </c>
    </row>
    <row r="1219" spans="1:15" ht="14" customHeight="1" x14ac:dyDescent="0.3">
      <c r="A1219" s="1" t="s">
        <v>3284</v>
      </c>
      <c r="B1219" s="1">
        <v>30</v>
      </c>
      <c r="C1219" s="1" t="s">
        <v>1890</v>
      </c>
      <c r="D1219" s="1"/>
      <c r="E1219" s="1"/>
      <c r="F1219" s="1">
        <v>130</v>
      </c>
      <c r="G1219" s="1">
        <v>130</v>
      </c>
      <c r="H1219" s="1" t="s">
        <v>1739</v>
      </c>
      <c r="I1219" s="1">
        <v>150</v>
      </c>
      <c r="J1219" s="1" t="s">
        <v>1834</v>
      </c>
      <c r="K1219" s="1">
        <v>6</v>
      </c>
      <c r="L1219" s="1">
        <f t="shared" si="19"/>
        <v>750</v>
      </c>
      <c r="M1219" s="1" t="s">
        <v>1741</v>
      </c>
      <c r="N1219" s="1"/>
      <c r="O1219" s="1" t="str">
        <f>IF($J1219=Sheet2!$A$2, ROW(), "")</f>
        <v/>
      </c>
    </row>
    <row r="1220" spans="1:15" ht="14" customHeight="1" x14ac:dyDescent="0.3">
      <c r="A1220" s="1" t="s">
        <v>3285</v>
      </c>
      <c r="B1220" s="1">
        <v>30</v>
      </c>
      <c r="C1220" s="1" t="s">
        <v>1911</v>
      </c>
      <c r="D1220" s="1"/>
      <c r="E1220" s="1"/>
      <c r="F1220" s="1">
        <v>127</v>
      </c>
      <c r="G1220" s="1">
        <v>127</v>
      </c>
      <c r="H1220" s="1" t="s">
        <v>3286</v>
      </c>
      <c r="I1220" s="1">
        <v>150</v>
      </c>
      <c r="J1220" s="1" t="s">
        <v>1841</v>
      </c>
      <c r="K1220" s="1">
        <v>6</v>
      </c>
      <c r="L1220" s="1">
        <f t="shared" si="19"/>
        <v>750</v>
      </c>
      <c r="M1220" s="1" t="s">
        <v>1741</v>
      </c>
      <c r="N1220" s="1"/>
      <c r="O1220" s="1" t="str">
        <f>IF($J1220=Sheet2!$A$2, ROW(), "")</f>
        <v/>
      </c>
    </row>
    <row r="1221" spans="1:15" ht="14" customHeight="1" x14ac:dyDescent="0.3">
      <c r="A1221" s="1" t="s">
        <v>3287</v>
      </c>
      <c r="B1221" s="1">
        <v>30</v>
      </c>
      <c r="C1221" s="1" t="s">
        <v>3288</v>
      </c>
      <c r="D1221" s="1"/>
      <c r="E1221" s="1"/>
      <c r="F1221" s="1">
        <v>128</v>
      </c>
      <c r="G1221" s="1">
        <v>128</v>
      </c>
      <c r="H1221" s="1" t="s">
        <v>1739</v>
      </c>
      <c r="I1221" s="1">
        <v>150</v>
      </c>
      <c r="J1221" s="1" t="s">
        <v>3231</v>
      </c>
      <c r="K1221" s="1">
        <v>6</v>
      </c>
      <c r="L1221" s="1">
        <f t="shared" si="19"/>
        <v>750</v>
      </c>
      <c r="M1221" s="1" t="s">
        <v>1741</v>
      </c>
      <c r="N1221" s="1"/>
      <c r="O1221" s="1" t="str">
        <f>IF($J1221=Sheet2!$A$2, ROW(), "")</f>
        <v/>
      </c>
    </row>
    <row r="1222" spans="1:15" ht="14" customHeight="1" x14ac:dyDescent="0.3">
      <c r="A1222" s="1" t="s">
        <v>3289</v>
      </c>
      <c r="B1222" s="1">
        <v>30</v>
      </c>
      <c r="C1222" s="1" t="s">
        <v>1796</v>
      </c>
      <c r="D1222" s="1"/>
      <c r="E1222" s="1"/>
      <c r="F1222" s="1">
        <v>128</v>
      </c>
      <c r="G1222" s="1">
        <v>128</v>
      </c>
      <c r="H1222" s="1" t="s">
        <v>3249</v>
      </c>
      <c r="I1222" s="1">
        <v>150</v>
      </c>
      <c r="J1222" s="1" t="s">
        <v>1924</v>
      </c>
      <c r="K1222" s="1">
        <v>6</v>
      </c>
      <c r="L1222" s="1">
        <f t="shared" si="19"/>
        <v>750</v>
      </c>
      <c r="M1222" s="1" t="s">
        <v>1741</v>
      </c>
      <c r="N1222" s="1"/>
      <c r="O1222" s="1" t="str">
        <f>IF($J1222=Sheet2!$A$2, ROW(), "")</f>
        <v/>
      </c>
    </row>
    <row r="1223" spans="1:15" ht="14" customHeight="1" x14ac:dyDescent="0.3">
      <c r="A1223" s="1" t="s">
        <v>3290</v>
      </c>
      <c r="B1223" s="1">
        <v>38</v>
      </c>
      <c r="C1223" s="1" t="s">
        <v>1768</v>
      </c>
      <c r="D1223" s="1"/>
      <c r="E1223" s="1"/>
      <c r="F1223" s="1">
        <v>126</v>
      </c>
      <c r="G1223" s="1">
        <v>174</v>
      </c>
      <c r="H1223" s="1" t="s">
        <v>1739</v>
      </c>
      <c r="I1223" s="1">
        <v>150</v>
      </c>
      <c r="J1223" s="1" t="s">
        <v>1804</v>
      </c>
      <c r="K1223" s="1">
        <v>6</v>
      </c>
      <c r="L1223" s="1">
        <f t="shared" si="19"/>
        <v>750</v>
      </c>
      <c r="M1223" s="1" t="s">
        <v>1741</v>
      </c>
      <c r="N1223" s="1"/>
      <c r="O1223" s="1" t="str">
        <f>IF($J1223=Sheet2!$A$2, ROW(), "")</f>
        <v/>
      </c>
    </row>
    <row r="1224" spans="1:15" ht="14" customHeight="1" x14ac:dyDescent="0.3">
      <c r="A1224" s="1" t="s">
        <v>3291</v>
      </c>
      <c r="B1224" s="1">
        <v>30</v>
      </c>
      <c r="C1224" s="1" t="s">
        <v>1870</v>
      </c>
      <c r="D1224" s="1"/>
      <c r="E1224" s="1"/>
      <c r="F1224" s="1">
        <v>128</v>
      </c>
      <c r="G1224" s="1">
        <v>128</v>
      </c>
      <c r="H1224" s="1" t="s">
        <v>1761</v>
      </c>
      <c r="I1224" s="1">
        <v>150</v>
      </c>
      <c r="J1224" s="1" t="s">
        <v>1763</v>
      </c>
      <c r="K1224" s="1">
        <v>6</v>
      </c>
      <c r="L1224" s="1">
        <f t="shared" si="19"/>
        <v>750</v>
      </c>
      <c r="M1224" s="1" t="s">
        <v>1741</v>
      </c>
      <c r="N1224" s="1"/>
      <c r="O1224" s="1">
        <f>IF($J1224=Sheet2!$A$2, ROW(), "")</f>
        <v>1224</v>
      </c>
    </row>
    <row r="1225" spans="1:15" ht="14" customHeight="1" x14ac:dyDescent="0.3">
      <c r="A1225" s="1" t="s">
        <v>3292</v>
      </c>
      <c r="B1225" s="1">
        <v>30</v>
      </c>
      <c r="C1225" s="1" t="s">
        <v>1796</v>
      </c>
      <c r="D1225" s="1"/>
      <c r="E1225" s="1"/>
      <c r="F1225" s="1">
        <v>126</v>
      </c>
      <c r="G1225" s="1">
        <v>126</v>
      </c>
      <c r="H1225" s="1" t="s">
        <v>3249</v>
      </c>
      <c r="I1225" s="1">
        <v>150</v>
      </c>
      <c r="J1225" s="1" t="s">
        <v>1720</v>
      </c>
      <c r="K1225" s="1">
        <v>6</v>
      </c>
      <c r="L1225" s="1">
        <f t="shared" si="19"/>
        <v>750</v>
      </c>
      <c r="M1225" s="1" t="s">
        <v>1741</v>
      </c>
      <c r="N1225" s="1"/>
      <c r="O1225" s="1" t="str">
        <f>IF($J1225=Sheet2!$A$2, ROW(), "")</f>
        <v/>
      </c>
    </row>
    <row r="1226" spans="1:15" ht="14" customHeight="1" x14ac:dyDescent="0.3">
      <c r="A1226" s="1" t="s">
        <v>3293</v>
      </c>
      <c r="B1226" s="1">
        <v>30</v>
      </c>
      <c r="C1226" s="1" t="s">
        <v>1796</v>
      </c>
      <c r="D1226" s="1"/>
      <c r="E1226" s="1"/>
      <c r="F1226" s="1">
        <v>127</v>
      </c>
      <c r="G1226" s="1">
        <v>127</v>
      </c>
      <c r="H1226" s="1" t="s">
        <v>1739</v>
      </c>
      <c r="I1226" s="1">
        <v>150</v>
      </c>
      <c r="J1226" s="1" t="s">
        <v>1854</v>
      </c>
      <c r="K1226" s="1">
        <v>6</v>
      </c>
      <c r="L1226" s="1">
        <f t="shared" si="19"/>
        <v>750</v>
      </c>
      <c r="M1226" s="1" t="s">
        <v>1741</v>
      </c>
      <c r="N1226" s="1"/>
      <c r="O1226" s="1" t="str">
        <f>IF($J1226=Sheet2!$A$2, ROW(), "")</f>
        <v/>
      </c>
    </row>
    <row r="1227" spans="1:15" ht="14" customHeight="1" x14ac:dyDescent="0.3">
      <c r="A1227" s="1" t="s">
        <v>3294</v>
      </c>
      <c r="B1227" s="1">
        <v>34</v>
      </c>
      <c r="C1227" s="1" t="s">
        <v>1870</v>
      </c>
      <c r="D1227" s="1"/>
      <c r="E1227" s="1"/>
      <c r="F1227" s="1">
        <v>126</v>
      </c>
      <c r="G1227" s="1">
        <v>150</v>
      </c>
      <c r="H1227" s="1" t="s">
        <v>3295</v>
      </c>
      <c r="I1227" s="1">
        <v>150</v>
      </c>
      <c r="J1227" s="1" t="s">
        <v>1951</v>
      </c>
      <c r="K1227" s="1">
        <v>6</v>
      </c>
      <c r="L1227" s="1">
        <f t="shared" si="19"/>
        <v>750</v>
      </c>
      <c r="M1227" s="1" t="s">
        <v>1741</v>
      </c>
      <c r="N1227" s="1"/>
      <c r="O1227" s="1" t="str">
        <f>IF($J1227=Sheet2!$A$2, ROW(), "")</f>
        <v/>
      </c>
    </row>
    <row r="1228" spans="1:15" ht="14" customHeight="1" x14ac:dyDescent="0.3">
      <c r="A1228" s="1" t="s">
        <v>3296</v>
      </c>
      <c r="B1228" s="1">
        <v>31</v>
      </c>
      <c r="C1228" s="1" t="s">
        <v>1957</v>
      </c>
      <c r="D1228" s="1"/>
      <c r="E1228" s="1"/>
      <c r="F1228" s="1">
        <v>126</v>
      </c>
      <c r="G1228" s="1">
        <v>128</v>
      </c>
      <c r="H1228" s="1" t="s">
        <v>1739</v>
      </c>
      <c r="I1228" s="1">
        <v>150</v>
      </c>
      <c r="J1228" s="1" t="s">
        <v>1740</v>
      </c>
      <c r="K1228" s="1">
        <v>6</v>
      </c>
      <c r="L1228" s="1">
        <f t="shared" si="19"/>
        <v>750</v>
      </c>
      <c r="M1228" s="1" t="s">
        <v>1741</v>
      </c>
      <c r="N1228" s="1"/>
      <c r="O1228" s="1" t="str">
        <f>IF($J1228=Sheet2!$A$2, ROW(), "")</f>
        <v/>
      </c>
    </row>
    <row r="1229" spans="1:15" ht="14" customHeight="1" x14ac:dyDescent="0.3">
      <c r="A1229" s="1" t="s">
        <v>3297</v>
      </c>
      <c r="B1229" s="1">
        <v>19</v>
      </c>
      <c r="C1229" s="1" t="s">
        <v>3298</v>
      </c>
      <c r="D1229" s="1"/>
      <c r="E1229" s="1"/>
      <c r="F1229" s="1">
        <v>122</v>
      </c>
      <c r="G1229" s="1">
        <v>170</v>
      </c>
      <c r="H1229" s="1" t="s">
        <v>3299</v>
      </c>
      <c r="I1229" s="1">
        <v>150</v>
      </c>
      <c r="J1229" s="1" t="s">
        <v>1780</v>
      </c>
      <c r="K1229" s="1">
        <v>6</v>
      </c>
      <c r="L1229" s="1">
        <f t="shared" si="19"/>
        <v>750</v>
      </c>
      <c r="M1229" s="1" t="s">
        <v>1741</v>
      </c>
      <c r="N1229" s="1"/>
      <c r="O1229" s="1" t="str">
        <f>IF($J1229=Sheet2!$A$2, ROW(), "")</f>
        <v/>
      </c>
    </row>
    <row r="1230" spans="1:15" ht="14" customHeight="1" x14ac:dyDescent="0.3">
      <c r="A1230" s="1" t="s">
        <v>3300</v>
      </c>
      <c r="B1230" s="1">
        <v>30</v>
      </c>
      <c r="C1230" s="1" t="s">
        <v>3301</v>
      </c>
      <c r="D1230" s="1"/>
      <c r="E1230" s="1"/>
      <c r="F1230" s="1">
        <v>126</v>
      </c>
      <c r="G1230" s="1">
        <v>126</v>
      </c>
      <c r="H1230" s="1" t="s">
        <v>1785</v>
      </c>
      <c r="I1230" s="1">
        <v>150</v>
      </c>
      <c r="J1230" s="1" t="s">
        <v>1834</v>
      </c>
      <c r="K1230" s="1">
        <v>6</v>
      </c>
      <c r="L1230" s="1">
        <f t="shared" si="19"/>
        <v>750</v>
      </c>
      <c r="M1230" s="1" t="s">
        <v>1741</v>
      </c>
      <c r="N1230" s="1"/>
      <c r="O1230" s="1" t="str">
        <f>IF($J1230=Sheet2!$A$2, ROW(), "")</f>
        <v/>
      </c>
    </row>
    <row r="1231" spans="1:15" ht="14" customHeight="1" x14ac:dyDescent="0.3">
      <c r="A1231" s="1" t="s">
        <v>3302</v>
      </c>
      <c r="B1231" s="1">
        <v>30</v>
      </c>
      <c r="C1231" s="1" t="s">
        <v>3303</v>
      </c>
      <c r="D1231" s="1"/>
      <c r="E1231" s="1"/>
      <c r="F1231" s="1">
        <v>128</v>
      </c>
      <c r="G1231" s="1">
        <v>128</v>
      </c>
      <c r="H1231" s="1" t="s">
        <v>1950</v>
      </c>
      <c r="I1231" s="1">
        <v>150</v>
      </c>
      <c r="J1231" s="1" t="s">
        <v>1736</v>
      </c>
      <c r="K1231" s="1">
        <v>6</v>
      </c>
      <c r="L1231" s="1">
        <f t="shared" si="19"/>
        <v>750</v>
      </c>
      <c r="M1231" s="1" t="s">
        <v>1741</v>
      </c>
      <c r="N1231" s="1"/>
      <c r="O1231" s="1" t="str">
        <f>IF($J1231=Sheet2!$A$2, ROW(), "")</f>
        <v/>
      </c>
    </row>
    <row r="1232" spans="1:15" ht="14" customHeight="1" x14ac:dyDescent="0.3">
      <c r="A1232" s="1" t="s">
        <v>3304</v>
      </c>
      <c r="B1232" s="1">
        <v>30</v>
      </c>
      <c r="C1232" s="1" t="s">
        <v>1796</v>
      </c>
      <c r="D1232" s="1"/>
      <c r="E1232" s="1"/>
      <c r="F1232" s="1">
        <v>126</v>
      </c>
      <c r="G1232" s="1">
        <v>126</v>
      </c>
      <c r="H1232" s="1" t="s">
        <v>3305</v>
      </c>
      <c r="I1232" s="1">
        <v>150</v>
      </c>
      <c r="J1232" s="1" t="s">
        <v>1804</v>
      </c>
      <c r="K1232" s="1">
        <v>6</v>
      </c>
      <c r="L1232" s="1">
        <f t="shared" si="19"/>
        <v>750</v>
      </c>
      <c r="M1232" s="1" t="s">
        <v>1741</v>
      </c>
      <c r="N1232" s="1"/>
      <c r="O1232" s="1" t="str">
        <f>IF($J1232=Sheet2!$A$2, ROW(), "")</f>
        <v/>
      </c>
    </row>
    <row r="1233" spans="1:15" ht="14" customHeight="1" x14ac:dyDescent="0.3">
      <c r="A1233" s="1" t="s">
        <v>3306</v>
      </c>
      <c r="B1233" s="1">
        <v>30</v>
      </c>
      <c r="C1233" s="1" t="s">
        <v>1890</v>
      </c>
      <c r="D1233" s="1"/>
      <c r="E1233" s="1"/>
      <c r="F1233" s="1">
        <v>129</v>
      </c>
      <c r="G1233" s="1">
        <v>129</v>
      </c>
      <c r="H1233" s="1" t="s">
        <v>1828</v>
      </c>
      <c r="I1233" s="1">
        <v>150</v>
      </c>
      <c r="J1233" s="1" t="s">
        <v>1740</v>
      </c>
      <c r="K1233" s="1">
        <v>6</v>
      </c>
      <c r="L1233" s="1">
        <f t="shared" si="19"/>
        <v>750</v>
      </c>
      <c r="M1233" s="1" t="s">
        <v>1741</v>
      </c>
      <c r="N1233" s="1"/>
      <c r="O1233" s="1" t="str">
        <f>IF($J1233=Sheet2!$A$2, ROW(), "")</f>
        <v/>
      </c>
    </row>
    <row r="1234" spans="1:15" ht="14" customHeight="1" x14ac:dyDescent="0.3">
      <c r="A1234" s="1" t="s">
        <v>3307</v>
      </c>
      <c r="B1234" s="1">
        <v>21</v>
      </c>
      <c r="C1234" s="1" t="s">
        <v>1773</v>
      </c>
      <c r="D1234" s="1"/>
      <c r="E1234" s="1"/>
      <c r="F1234" s="1">
        <v>126</v>
      </c>
      <c r="G1234" s="1">
        <v>140</v>
      </c>
      <c r="H1234" s="1" t="s">
        <v>1779</v>
      </c>
      <c r="I1234" s="1">
        <v>150</v>
      </c>
      <c r="J1234" s="1" t="s">
        <v>1948</v>
      </c>
      <c r="K1234" s="1">
        <v>6</v>
      </c>
      <c r="L1234" s="1">
        <f t="shared" si="19"/>
        <v>750</v>
      </c>
      <c r="M1234" s="1" t="s">
        <v>1741</v>
      </c>
      <c r="N1234" s="1"/>
      <c r="O1234" s="1" t="str">
        <f>IF($J1234=Sheet2!$A$2, ROW(), "")</f>
        <v/>
      </c>
    </row>
    <row r="1235" spans="1:15" ht="14" customHeight="1" x14ac:dyDescent="0.3">
      <c r="A1235" s="1" t="s">
        <v>3308</v>
      </c>
      <c r="B1235" s="1">
        <v>30</v>
      </c>
      <c r="C1235" s="1" t="s">
        <v>1776</v>
      </c>
      <c r="D1235" s="1"/>
      <c r="E1235" s="1"/>
      <c r="F1235" s="1">
        <v>129</v>
      </c>
      <c r="G1235" s="1">
        <v>129</v>
      </c>
      <c r="H1235" s="1" t="s">
        <v>1739</v>
      </c>
      <c r="I1235" s="1">
        <v>150</v>
      </c>
      <c r="J1235" s="1" t="s">
        <v>1948</v>
      </c>
      <c r="K1235" s="1">
        <v>6</v>
      </c>
      <c r="L1235" s="1">
        <f t="shared" si="19"/>
        <v>750</v>
      </c>
      <c r="M1235" s="1" t="s">
        <v>1741</v>
      </c>
      <c r="N1235" s="1"/>
      <c r="O1235" s="1" t="str">
        <f>IF($J1235=Sheet2!$A$2, ROW(), "")</f>
        <v/>
      </c>
    </row>
    <row r="1236" spans="1:15" ht="14" customHeight="1" x14ac:dyDescent="0.3">
      <c r="A1236" s="1" t="s">
        <v>3309</v>
      </c>
      <c r="B1236" s="1">
        <v>30</v>
      </c>
      <c r="C1236" s="1" t="s">
        <v>1796</v>
      </c>
      <c r="D1236" s="1"/>
      <c r="E1236" s="1"/>
      <c r="F1236" s="1">
        <v>128</v>
      </c>
      <c r="G1236" s="1">
        <v>128</v>
      </c>
      <c r="H1236" s="1" t="s">
        <v>3310</v>
      </c>
      <c r="I1236" s="1">
        <v>150</v>
      </c>
      <c r="J1236" s="1" t="s">
        <v>1752</v>
      </c>
      <c r="K1236" s="1">
        <v>6</v>
      </c>
      <c r="L1236" s="1">
        <f t="shared" si="19"/>
        <v>750</v>
      </c>
      <c r="M1236" s="1" t="s">
        <v>1741</v>
      </c>
      <c r="N1236" s="1"/>
      <c r="O1236" s="1" t="str">
        <f>IF($J1236=Sheet2!$A$2, ROW(), "")</f>
        <v/>
      </c>
    </row>
    <row r="1237" spans="1:15" ht="14" customHeight="1" x14ac:dyDescent="0.3">
      <c r="A1237" s="1" t="s">
        <v>3311</v>
      </c>
      <c r="B1237" s="1">
        <v>30</v>
      </c>
      <c r="C1237" s="1" t="s">
        <v>1796</v>
      </c>
      <c r="D1237" s="1"/>
      <c r="E1237" s="1"/>
      <c r="F1237" s="1">
        <v>128</v>
      </c>
      <c r="G1237" s="1">
        <v>128</v>
      </c>
      <c r="H1237" s="1" t="s">
        <v>1749</v>
      </c>
      <c r="I1237" s="1">
        <v>150</v>
      </c>
      <c r="J1237" s="1" t="s">
        <v>1783</v>
      </c>
      <c r="K1237" s="1">
        <v>6</v>
      </c>
      <c r="L1237" s="1">
        <f t="shared" si="19"/>
        <v>750</v>
      </c>
      <c r="M1237" s="1" t="s">
        <v>1741</v>
      </c>
      <c r="N1237" s="1"/>
      <c r="O1237" s="1" t="str">
        <f>IF($J1237=Sheet2!$A$2, ROW(), "")</f>
        <v/>
      </c>
    </row>
    <row r="1238" spans="1:15" ht="14" customHeight="1" x14ac:dyDescent="0.3">
      <c r="A1238" s="1" t="s">
        <v>3314</v>
      </c>
      <c r="B1238" s="1">
        <v>34</v>
      </c>
      <c r="C1238" s="1" t="s">
        <v>1909</v>
      </c>
      <c r="D1238" s="1"/>
      <c r="E1238" s="1"/>
      <c r="F1238" s="1">
        <v>140</v>
      </c>
      <c r="G1238" s="1">
        <v>148</v>
      </c>
      <c r="H1238" s="1" t="s">
        <v>1739</v>
      </c>
      <c r="I1238" s="1">
        <v>220</v>
      </c>
      <c r="J1238" s="1" t="s">
        <v>1866</v>
      </c>
      <c r="K1238" s="1">
        <v>6</v>
      </c>
      <c r="L1238" s="1">
        <f t="shared" si="19"/>
        <v>1100</v>
      </c>
      <c r="M1238" s="1" t="s">
        <v>1741</v>
      </c>
      <c r="N1238" s="1"/>
      <c r="O1238" s="1" t="str">
        <f>IF($J1238=Sheet2!$A$2, ROW(), "")</f>
        <v/>
      </c>
    </row>
    <row r="1239" spans="1:15" ht="14" customHeight="1" x14ac:dyDescent="0.3">
      <c r="A1239" s="1" t="s">
        <v>3315</v>
      </c>
      <c r="B1239" s="1">
        <v>36</v>
      </c>
      <c r="C1239" s="1" t="s">
        <v>1738</v>
      </c>
      <c r="D1239" s="1"/>
      <c r="E1239" s="1"/>
      <c r="F1239" s="1">
        <v>142</v>
      </c>
      <c r="G1239" s="1">
        <v>170</v>
      </c>
      <c r="H1239" s="1" t="s">
        <v>3316</v>
      </c>
      <c r="I1239" s="1">
        <v>220</v>
      </c>
      <c r="J1239" s="1" t="s">
        <v>1866</v>
      </c>
      <c r="K1239" s="1">
        <v>6</v>
      </c>
      <c r="L1239" s="1">
        <f t="shared" si="19"/>
        <v>1100</v>
      </c>
      <c r="M1239" s="1" t="s">
        <v>1741</v>
      </c>
      <c r="N1239" s="1"/>
      <c r="O1239" s="1" t="str">
        <f>IF($J1239=Sheet2!$A$2, ROW(), "")</f>
        <v/>
      </c>
    </row>
    <row r="1240" spans="1:15" ht="14" customHeight="1" x14ac:dyDescent="0.3">
      <c r="A1240" s="1" t="s">
        <v>3317</v>
      </c>
      <c r="B1240" s="1">
        <v>33</v>
      </c>
      <c r="C1240" s="1" t="s">
        <v>1926</v>
      </c>
      <c r="D1240" s="1"/>
      <c r="E1240" s="1"/>
      <c r="F1240" s="1">
        <v>138</v>
      </c>
      <c r="G1240" s="1">
        <v>138</v>
      </c>
      <c r="H1240" s="1" t="s">
        <v>1739</v>
      </c>
      <c r="I1240" s="1">
        <v>220</v>
      </c>
      <c r="J1240" s="1" t="s">
        <v>1854</v>
      </c>
      <c r="K1240" s="1">
        <v>6</v>
      </c>
      <c r="L1240" s="1">
        <f t="shared" si="19"/>
        <v>1100</v>
      </c>
      <c r="M1240" s="1" t="s">
        <v>1741</v>
      </c>
      <c r="N1240" s="1"/>
      <c r="O1240" s="1" t="str">
        <f>IF($J1240=Sheet2!$A$2, ROW(), "")</f>
        <v/>
      </c>
    </row>
    <row r="1241" spans="1:15" ht="14" customHeight="1" x14ac:dyDescent="0.3">
      <c r="A1241" s="1" t="s">
        <v>3318</v>
      </c>
      <c r="B1241" s="1">
        <v>34</v>
      </c>
      <c r="C1241" s="1" t="s">
        <v>1870</v>
      </c>
      <c r="D1241" s="1"/>
      <c r="E1241" s="1"/>
      <c r="F1241" s="1">
        <v>136</v>
      </c>
      <c r="G1241" s="1">
        <v>136</v>
      </c>
      <c r="H1241" s="1" t="s">
        <v>3319</v>
      </c>
      <c r="I1241" s="1">
        <v>220</v>
      </c>
      <c r="J1241" s="1" t="s">
        <v>1854</v>
      </c>
      <c r="K1241" s="1">
        <v>6</v>
      </c>
      <c r="L1241" s="1">
        <f t="shared" si="19"/>
        <v>1100</v>
      </c>
      <c r="M1241" s="1" t="s">
        <v>1741</v>
      </c>
      <c r="N1241" s="1"/>
      <c r="O1241" s="1" t="str">
        <f>IF($J1241=Sheet2!$A$2, ROW(), "")</f>
        <v/>
      </c>
    </row>
    <row r="1242" spans="1:15" ht="14" customHeight="1" x14ac:dyDescent="0.3">
      <c r="A1242" s="1" t="s">
        <v>3320</v>
      </c>
      <c r="B1242" s="1">
        <v>34</v>
      </c>
      <c r="C1242" s="1" t="s">
        <v>3321</v>
      </c>
      <c r="D1242" s="1"/>
      <c r="E1242" s="1"/>
      <c r="F1242" s="1">
        <v>147</v>
      </c>
      <c r="G1242" s="1">
        <v>147</v>
      </c>
      <c r="H1242" s="1" t="s">
        <v>1739</v>
      </c>
      <c r="I1242" s="1">
        <v>400</v>
      </c>
      <c r="J1242" s="1" t="s">
        <v>1888</v>
      </c>
      <c r="K1242" s="1">
        <v>6</v>
      </c>
      <c r="L1242" s="1">
        <f t="shared" si="19"/>
        <v>2000</v>
      </c>
      <c r="M1242" s="1" t="s">
        <v>1741</v>
      </c>
      <c r="N1242" s="1"/>
      <c r="O1242" s="1" t="str">
        <f>IF($J1242=Sheet2!$A$2, ROW(), "")</f>
        <v/>
      </c>
    </row>
    <row r="1243" spans="1:15" ht="14" customHeight="1" x14ac:dyDescent="0.3">
      <c r="A1243" s="1" t="s">
        <v>3322</v>
      </c>
      <c r="B1243" s="1">
        <v>34</v>
      </c>
      <c r="C1243" s="1" t="s">
        <v>1941</v>
      </c>
      <c r="D1243" s="1"/>
      <c r="E1243" s="1"/>
      <c r="F1243" s="1">
        <v>133</v>
      </c>
      <c r="G1243" s="1">
        <v>145</v>
      </c>
      <c r="H1243" s="1" t="s">
        <v>1787</v>
      </c>
      <c r="I1243" s="1">
        <v>220</v>
      </c>
      <c r="J1243" s="1" t="s">
        <v>3231</v>
      </c>
      <c r="K1243" s="1">
        <v>6</v>
      </c>
      <c r="L1243" s="1">
        <f t="shared" si="19"/>
        <v>1100</v>
      </c>
      <c r="M1243" s="1" t="s">
        <v>1741</v>
      </c>
      <c r="N1243" s="1"/>
      <c r="O1243" s="1" t="str">
        <f>IF($J1243=Sheet2!$A$2, ROW(), "")</f>
        <v/>
      </c>
    </row>
    <row r="1244" spans="1:15" ht="14" customHeight="1" x14ac:dyDescent="0.3">
      <c r="A1244" s="1" t="s">
        <v>3323</v>
      </c>
      <c r="B1244" s="1">
        <v>39</v>
      </c>
      <c r="C1244" s="1" t="s">
        <v>1865</v>
      </c>
      <c r="D1244" s="1"/>
      <c r="E1244" s="1"/>
      <c r="F1244" s="1">
        <v>135</v>
      </c>
      <c r="G1244" s="1">
        <v>168</v>
      </c>
      <c r="H1244" s="1" t="s">
        <v>1739</v>
      </c>
      <c r="I1244" s="1">
        <v>220</v>
      </c>
      <c r="J1244" s="1" t="s">
        <v>1848</v>
      </c>
      <c r="K1244" s="1">
        <v>6</v>
      </c>
      <c r="L1244" s="1">
        <f t="shared" si="19"/>
        <v>1100</v>
      </c>
      <c r="M1244" s="1" t="s">
        <v>1741</v>
      </c>
      <c r="N1244" s="1"/>
      <c r="O1244" s="1" t="str">
        <f>IF($J1244=Sheet2!$A$2, ROW(), "")</f>
        <v/>
      </c>
    </row>
    <row r="1245" spans="1:15" ht="14" customHeight="1" x14ac:dyDescent="0.3">
      <c r="A1245" s="1" t="s">
        <v>3324</v>
      </c>
      <c r="B1245" s="1">
        <v>33</v>
      </c>
      <c r="C1245" s="1" t="s">
        <v>1870</v>
      </c>
      <c r="D1245" s="1"/>
      <c r="E1245" s="1"/>
      <c r="F1245" s="1">
        <v>144</v>
      </c>
      <c r="G1245" s="1">
        <v>144</v>
      </c>
      <c r="H1245" s="1" t="s">
        <v>3325</v>
      </c>
      <c r="I1245" s="1">
        <v>300</v>
      </c>
      <c r="J1245" s="1" t="s">
        <v>1855</v>
      </c>
      <c r="K1245" s="1">
        <v>6</v>
      </c>
      <c r="L1245" s="1">
        <f t="shared" si="19"/>
        <v>1500</v>
      </c>
      <c r="M1245" s="1" t="s">
        <v>1741</v>
      </c>
      <c r="N1245" s="1"/>
      <c r="O1245" s="1" t="str">
        <f>IF($J1245=Sheet2!$A$2, ROW(), "")</f>
        <v/>
      </c>
    </row>
    <row r="1246" spans="1:15" ht="14" customHeight="1" x14ac:dyDescent="0.3">
      <c r="A1246" s="1" t="s">
        <v>3326</v>
      </c>
      <c r="B1246" s="1">
        <v>37</v>
      </c>
      <c r="C1246" s="1" t="s">
        <v>1776</v>
      </c>
      <c r="D1246" s="1"/>
      <c r="E1246" s="1"/>
      <c r="F1246" s="1">
        <v>144</v>
      </c>
      <c r="G1246" s="1">
        <v>174</v>
      </c>
      <c r="H1246" s="1" t="s">
        <v>1872</v>
      </c>
      <c r="I1246" s="1">
        <v>300</v>
      </c>
      <c r="J1246" s="1" t="s">
        <v>1855</v>
      </c>
      <c r="K1246" s="1">
        <v>6</v>
      </c>
      <c r="L1246" s="1">
        <f t="shared" si="19"/>
        <v>1500</v>
      </c>
      <c r="M1246" s="1" t="s">
        <v>1741</v>
      </c>
      <c r="N1246" s="1"/>
      <c r="O1246" s="1" t="str">
        <f>IF($J1246=Sheet2!$A$2, ROW(), "")</f>
        <v/>
      </c>
    </row>
    <row r="1247" spans="1:15" ht="14" customHeight="1" x14ac:dyDescent="0.3">
      <c r="A1247" s="1" t="s">
        <v>3327</v>
      </c>
      <c r="B1247" s="1">
        <v>33</v>
      </c>
      <c r="C1247" s="1" t="s">
        <v>1953</v>
      </c>
      <c r="D1247" s="1"/>
      <c r="E1247" s="1"/>
      <c r="F1247" s="1">
        <v>140</v>
      </c>
      <c r="G1247" s="1">
        <v>145</v>
      </c>
      <c r="H1247" s="1" t="s">
        <v>1749</v>
      </c>
      <c r="I1247" s="1">
        <v>200</v>
      </c>
      <c r="J1247" s="1" t="s">
        <v>1888</v>
      </c>
      <c r="K1247" s="1">
        <v>6</v>
      </c>
      <c r="L1247" s="1">
        <f t="shared" si="19"/>
        <v>1000</v>
      </c>
      <c r="M1247" s="1" t="s">
        <v>1741</v>
      </c>
      <c r="N1247" s="1"/>
      <c r="O1247" s="1" t="str">
        <f>IF($J1247=Sheet2!$A$2, ROW(), "")</f>
        <v/>
      </c>
    </row>
    <row r="1248" spans="1:15" ht="14" customHeight="1" x14ac:dyDescent="0.3">
      <c r="A1248" s="1" t="s">
        <v>3329</v>
      </c>
      <c r="B1248" s="1">
        <v>24</v>
      </c>
      <c r="C1248" s="1" t="s">
        <v>1746</v>
      </c>
      <c r="D1248" s="1"/>
      <c r="E1248" s="1"/>
      <c r="F1248" s="1">
        <v>124</v>
      </c>
      <c r="G1248" s="1">
        <v>138</v>
      </c>
      <c r="H1248" s="1" t="s">
        <v>1838</v>
      </c>
      <c r="I1248" s="1">
        <v>80</v>
      </c>
      <c r="J1248" s="1" t="s">
        <v>1774</v>
      </c>
      <c r="K1248" s="1">
        <v>6</v>
      </c>
      <c r="L1248" s="1">
        <f t="shared" si="19"/>
        <v>400</v>
      </c>
      <c r="M1248" s="1" t="s">
        <v>1741</v>
      </c>
      <c r="N1248" s="1"/>
      <c r="O1248" s="1" t="str">
        <f>IF($J1248=Sheet2!$A$2, ROW(), "")</f>
        <v/>
      </c>
    </row>
    <row r="1249" spans="1:15" ht="14" customHeight="1" x14ac:dyDescent="0.3">
      <c r="A1249" s="1" t="s">
        <v>3330</v>
      </c>
      <c r="B1249" s="1">
        <v>19</v>
      </c>
      <c r="C1249" s="1" t="s">
        <v>1941</v>
      </c>
      <c r="D1249" s="1"/>
      <c r="E1249" s="1"/>
      <c r="F1249" s="1">
        <v>126</v>
      </c>
      <c r="G1249" s="1">
        <v>170</v>
      </c>
      <c r="H1249" s="1" t="s">
        <v>3331</v>
      </c>
      <c r="I1249" s="1">
        <v>300</v>
      </c>
      <c r="J1249" s="1" t="s">
        <v>1866</v>
      </c>
      <c r="K1249" s="1">
        <v>7</v>
      </c>
      <c r="L1249" s="1">
        <f t="shared" si="19"/>
        <v>1500</v>
      </c>
      <c r="M1249" s="1" t="s">
        <v>1741</v>
      </c>
      <c r="N1249" s="1"/>
      <c r="O1249" s="1" t="str">
        <f>IF($J1249=Sheet2!$A$2, ROW(), "")</f>
        <v/>
      </c>
    </row>
    <row r="1250" spans="1:15" ht="14" customHeight="1" x14ac:dyDescent="0.3">
      <c r="A1250" s="1" t="s">
        <v>3332</v>
      </c>
      <c r="B1250" s="1">
        <v>21</v>
      </c>
      <c r="C1250" s="1" t="s">
        <v>1865</v>
      </c>
      <c r="D1250" s="1"/>
      <c r="E1250" s="1"/>
      <c r="F1250" s="1">
        <v>125</v>
      </c>
      <c r="G1250" s="1">
        <v>150</v>
      </c>
      <c r="H1250" s="1" t="s">
        <v>1887</v>
      </c>
      <c r="I1250" s="1">
        <v>150</v>
      </c>
      <c r="J1250" s="1" t="s">
        <v>1841</v>
      </c>
      <c r="K1250" s="1">
        <v>6</v>
      </c>
      <c r="L1250" s="1">
        <f t="shared" si="19"/>
        <v>750</v>
      </c>
      <c r="M1250" s="1" t="s">
        <v>1741</v>
      </c>
      <c r="N1250" s="1"/>
      <c r="O1250" s="1" t="str">
        <f>IF($J1250=Sheet2!$A$2, ROW(), "")</f>
        <v/>
      </c>
    </row>
    <row r="1251" spans="1:15" ht="14" customHeight="1" x14ac:dyDescent="0.3">
      <c r="A1251" s="1" t="s">
        <v>3333</v>
      </c>
      <c r="B1251" s="1">
        <v>18</v>
      </c>
      <c r="C1251" s="1" t="s">
        <v>3248</v>
      </c>
      <c r="D1251" s="1"/>
      <c r="E1251" s="1"/>
      <c r="F1251" s="1">
        <v>117</v>
      </c>
      <c r="G1251" s="1">
        <v>170</v>
      </c>
      <c r="H1251" s="1" t="s">
        <v>3334</v>
      </c>
      <c r="I1251" s="1">
        <v>300</v>
      </c>
      <c r="J1251" s="1" t="s">
        <v>1834</v>
      </c>
      <c r="K1251" s="1">
        <v>6</v>
      </c>
      <c r="L1251" s="1">
        <f t="shared" si="19"/>
        <v>1500</v>
      </c>
      <c r="M1251" s="1" t="s">
        <v>1741</v>
      </c>
      <c r="N1251" s="1"/>
      <c r="O1251" s="1" t="str">
        <f>IF($J1251=Sheet2!$A$2, ROW(), "")</f>
        <v/>
      </c>
    </row>
    <row r="1252" spans="1:15" ht="14" customHeight="1" x14ac:dyDescent="0.3">
      <c r="A1252" s="1" t="s">
        <v>3336</v>
      </c>
      <c r="B1252" s="1">
        <v>22</v>
      </c>
      <c r="C1252" s="1" t="s">
        <v>1957</v>
      </c>
      <c r="D1252" s="1"/>
      <c r="E1252" s="1"/>
      <c r="F1252" s="1">
        <v>126</v>
      </c>
      <c r="G1252" s="1">
        <v>139</v>
      </c>
      <c r="H1252" s="1" t="s">
        <v>1942</v>
      </c>
      <c r="I1252" s="1">
        <v>200</v>
      </c>
      <c r="J1252" s="1" t="s">
        <v>3231</v>
      </c>
      <c r="K1252" s="1">
        <v>6</v>
      </c>
      <c r="L1252" s="1">
        <f t="shared" si="19"/>
        <v>1000</v>
      </c>
      <c r="M1252" s="1" t="s">
        <v>1741</v>
      </c>
      <c r="N1252" s="1"/>
      <c r="O1252" s="1" t="str">
        <f>IF($J1252=Sheet2!$A$2, ROW(), "")</f>
        <v/>
      </c>
    </row>
    <row r="1253" spans="1:15" ht="14" customHeight="1" x14ac:dyDescent="0.3">
      <c r="A1253" s="1" t="s">
        <v>3337</v>
      </c>
      <c r="B1253" s="1">
        <v>22</v>
      </c>
      <c r="C1253" s="1" t="s">
        <v>1746</v>
      </c>
      <c r="D1253" s="1"/>
      <c r="E1253" s="1"/>
      <c r="F1253" s="1">
        <v>126</v>
      </c>
      <c r="G1253" s="1">
        <v>146</v>
      </c>
      <c r="H1253" s="1" t="s">
        <v>1769</v>
      </c>
      <c r="I1253" s="1">
        <v>200</v>
      </c>
      <c r="J1253" s="1" t="s">
        <v>1888</v>
      </c>
      <c r="K1253" s="1">
        <v>6</v>
      </c>
      <c r="L1253" s="1">
        <f t="shared" si="19"/>
        <v>1000</v>
      </c>
      <c r="M1253" s="1" t="s">
        <v>1741</v>
      </c>
      <c r="N1253" s="1"/>
      <c r="O1253" s="1" t="str">
        <f>IF($J1253=Sheet2!$A$2, ROW(), "")</f>
        <v/>
      </c>
    </row>
    <row r="1254" spans="1:15" ht="14" customHeight="1" x14ac:dyDescent="0.3">
      <c r="A1254" s="1" t="s">
        <v>3338</v>
      </c>
      <c r="B1254" s="1">
        <v>22</v>
      </c>
      <c r="C1254" s="1" t="s">
        <v>3339</v>
      </c>
      <c r="D1254" s="1"/>
      <c r="E1254" s="1"/>
      <c r="F1254" s="1">
        <v>125</v>
      </c>
      <c r="G1254" s="1">
        <v>151</v>
      </c>
      <c r="H1254" s="1" t="s">
        <v>1739</v>
      </c>
      <c r="I1254" s="1">
        <v>200</v>
      </c>
      <c r="J1254" s="1" t="s">
        <v>1888</v>
      </c>
      <c r="K1254" s="1">
        <v>6</v>
      </c>
      <c r="L1254" s="1">
        <f t="shared" si="19"/>
        <v>1000</v>
      </c>
      <c r="M1254" s="1" t="s">
        <v>1741</v>
      </c>
      <c r="N1254" s="1"/>
      <c r="O1254" s="1" t="str">
        <f>IF($J1254=Sheet2!$A$2, ROW(), "")</f>
        <v/>
      </c>
    </row>
    <row r="1255" spans="1:15" ht="14" customHeight="1" x14ac:dyDescent="0.3">
      <c r="A1255" s="1" t="s">
        <v>3340</v>
      </c>
      <c r="B1255" s="1">
        <v>16</v>
      </c>
      <c r="C1255" s="1" t="s">
        <v>1909</v>
      </c>
      <c r="D1255" s="1"/>
      <c r="E1255" s="1"/>
      <c r="F1255" s="1">
        <v>124</v>
      </c>
      <c r="G1255" s="1">
        <v>180</v>
      </c>
      <c r="H1255" s="1" t="s">
        <v>1965</v>
      </c>
      <c r="I1255" s="1">
        <v>200</v>
      </c>
      <c r="J1255" s="1" t="s">
        <v>1841</v>
      </c>
      <c r="K1255" s="1">
        <v>8</v>
      </c>
      <c r="L1255" s="1">
        <f t="shared" si="19"/>
        <v>1000</v>
      </c>
      <c r="M1255" s="1" t="s">
        <v>1741</v>
      </c>
      <c r="N1255" s="1"/>
      <c r="O1255" s="1" t="str">
        <f>IF($J1255=Sheet2!$A$2, ROW(), "")</f>
        <v/>
      </c>
    </row>
    <row r="1256" spans="1:15" ht="14" customHeight="1" x14ac:dyDescent="0.3">
      <c r="A1256" s="1" t="s">
        <v>3341</v>
      </c>
      <c r="B1256" s="1">
        <v>23</v>
      </c>
      <c r="C1256" s="1" t="s">
        <v>1941</v>
      </c>
      <c r="D1256" s="1"/>
      <c r="E1256" s="1"/>
      <c r="F1256" s="1">
        <v>126</v>
      </c>
      <c r="G1256" s="1">
        <v>140</v>
      </c>
      <c r="H1256" s="1" t="s">
        <v>3342</v>
      </c>
      <c r="I1256" s="1">
        <v>200</v>
      </c>
      <c r="J1256" s="1" t="s">
        <v>1854</v>
      </c>
      <c r="K1256" s="1">
        <v>6</v>
      </c>
      <c r="L1256" s="1">
        <f t="shared" ref="L1256:L1285" si="20">I1256*5</f>
        <v>1000</v>
      </c>
      <c r="M1256" s="1" t="s">
        <v>1741</v>
      </c>
      <c r="N1256" s="1"/>
      <c r="O1256" s="1" t="str">
        <f>IF($J1256=Sheet2!$A$2, ROW(), "")</f>
        <v/>
      </c>
    </row>
    <row r="1257" spans="1:15" ht="14" customHeight="1" x14ac:dyDescent="0.3">
      <c r="A1257" s="1" t="s">
        <v>3343</v>
      </c>
      <c r="B1257" s="1">
        <v>24</v>
      </c>
      <c r="C1257" s="1" t="s">
        <v>3344</v>
      </c>
      <c r="D1257" s="1"/>
      <c r="E1257" s="1"/>
      <c r="F1257" s="1">
        <v>126</v>
      </c>
      <c r="G1257" s="1">
        <v>132</v>
      </c>
      <c r="H1257" s="1" t="s">
        <v>3345</v>
      </c>
      <c r="I1257" s="1">
        <v>150</v>
      </c>
      <c r="J1257" s="1" t="s">
        <v>3231</v>
      </c>
      <c r="K1257" s="1">
        <v>6</v>
      </c>
      <c r="L1257" s="1">
        <f t="shared" si="20"/>
        <v>750</v>
      </c>
      <c r="M1257" s="1" t="s">
        <v>1741</v>
      </c>
      <c r="N1257" s="1"/>
      <c r="O1257" s="1" t="str">
        <f>IF($J1257=Sheet2!$A$2, ROW(), "")</f>
        <v/>
      </c>
    </row>
    <row r="1258" spans="1:15" ht="14" customHeight="1" x14ac:dyDescent="0.3">
      <c r="A1258" s="1" t="s">
        <v>3346</v>
      </c>
      <c r="B1258" s="1">
        <v>35</v>
      </c>
      <c r="C1258" s="1" t="s">
        <v>1746</v>
      </c>
      <c r="D1258" s="1"/>
      <c r="E1258" s="1"/>
      <c r="F1258" s="1">
        <v>126</v>
      </c>
      <c r="G1258" s="1">
        <v>130</v>
      </c>
      <c r="H1258" s="1" t="s">
        <v>1739</v>
      </c>
      <c r="I1258" s="1">
        <v>200</v>
      </c>
      <c r="J1258" s="1" t="s">
        <v>1721</v>
      </c>
      <c r="K1258" s="1">
        <v>6</v>
      </c>
      <c r="L1258" s="1">
        <f t="shared" si="20"/>
        <v>1000</v>
      </c>
      <c r="M1258" s="1" t="s">
        <v>1741</v>
      </c>
      <c r="N1258" s="1"/>
      <c r="O1258" s="1" t="str">
        <f>IF($J1258=Sheet2!$A$2, ROW(), "")</f>
        <v/>
      </c>
    </row>
    <row r="1259" spans="1:15" ht="14" customHeight="1" x14ac:dyDescent="0.3">
      <c r="A1259" s="1" t="s">
        <v>3347</v>
      </c>
      <c r="B1259" s="1">
        <v>25</v>
      </c>
      <c r="C1259" s="1" t="s">
        <v>1941</v>
      </c>
      <c r="D1259" s="1"/>
      <c r="E1259" s="1"/>
      <c r="F1259" s="1">
        <v>126</v>
      </c>
      <c r="G1259" s="1">
        <v>136</v>
      </c>
      <c r="H1259" s="1" t="s">
        <v>1785</v>
      </c>
      <c r="I1259" s="1">
        <v>150</v>
      </c>
      <c r="J1259" s="1" t="s">
        <v>1951</v>
      </c>
      <c r="K1259" s="1">
        <v>6</v>
      </c>
      <c r="L1259" s="1">
        <f t="shared" si="20"/>
        <v>750</v>
      </c>
      <c r="M1259" s="1" t="s">
        <v>1741</v>
      </c>
      <c r="N1259" s="1"/>
      <c r="O1259" s="1" t="str">
        <f>IF($J1259=Sheet2!$A$2, ROW(), "")</f>
        <v/>
      </c>
    </row>
    <row r="1260" spans="1:15" ht="14" customHeight="1" x14ac:dyDescent="0.3">
      <c r="A1260" s="1" t="s">
        <v>3348</v>
      </c>
      <c r="B1260" s="1">
        <v>21</v>
      </c>
      <c r="C1260" s="1" t="s">
        <v>1941</v>
      </c>
      <c r="D1260" s="1"/>
      <c r="E1260" s="1"/>
      <c r="F1260" s="1">
        <v>118</v>
      </c>
      <c r="G1260" s="1">
        <v>140</v>
      </c>
      <c r="H1260" s="1" t="s">
        <v>1838</v>
      </c>
      <c r="I1260" s="1">
        <v>150</v>
      </c>
      <c r="J1260" s="1" t="s">
        <v>1951</v>
      </c>
      <c r="K1260" s="1">
        <v>6</v>
      </c>
      <c r="L1260" s="1">
        <f t="shared" si="20"/>
        <v>750</v>
      </c>
      <c r="M1260" s="1" t="s">
        <v>1741</v>
      </c>
      <c r="N1260" s="1"/>
      <c r="O1260" s="1" t="str">
        <f>IF($J1260=Sheet2!$A$2, ROW(), "")</f>
        <v/>
      </c>
    </row>
    <row r="1261" spans="1:15" ht="14" customHeight="1" x14ac:dyDescent="0.3">
      <c r="A1261" s="1" t="s">
        <v>3349</v>
      </c>
      <c r="B1261" s="1">
        <v>23</v>
      </c>
      <c r="C1261" s="1" t="s">
        <v>1865</v>
      </c>
      <c r="D1261" s="1"/>
      <c r="E1261" s="1"/>
      <c r="F1261" s="1">
        <v>124</v>
      </c>
      <c r="G1261" s="1">
        <v>138</v>
      </c>
      <c r="H1261" s="1" t="s">
        <v>1769</v>
      </c>
      <c r="I1261" s="1">
        <v>90</v>
      </c>
      <c r="J1261" s="1" t="s">
        <v>1774</v>
      </c>
      <c r="K1261" s="1">
        <v>6</v>
      </c>
      <c r="L1261" s="1">
        <f t="shared" si="20"/>
        <v>450</v>
      </c>
      <c r="M1261" s="1" t="s">
        <v>1741</v>
      </c>
      <c r="N1261" s="1"/>
      <c r="O1261" s="1" t="str">
        <f>IF($J1261=Sheet2!$A$2, ROW(), "")</f>
        <v/>
      </c>
    </row>
    <row r="1262" spans="1:15" ht="14" customHeight="1" x14ac:dyDescent="0.3">
      <c r="A1262" s="1" t="s">
        <v>3350</v>
      </c>
      <c r="B1262" s="1">
        <v>24</v>
      </c>
      <c r="C1262" s="1" t="s">
        <v>1926</v>
      </c>
      <c r="D1262" s="1"/>
      <c r="E1262" s="1"/>
      <c r="F1262" s="1">
        <v>124</v>
      </c>
      <c r="G1262" s="1">
        <v>134</v>
      </c>
      <c r="H1262" s="1" t="s">
        <v>1756</v>
      </c>
      <c r="I1262" s="1">
        <v>100</v>
      </c>
      <c r="J1262" s="1" t="s">
        <v>1774</v>
      </c>
      <c r="K1262" s="1">
        <v>6</v>
      </c>
      <c r="L1262" s="1">
        <f t="shared" si="20"/>
        <v>500</v>
      </c>
      <c r="M1262" s="1" t="s">
        <v>1741</v>
      </c>
      <c r="N1262" s="1"/>
      <c r="O1262" s="1" t="str">
        <f>IF($J1262=Sheet2!$A$2, ROW(), "")</f>
        <v/>
      </c>
    </row>
    <row r="1263" spans="1:15" ht="14" customHeight="1" x14ac:dyDescent="0.3">
      <c r="A1263" s="1" t="s">
        <v>3351</v>
      </c>
      <c r="B1263" s="1">
        <v>23</v>
      </c>
      <c r="C1263" s="1" t="s">
        <v>1957</v>
      </c>
      <c r="D1263" s="1"/>
      <c r="E1263" s="1"/>
      <c r="F1263" s="1">
        <v>120</v>
      </c>
      <c r="G1263" s="1">
        <v>140</v>
      </c>
      <c r="H1263" s="1" t="s">
        <v>1838</v>
      </c>
      <c r="I1263" s="1">
        <v>80</v>
      </c>
      <c r="J1263" s="1" t="s">
        <v>1774</v>
      </c>
      <c r="K1263" s="1">
        <v>6</v>
      </c>
      <c r="L1263" s="1">
        <f t="shared" si="20"/>
        <v>400</v>
      </c>
      <c r="M1263" s="1" t="s">
        <v>1741</v>
      </c>
      <c r="N1263" s="1"/>
      <c r="O1263" s="1" t="str">
        <f>IF($J1263=Sheet2!$A$2, ROW(), "")</f>
        <v/>
      </c>
    </row>
    <row r="1264" spans="1:15" ht="14" customHeight="1" x14ac:dyDescent="0.3">
      <c r="A1264" s="1" t="s">
        <v>3352</v>
      </c>
      <c r="B1264" s="1">
        <v>22</v>
      </c>
      <c r="C1264" s="1" t="s">
        <v>1890</v>
      </c>
      <c r="D1264" s="1"/>
      <c r="E1264" s="1"/>
      <c r="F1264" s="1">
        <v>126</v>
      </c>
      <c r="G1264" s="1">
        <v>170</v>
      </c>
      <c r="H1264" s="1" t="s">
        <v>3249</v>
      </c>
      <c r="I1264" s="1">
        <v>200</v>
      </c>
      <c r="J1264" s="1" t="s">
        <v>1888</v>
      </c>
      <c r="K1264" s="1">
        <v>6</v>
      </c>
      <c r="L1264" s="1">
        <f t="shared" si="20"/>
        <v>1000</v>
      </c>
      <c r="M1264" s="1" t="s">
        <v>1741</v>
      </c>
      <c r="N1264" s="1"/>
      <c r="O1264" s="1" t="str">
        <f>IF($J1264=Sheet2!$A$2, ROW(), "")</f>
        <v/>
      </c>
    </row>
    <row r="1265" spans="1:15" ht="14" customHeight="1" x14ac:dyDescent="0.3">
      <c r="A1265" s="1" t="s">
        <v>3353</v>
      </c>
      <c r="B1265" s="1">
        <v>23</v>
      </c>
      <c r="C1265" s="1" t="s">
        <v>3354</v>
      </c>
      <c r="D1265" s="1"/>
      <c r="E1265" s="1"/>
      <c r="F1265" s="1">
        <v>114</v>
      </c>
      <c r="G1265" s="1">
        <v>145</v>
      </c>
      <c r="H1265" s="1" t="s">
        <v>1787</v>
      </c>
      <c r="I1265" s="1">
        <v>150</v>
      </c>
      <c r="J1265" s="1" t="s">
        <v>1855</v>
      </c>
      <c r="K1265" s="1">
        <v>6</v>
      </c>
      <c r="L1265" s="1">
        <f t="shared" si="20"/>
        <v>750</v>
      </c>
      <c r="M1265" s="1" t="s">
        <v>1741</v>
      </c>
      <c r="N1265" s="1"/>
      <c r="O1265" s="1" t="str">
        <f>IF($J1265=Sheet2!$A$2, ROW(), "")</f>
        <v/>
      </c>
    </row>
    <row r="1266" spans="1:15" ht="14" customHeight="1" x14ac:dyDescent="0.3">
      <c r="A1266" s="1" t="s">
        <v>3355</v>
      </c>
      <c r="B1266" s="1">
        <v>22</v>
      </c>
      <c r="C1266" s="1" t="s">
        <v>1941</v>
      </c>
      <c r="D1266" s="1"/>
      <c r="E1266" s="1"/>
      <c r="F1266" s="1">
        <v>120</v>
      </c>
      <c r="G1266" s="1">
        <v>135</v>
      </c>
      <c r="H1266" s="1" t="s">
        <v>1787</v>
      </c>
      <c r="I1266" s="1">
        <v>150</v>
      </c>
      <c r="J1266" s="1" t="s">
        <v>1774</v>
      </c>
      <c r="K1266" s="1">
        <v>6</v>
      </c>
      <c r="L1266" s="1">
        <f t="shared" si="20"/>
        <v>750</v>
      </c>
      <c r="M1266" s="1" t="s">
        <v>1741</v>
      </c>
      <c r="N1266" s="1"/>
      <c r="O1266" s="1" t="str">
        <f>IF($J1266=Sheet2!$A$2, ROW(), "")</f>
        <v/>
      </c>
    </row>
    <row r="1267" spans="1:15" ht="14" customHeight="1" x14ac:dyDescent="0.3">
      <c r="A1267" s="1" t="s">
        <v>3356</v>
      </c>
      <c r="B1267" s="1">
        <v>23</v>
      </c>
      <c r="C1267" s="1" t="s">
        <v>1773</v>
      </c>
      <c r="D1267" s="1"/>
      <c r="E1267" s="1"/>
      <c r="F1267" s="1">
        <v>126</v>
      </c>
      <c r="G1267" s="1">
        <v>142</v>
      </c>
      <c r="H1267" s="1" t="s">
        <v>1769</v>
      </c>
      <c r="I1267" s="1">
        <v>150</v>
      </c>
      <c r="J1267" s="1" t="s">
        <v>1720</v>
      </c>
      <c r="K1267" s="1">
        <v>6</v>
      </c>
      <c r="L1267" s="1">
        <f t="shared" si="20"/>
        <v>750</v>
      </c>
      <c r="M1267" s="1" t="s">
        <v>1741</v>
      </c>
      <c r="N1267" s="1"/>
      <c r="O1267" s="1" t="str">
        <f>IF($J1267=Sheet2!$A$2, ROW(), "")</f>
        <v/>
      </c>
    </row>
    <row r="1268" spans="1:15" ht="14" customHeight="1" x14ac:dyDescent="0.3">
      <c r="A1268" s="1" t="s">
        <v>3357</v>
      </c>
      <c r="B1268" s="1">
        <v>22</v>
      </c>
      <c r="C1268" s="1" t="s">
        <v>3358</v>
      </c>
      <c r="D1268" s="1"/>
      <c r="E1268" s="1"/>
      <c r="F1268" s="1">
        <v>102</v>
      </c>
      <c r="G1268" s="1">
        <v>140</v>
      </c>
      <c r="H1268" s="1" t="s">
        <v>3359</v>
      </c>
      <c r="I1268" s="1">
        <v>60</v>
      </c>
      <c r="J1268" s="1" t="s">
        <v>1774</v>
      </c>
      <c r="K1268" s="1">
        <v>6</v>
      </c>
      <c r="L1268" s="1">
        <f t="shared" si="20"/>
        <v>300</v>
      </c>
      <c r="M1268" s="1" t="s">
        <v>1741</v>
      </c>
      <c r="N1268" s="1"/>
      <c r="O1268" s="1" t="str">
        <f>IF($J1268=Sheet2!$A$2, ROW(), "")</f>
        <v/>
      </c>
    </row>
    <row r="1269" spans="1:15" ht="14" customHeight="1" x14ac:dyDescent="0.3">
      <c r="A1269" s="1" t="s">
        <v>3360</v>
      </c>
      <c r="B1269" s="1">
        <v>24</v>
      </c>
      <c r="C1269" s="1" t="s">
        <v>1865</v>
      </c>
      <c r="D1269" s="1"/>
      <c r="E1269" s="1"/>
      <c r="F1269" s="1">
        <v>123</v>
      </c>
      <c r="G1269" s="1">
        <v>140</v>
      </c>
      <c r="H1269" s="1" t="s">
        <v>1769</v>
      </c>
      <c r="I1269" s="1">
        <v>200</v>
      </c>
      <c r="J1269" s="1" t="s">
        <v>1866</v>
      </c>
      <c r="K1269" s="1">
        <v>6</v>
      </c>
      <c r="L1269" s="1">
        <f t="shared" si="20"/>
        <v>1000</v>
      </c>
      <c r="M1269" s="1" t="s">
        <v>1741</v>
      </c>
      <c r="N1269" s="1"/>
      <c r="O1269" s="1" t="str">
        <f>IF($J1269=Sheet2!$A$2, ROW(), "")</f>
        <v/>
      </c>
    </row>
    <row r="1270" spans="1:15" ht="14" customHeight="1" x14ac:dyDescent="0.3">
      <c r="A1270" s="1" t="s">
        <v>3361</v>
      </c>
      <c r="B1270" s="1">
        <v>23</v>
      </c>
      <c r="C1270" s="1" t="s">
        <v>1941</v>
      </c>
      <c r="D1270" s="1"/>
      <c r="E1270" s="1"/>
      <c r="F1270" s="1">
        <v>119</v>
      </c>
      <c r="G1270" s="1">
        <v>133</v>
      </c>
      <c r="H1270" s="1" t="s">
        <v>1872</v>
      </c>
      <c r="I1270" s="1">
        <v>150</v>
      </c>
      <c r="J1270" s="1" t="s">
        <v>1740</v>
      </c>
      <c r="K1270" s="1">
        <v>6</v>
      </c>
      <c r="L1270" s="1">
        <f t="shared" si="20"/>
        <v>750</v>
      </c>
      <c r="M1270" s="1" t="s">
        <v>1741</v>
      </c>
      <c r="N1270" s="1"/>
      <c r="O1270" s="1" t="str">
        <f>IF($J1270=Sheet2!$A$2, ROW(), "")</f>
        <v/>
      </c>
    </row>
    <row r="1271" spans="1:15" ht="14" customHeight="1" x14ac:dyDescent="0.3">
      <c r="A1271" s="1" t="s">
        <v>3362</v>
      </c>
      <c r="B1271" s="1">
        <v>21</v>
      </c>
      <c r="C1271" s="1" t="s">
        <v>3363</v>
      </c>
      <c r="D1271" s="1"/>
      <c r="E1271" s="1"/>
      <c r="F1271" s="1">
        <v>102</v>
      </c>
      <c r="G1271" s="1">
        <v>136</v>
      </c>
      <c r="H1271" s="1" t="s">
        <v>1875</v>
      </c>
      <c r="I1271" s="1">
        <v>150</v>
      </c>
      <c r="J1271" s="1" t="s">
        <v>1740</v>
      </c>
      <c r="K1271" s="1">
        <v>6</v>
      </c>
      <c r="L1271" s="1">
        <f t="shared" si="20"/>
        <v>750</v>
      </c>
      <c r="M1271" s="1" t="s">
        <v>1741</v>
      </c>
      <c r="N1271" s="1"/>
      <c r="O1271" s="1" t="str">
        <f>IF($J1271=Sheet2!$A$2, ROW(), "")</f>
        <v/>
      </c>
    </row>
    <row r="1272" spans="1:15" ht="14" customHeight="1" x14ac:dyDescent="0.3">
      <c r="A1272" s="1" t="s">
        <v>3364</v>
      </c>
      <c r="B1272" s="1">
        <v>23</v>
      </c>
      <c r="C1272" s="1" t="s">
        <v>3365</v>
      </c>
      <c r="D1272" s="1"/>
      <c r="E1272" s="1"/>
      <c r="F1272" s="1">
        <v>115</v>
      </c>
      <c r="G1272" s="1">
        <v>145</v>
      </c>
      <c r="H1272" s="1" t="s">
        <v>1749</v>
      </c>
      <c r="I1272" s="1">
        <v>120</v>
      </c>
      <c r="J1272" s="1" t="s">
        <v>1774</v>
      </c>
      <c r="K1272" s="1">
        <v>6</v>
      </c>
      <c r="L1272" s="1">
        <f t="shared" si="20"/>
        <v>600</v>
      </c>
      <c r="M1272" s="1" t="s">
        <v>1741</v>
      </c>
      <c r="N1272" s="1"/>
      <c r="O1272" s="1" t="str">
        <f>IF($J1272=Sheet2!$A$2, ROW(), "")</f>
        <v/>
      </c>
    </row>
    <row r="1273" spans="1:15" ht="14" customHeight="1" x14ac:dyDescent="0.3">
      <c r="A1273" s="1" t="s">
        <v>3366</v>
      </c>
      <c r="B1273" s="1">
        <v>21</v>
      </c>
      <c r="C1273" s="1" t="s">
        <v>1861</v>
      </c>
      <c r="D1273" s="1"/>
      <c r="E1273" s="1"/>
      <c r="F1273" s="1">
        <v>126</v>
      </c>
      <c r="G1273" s="1">
        <v>150</v>
      </c>
      <c r="H1273" s="1" t="s">
        <v>1769</v>
      </c>
      <c r="I1273" s="1">
        <v>180</v>
      </c>
      <c r="J1273" s="1" t="s">
        <v>1855</v>
      </c>
      <c r="K1273" s="1">
        <v>6</v>
      </c>
      <c r="L1273" s="1">
        <f t="shared" si="20"/>
        <v>900</v>
      </c>
      <c r="M1273" s="1" t="s">
        <v>1741</v>
      </c>
      <c r="N1273" s="1"/>
      <c r="O1273" s="1" t="str">
        <f>IF($J1273=Sheet2!$A$2, ROW(), "")</f>
        <v/>
      </c>
    </row>
    <row r="1274" spans="1:15" ht="14" customHeight="1" x14ac:dyDescent="0.3">
      <c r="A1274" s="1" t="s">
        <v>3367</v>
      </c>
      <c r="B1274" s="1">
        <v>21</v>
      </c>
      <c r="C1274" s="1" t="s">
        <v>3368</v>
      </c>
      <c r="D1274" s="1"/>
      <c r="E1274" s="1"/>
      <c r="F1274" s="1">
        <v>115</v>
      </c>
      <c r="G1274" s="1">
        <v>140</v>
      </c>
      <c r="H1274" s="1" t="s">
        <v>1811</v>
      </c>
      <c r="I1274" s="1">
        <v>120</v>
      </c>
      <c r="J1274" s="1" t="s">
        <v>1774</v>
      </c>
      <c r="K1274" s="1">
        <v>6</v>
      </c>
      <c r="L1274" s="1">
        <f t="shared" si="20"/>
        <v>600</v>
      </c>
      <c r="M1274" s="1" t="s">
        <v>1741</v>
      </c>
      <c r="N1274" s="1"/>
      <c r="O1274" s="1" t="str">
        <f>IF($J1274=Sheet2!$A$2, ROW(), "")</f>
        <v/>
      </c>
    </row>
    <row r="1275" spans="1:15" ht="14" customHeight="1" x14ac:dyDescent="0.3">
      <c r="A1275" s="1" t="s">
        <v>3369</v>
      </c>
      <c r="B1275" s="1">
        <v>21</v>
      </c>
      <c r="C1275" s="1" t="s">
        <v>1890</v>
      </c>
      <c r="D1275" s="1"/>
      <c r="E1275" s="1"/>
      <c r="F1275" s="1">
        <v>125</v>
      </c>
      <c r="G1275" s="1">
        <v>170</v>
      </c>
      <c r="H1275" s="1" t="s">
        <v>3370</v>
      </c>
      <c r="I1275" s="1">
        <v>200</v>
      </c>
      <c r="J1275" s="1" t="s">
        <v>1866</v>
      </c>
      <c r="K1275" s="1">
        <v>6</v>
      </c>
      <c r="L1275" s="1">
        <f t="shared" si="20"/>
        <v>1000</v>
      </c>
      <c r="M1275" s="1" t="s">
        <v>1741</v>
      </c>
      <c r="N1275" s="1"/>
      <c r="O1275" s="1" t="str">
        <f>IF($J1275=Sheet2!$A$2, ROW(), "")</f>
        <v/>
      </c>
    </row>
    <row r="1276" spans="1:15" ht="14" customHeight="1" x14ac:dyDescent="0.3">
      <c r="A1276" s="1" t="s">
        <v>3371</v>
      </c>
      <c r="B1276" s="1">
        <v>21</v>
      </c>
      <c r="C1276" s="1" t="s">
        <v>3372</v>
      </c>
      <c r="D1276" s="1"/>
      <c r="E1276" s="1"/>
      <c r="F1276" s="1">
        <v>119</v>
      </c>
      <c r="G1276" s="1">
        <v>147</v>
      </c>
      <c r="H1276" s="1" t="s">
        <v>1972</v>
      </c>
      <c r="I1276" s="1">
        <v>160</v>
      </c>
      <c r="J1276" s="1" t="s">
        <v>1774</v>
      </c>
      <c r="K1276" s="1">
        <v>6</v>
      </c>
      <c r="L1276" s="1">
        <f t="shared" si="20"/>
        <v>800</v>
      </c>
      <c r="M1276" s="1" t="s">
        <v>1741</v>
      </c>
      <c r="N1276" s="1"/>
      <c r="O1276" s="1" t="str">
        <f>IF($J1276=Sheet2!$A$2, ROW(), "")</f>
        <v/>
      </c>
    </row>
    <row r="1277" spans="1:15" ht="14" customHeight="1" x14ac:dyDescent="0.3">
      <c r="A1277" s="1" t="s">
        <v>3373</v>
      </c>
      <c r="B1277" s="1">
        <v>21</v>
      </c>
      <c r="C1277" s="1" t="s">
        <v>3374</v>
      </c>
      <c r="D1277" s="1"/>
      <c r="E1277" s="1"/>
      <c r="F1277" s="1">
        <v>109</v>
      </c>
      <c r="G1277" s="1">
        <v>136</v>
      </c>
      <c r="H1277" s="1" t="s">
        <v>1747</v>
      </c>
      <c r="I1277" s="1">
        <v>100</v>
      </c>
      <c r="J1277" s="1" t="s">
        <v>1774</v>
      </c>
      <c r="K1277" s="1">
        <v>6</v>
      </c>
      <c r="L1277" s="1">
        <f t="shared" si="20"/>
        <v>500</v>
      </c>
      <c r="M1277" s="1" t="s">
        <v>1741</v>
      </c>
      <c r="N1277" s="1"/>
      <c r="O1277" s="1" t="str">
        <f>IF($J1277=Sheet2!$A$2, ROW(), "")</f>
        <v/>
      </c>
    </row>
    <row r="1278" spans="1:15" ht="14" customHeight="1" x14ac:dyDescent="0.3">
      <c r="A1278" s="1" t="s">
        <v>3375</v>
      </c>
      <c r="B1278" s="1">
        <v>37</v>
      </c>
      <c r="C1278" s="1" t="s">
        <v>1941</v>
      </c>
      <c r="D1278" s="1"/>
      <c r="E1278" s="1"/>
      <c r="F1278" s="1">
        <v>122</v>
      </c>
      <c r="G1278" s="1">
        <v>127</v>
      </c>
      <c r="H1278" s="1" t="s">
        <v>1749</v>
      </c>
      <c r="I1278" s="1">
        <v>150</v>
      </c>
      <c r="J1278" s="1" t="s">
        <v>1866</v>
      </c>
      <c r="K1278" s="1">
        <v>6</v>
      </c>
      <c r="L1278" s="1">
        <f t="shared" si="20"/>
        <v>750</v>
      </c>
      <c r="M1278" s="1" t="s">
        <v>1741</v>
      </c>
      <c r="N1278" s="1"/>
      <c r="O1278" s="1" t="str">
        <f>IF($J1278=Sheet2!$A$2, ROW(), "")</f>
        <v/>
      </c>
    </row>
    <row r="1279" spans="1:15" ht="14" customHeight="1" x14ac:dyDescent="0.3">
      <c r="A1279" s="1" t="s">
        <v>3376</v>
      </c>
      <c r="B1279" s="1">
        <v>33</v>
      </c>
      <c r="C1279" s="1" t="s">
        <v>1941</v>
      </c>
      <c r="D1279" s="1"/>
      <c r="E1279" s="1"/>
      <c r="F1279" s="1">
        <v>124</v>
      </c>
      <c r="G1279" s="1">
        <v>148</v>
      </c>
      <c r="H1279" s="1" t="s">
        <v>1843</v>
      </c>
      <c r="I1279" s="1">
        <v>150</v>
      </c>
      <c r="J1279" s="1" t="s">
        <v>1866</v>
      </c>
      <c r="K1279" s="1">
        <v>6</v>
      </c>
      <c r="L1279" s="1">
        <f t="shared" si="20"/>
        <v>750</v>
      </c>
      <c r="M1279" s="1" t="s">
        <v>1741</v>
      </c>
      <c r="N1279" s="1"/>
      <c r="O1279" s="1" t="str">
        <f>IF($J1279=Sheet2!$A$2, ROW(), "")</f>
        <v/>
      </c>
    </row>
    <row r="1280" spans="1:15" ht="14" customHeight="1" x14ac:dyDescent="0.3">
      <c r="A1280" s="1" t="s">
        <v>3377</v>
      </c>
      <c r="B1280" s="1">
        <v>21</v>
      </c>
      <c r="C1280" s="1" t="s">
        <v>1957</v>
      </c>
      <c r="D1280" s="1"/>
      <c r="E1280" s="1"/>
      <c r="F1280" s="1">
        <v>113</v>
      </c>
      <c r="G1280" s="1">
        <v>136</v>
      </c>
      <c r="H1280" s="1" t="s">
        <v>1887</v>
      </c>
      <c r="I1280" s="1">
        <v>150</v>
      </c>
      <c r="J1280" s="1" t="s">
        <v>1978</v>
      </c>
      <c r="K1280" s="1">
        <v>6</v>
      </c>
      <c r="L1280" s="1">
        <f t="shared" si="20"/>
        <v>750</v>
      </c>
      <c r="M1280" s="1" t="s">
        <v>1741</v>
      </c>
      <c r="N1280" s="1"/>
      <c r="O1280" s="1" t="str">
        <f>IF($J1280=Sheet2!$A$2, ROW(), "")</f>
        <v/>
      </c>
    </row>
    <row r="1281" spans="1:15" ht="14" customHeight="1" x14ac:dyDescent="0.3">
      <c r="A1281" s="1" t="s">
        <v>3378</v>
      </c>
      <c r="B1281" s="1">
        <v>20</v>
      </c>
      <c r="C1281" s="1" t="s">
        <v>1758</v>
      </c>
      <c r="D1281" s="1"/>
      <c r="E1281" s="1"/>
      <c r="F1281" s="1">
        <v>125</v>
      </c>
      <c r="G1281" s="1">
        <v>170</v>
      </c>
      <c r="H1281" s="1" t="s">
        <v>1813</v>
      </c>
      <c r="I1281" s="1">
        <v>400</v>
      </c>
      <c r="J1281" s="1" t="s">
        <v>1848</v>
      </c>
      <c r="K1281" s="1">
        <v>8</v>
      </c>
      <c r="L1281" s="1">
        <f t="shared" si="20"/>
        <v>2000</v>
      </c>
      <c r="M1281" s="1" t="s">
        <v>1741</v>
      </c>
      <c r="N1281" s="1"/>
      <c r="O1281" s="1" t="str">
        <f>IF($J1281=Sheet2!$A$2, ROW(), "")</f>
        <v/>
      </c>
    </row>
    <row r="1282" spans="1:15" ht="14" customHeight="1" x14ac:dyDescent="0.3">
      <c r="A1282" s="1" t="s">
        <v>3379</v>
      </c>
      <c r="B1282" s="1">
        <v>21</v>
      </c>
      <c r="C1282" s="1" t="s">
        <v>3380</v>
      </c>
      <c r="D1282" s="1"/>
      <c r="E1282" s="1"/>
      <c r="F1282" s="1">
        <v>108</v>
      </c>
      <c r="G1282" s="1">
        <v>142</v>
      </c>
      <c r="H1282" s="1" t="s">
        <v>1747</v>
      </c>
      <c r="I1282" s="1">
        <v>180</v>
      </c>
      <c r="J1282" s="1" t="s">
        <v>1740</v>
      </c>
      <c r="K1282" s="1">
        <v>6</v>
      </c>
      <c r="L1282" s="1">
        <f t="shared" si="20"/>
        <v>900</v>
      </c>
      <c r="M1282" s="1" t="s">
        <v>1741</v>
      </c>
      <c r="N1282" s="1"/>
      <c r="O1282" s="1" t="str">
        <f>IF($J1282=Sheet2!$A$2, ROW(), "")</f>
        <v/>
      </c>
    </row>
    <row r="1283" spans="1:15" ht="14" customHeight="1" x14ac:dyDescent="0.3">
      <c r="A1283" s="1" t="s">
        <v>3381</v>
      </c>
      <c r="B1283" s="1">
        <v>25</v>
      </c>
      <c r="C1283" s="1" t="s">
        <v>3382</v>
      </c>
      <c r="D1283" s="1"/>
      <c r="E1283" s="1"/>
      <c r="F1283" s="1">
        <v>120</v>
      </c>
      <c r="G1283" s="1">
        <v>140</v>
      </c>
      <c r="H1283" s="1" t="s">
        <v>3383</v>
      </c>
      <c r="I1283" s="1">
        <v>120</v>
      </c>
      <c r="J1283" s="1" t="s">
        <v>1774</v>
      </c>
      <c r="K1283" s="1">
        <v>6</v>
      </c>
      <c r="L1283" s="1">
        <f t="shared" si="20"/>
        <v>600</v>
      </c>
      <c r="M1283" s="1" t="s">
        <v>1741</v>
      </c>
      <c r="N1283" s="1"/>
      <c r="O1283" s="1" t="str">
        <f>IF($J1283=Sheet2!$A$2, ROW(), "")</f>
        <v/>
      </c>
    </row>
    <row r="1284" spans="1:15" ht="14" customHeight="1" x14ac:dyDescent="0.3">
      <c r="A1284" s="1" t="s">
        <v>3384</v>
      </c>
      <c r="B1284" s="1">
        <v>20</v>
      </c>
      <c r="C1284" s="1" t="s">
        <v>1738</v>
      </c>
      <c r="D1284" s="1"/>
      <c r="E1284" s="1"/>
      <c r="F1284" s="1">
        <v>124</v>
      </c>
      <c r="G1284" s="1">
        <v>150</v>
      </c>
      <c r="H1284" s="1" t="s">
        <v>3249</v>
      </c>
      <c r="I1284" s="1">
        <v>150</v>
      </c>
      <c r="J1284" s="1" t="s">
        <v>1720</v>
      </c>
      <c r="K1284" s="1">
        <v>6</v>
      </c>
      <c r="L1284" s="1">
        <f t="shared" si="20"/>
        <v>750</v>
      </c>
      <c r="M1284" s="1" t="s">
        <v>1741</v>
      </c>
      <c r="N1284" s="1"/>
      <c r="O1284" s="1" t="str">
        <f>IF($J1284=Sheet2!$A$2, ROW(), "")</f>
        <v/>
      </c>
    </row>
    <row r="1285" spans="1:15" ht="14" customHeight="1" x14ac:dyDescent="0.3">
      <c r="A1285" s="1" t="s">
        <v>3385</v>
      </c>
      <c r="B1285" s="1">
        <v>22</v>
      </c>
      <c r="C1285" s="1" t="s">
        <v>1865</v>
      </c>
      <c r="D1285" s="1"/>
      <c r="E1285" s="1"/>
      <c r="F1285" s="1">
        <v>114</v>
      </c>
      <c r="G1285" s="1">
        <v>130</v>
      </c>
      <c r="H1285" s="1" t="s">
        <v>3386</v>
      </c>
      <c r="I1285" s="1">
        <v>140</v>
      </c>
      <c r="J1285" s="1" t="s">
        <v>1740</v>
      </c>
      <c r="K1285" s="1">
        <v>6</v>
      </c>
      <c r="L1285" s="1">
        <f t="shared" si="20"/>
        <v>700</v>
      </c>
      <c r="M1285" s="1" t="s">
        <v>1741</v>
      </c>
      <c r="N1285" s="1"/>
      <c r="O1285" s="1" t="str">
        <f>IF($J1285=Sheet2!$A$2, ROW(), "")</f>
        <v/>
      </c>
    </row>
    <row r="1286" spans="1:15" ht="14" customHeight="1" x14ac:dyDescent="0.3">
      <c r="A1286" s="1" t="s">
        <v>3387</v>
      </c>
      <c r="B1286" s="1">
        <v>27</v>
      </c>
      <c r="C1286" s="1" t="s">
        <v>1957</v>
      </c>
      <c r="D1286" s="1"/>
      <c r="E1286" s="1"/>
      <c r="F1286" s="1">
        <v>114</v>
      </c>
      <c r="G1286" s="1">
        <v>120</v>
      </c>
      <c r="H1286" s="1" t="s">
        <v>1749</v>
      </c>
      <c r="I1286" s="1">
        <v>100</v>
      </c>
      <c r="J1286" s="1" t="s">
        <v>1855</v>
      </c>
      <c r="K1286" s="1">
        <v>6</v>
      </c>
      <c r="L1286" s="1">
        <f t="shared" ref="L1286:L1315" si="21">I1286*5</f>
        <v>500</v>
      </c>
      <c r="M1286" s="1" t="s">
        <v>1741</v>
      </c>
      <c r="N1286" s="1"/>
      <c r="O1286" s="24" t="str">
        <f>IF($J1286=Sheet2!$A$2, ROW(), "")</f>
        <v/>
      </c>
    </row>
    <row r="1287" spans="1:15" ht="14" customHeight="1" x14ac:dyDescent="0.3">
      <c r="A1287" s="1" t="s">
        <v>3388</v>
      </c>
      <c r="B1287" s="1">
        <v>28</v>
      </c>
      <c r="C1287" s="1" t="s">
        <v>3339</v>
      </c>
      <c r="D1287" s="1"/>
      <c r="E1287" s="1"/>
      <c r="F1287" s="1">
        <v>125</v>
      </c>
      <c r="G1287" s="1">
        <v>145</v>
      </c>
      <c r="H1287" s="1" t="s">
        <v>1739</v>
      </c>
      <c r="I1287" s="1">
        <v>150</v>
      </c>
      <c r="J1287" s="1" t="s">
        <v>1866</v>
      </c>
      <c r="K1287" s="1">
        <v>6</v>
      </c>
      <c r="L1287" s="1">
        <f t="shared" si="21"/>
        <v>750</v>
      </c>
      <c r="M1287" s="1" t="s">
        <v>1741</v>
      </c>
      <c r="N1287" s="1"/>
      <c r="O1287" s="24" t="str">
        <f>IF($J1287=Sheet2!$A$2, ROW(), "")</f>
        <v/>
      </c>
    </row>
    <row r="1288" spans="1:15" ht="14" customHeight="1" x14ac:dyDescent="0.3">
      <c r="A1288" s="1" t="s">
        <v>3389</v>
      </c>
      <c r="B1288" s="1">
        <v>22</v>
      </c>
      <c r="C1288" s="1" t="s">
        <v>1857</v>
      </c>
      <c r="D1288" s="1"/>
      <c r="E1288" s="1"/>
      <c r="F1288" s="1">
        <v>122</v>
      </c>
      <c r="G1288" s="1">
        <v>142</v>
      </c>
      <c r="H1288" s="1" t="s">
        <v>3390</v>
      </c>
      <c r="I1288" s="1">
        <v>150</v>
      </c>
      <c r="J1288" s="1" t="s">
        <v>1752</v>
      </c>
      <c r="K1288" s="1">
        <v>6</v>
      </c>
      <c r="L1288" s="1">
        <f t="shared" si="21"/>
        <v>750</v>
      </c>
      <c r="M1288" s="1" t="s">
        <v>1741</v>
      </c>
      <c r="N1288" s="1"/>
      <c r="O1288" s="24" t="str">
        <f>IF($J1288=Sheet2!$A$2, ROW(), "")</f>
        <v/>
      </c>
    </row>
    <row r="1289" spans="1:15" ht="14" customHeight="1" x14ac:dyDescent="0.3">
      <c r="A1289" s="1" t="s">
        <v>3391</v>
      </c>
      <c r="B1289" s="1">
        <v>20</v>
      </c>
      <c r="C1289" s="1" t="s">
        <v>1746</v>
      </c>
      <c r="D1289" s="1"/>
      <c r="E1289" s="1"/>
      <c r="F1289" s="1">
        <v>116</v>
      </c>
      <c r="G1289" s="1">
        <v>150</v>
      </c>
      <c r="H1289" s="1" t="s">
        <v>1739</v>
      </c>
      <c r="I1289" s="1">
        <v>100</v>
      </c>
      <c r="J1289" s="1" t="s">
        <v>1855</v>
      </c>
      <c r="K1289" s="1">
        <v>6</v>
      </c>
      <c r="L1289" s="1">
        <f t="shared" si="21"/>
        <v>500</v>
      </c>
      <c r="M1289" s="1" t="s">
        <v>1741</v>
      </c>
      <c r="N1289" s="1"/>
      <c r="O1289" s="24" t="str">
        <f>IF($J1289=Sheet2!$A$2, ROW(), "")</f>
        <v/>
      </c>
    </row>
    <row r="1290" spans="1:15" ht="14" customHeight="1" x14ac:dyDescent="0.3">
      <c r="A1290" s="1" t="s">
        <v>3392</v>
      </c>
      <c r="B1290" s="1">
        <v>34</v>
      </c>
      <c r="C1290" s="1" t="s">
        <v>3183</v>
      </c>
      <c r="D1290" s="1"/>
      <c r="E1290" s="1"/>
      <c r="F1290" s="1">
        <v>126</v>
      </c>
      <c r="G1290" s="1">
        <v>128</v>
      </c>
      <c r="H1290" s="1" t="s">
        <v>1785</v>
      </c>
      <c r="I1290" s="1">
        <v>90</v>
      </c>
      <c r="J1290" s="1" t="s">
        <v>1774</v>
      </c>
      <c r="K1290" s="1">
        <v>6</v>
      </c>
      <c r="L1290" s="1">
        <f t="shared" si="21"/>
        <v>450</v>
      </c>
      <c r="M1290" s="1" t="s">
        <v>1741</v>
      </c>
      <c r="N1290" s="1"/>
      <c r="O1290" s="24" t="str">
        <f>IF($J1290=Sheet2!$A$2, ROW(), "")</f>
        <v/>
      </c>
    </row>
    <row r="1291" spans="1:15" ht="14" customHeight="1" x14ac:dyDescent="0.3">
      <c r="A1291" s="1" t="s">
        <v>3393</v>
      </c>
      <c r="B1291" s="1">
        <v>30</v>
      </c>
      <c r="C1291" s="1" t="s">
        <v>1743</v>
      </c>
      <c r="D1291" s="1"/>
      <c r="E1291" s="1"/>
      <c r="F1291" s="1">
        <v>126</v>
      </c>
      <c r="G1291" s="1">
        <v>128</v>
      </c>
      <c r="H1291" s="1" t="s">
        <v>1862</v>
      </c>
      <c r="I1291" s="1">
        <v>80</v>
      </c>
      <c r="J1291" s="1" t="s">
        <v>1774</v>
      </c>
      <c r="K1291" s="1">
        <v>6</v>
      </c>
      <c r="L1291" s="1">
        <f t="shared" si="21"/>
        <v>400</v>
      </c>
      <c r="M1291" s="1" t="s">
        <v>1741</v>
      </c>
      <c r="N1291" s="1"/>
      <c r="O1291" s="24" t="str">
        <f>IF($J1291=Sheet2!$A$2, ROW(), "")</f>
        <v/>
      </c>
    </row>
    <row r="1292" spans="1:15" ht="14" customHeight="1" x14ac:dyDescent="0.3">
      <c r="A1292" s="1" t="s">
        <v>3394</v>
      </c>
      <c r="B1292" s="1">
        <v>28</v>
      </c>
      <c r="C1292" s="1" t="s">
        <v>1890</v>
      </c>
      <c r="D1292" s="1"/>
      <c r="E1292" s="1"/>
      <c r="F1292" s="1">
        <v>124</v>
      </c>
      <c r="G1292" s="1">
        <v>128</v>
      </c>
      <c r="H1292" s="1" t="s">
        <v>3395</v>
      </c>
      <c r="I1292" s="1">
        <v>80</v>
      </c>
      <c r="J1292" s="1" t="s">
        <v>1774</v>
      </c>
      <c r="K1292" s="1">
        <v>6</v>
      </c>
      <c r="L1292" s="1">
        <f t="shared" si="21"/>
        <v>400</v>
      </c>
      <c r="M1292" s="1" t="s">
        <v>1741</v>
      </c>
      <c r="N1292" s="1"/>
      <c r="O1292" s="24" t="str">
        <f>IF($J1292=Sheet2!$A$2, ROW(), "")</f>
        <v/>
      </c>
    </row>
    <row r="1293" spans="1:15" ht="14" customHeight="1" x14ac:dyDescent="0.3">
      <c r="A1293" s="1" t="s">
        <v>3396</v>
      </c>
      <c r="B1293" s="1">
        <v>30</v>
      </c>
      <c r="C1293" s="1" t="s">
        <v>1890</v>
      </c>
      <c r="D1293" s="1"/>
      <c r="E1293" s="1"/>
      <c r="F1293" s="1">
        <v>126</v>
      </c>
      <c r="G1293" s="1">
        <v>136</v>
      </c>
      <c r="H1293" s="1" t="s">
        <v>1785</v>
      </c>
      <c r="I1293" s="1">
        <v>90</v>
      </c>
      <c r="J1293" s="1" t="s">
        <v>1774</v>
      </c>
      <c r="K1293" s="1">
        <v>6</v>
      </c>
      <c r="L1293" s="1">
        <f t="shared" si="21"/>
        <v>450</v>
      </c>
      <c r="M1293" s="1" t="s">
        <v>1741</v>
      </c>
      <c r="N1293" s="1"/>
      <c r="O1293" s="24" t="str">
        <f>IF($J1293=Sheet2!$A$2, ROW(), "")</f>
        <v/>
      </c>
    </row>
    <row r="1294" spans="1:15" ht="14" customHeight="1" x14ac:dyDescent="0.3">
      <c r="A1294" s="1" t="s">
        <v>3397</v>
      </c>
      <c r="B1294" s="1">
        <v>31</v>
      </c>
      <c r="C1294" s="1" t="s">
        <v>1890</v>
      </c>
      <c r="D1294" s="1"/>
      <c r="E1294" s="1"/>
      <c r="F1294" s="1">
        <v>126</v>
      </c>
      <c r="G1294" s="1">
        <v>130</v>
      </c>
      <c r="H1294" s="1" t="s">
        <v>1739</v>
      </c>
      <c r="I1294" s="1">
        <v>100</v>
      </c>
      <c r="J1294" s="1" t="s">
        <v>1774</v>
      </c>
      <c r="K1294" s="1">
        <v>6</v>
      </c>
      <c r="L1294" s="1">
        <f t="shared" si="21"/>
        <v>500</v>
      </c>
      <c r="M1294" s="1" t="s">
        <v>1741</v>
      </c>
      <c r="N1294" s="1"/>
      <c r="O1294" s="24" t="str">
        <f>IF($J1294=Sheet2!$A$2, ROW(), "")</f>
        <v/>
      </c>
    </row>
    <row r="1295" spans="1:15" ht="14" customHeight="1" x14ac:dyDescent="0.3">
      <c r="A1295" s="1" t="s">
        <v>3398</v>
      </c>
      <c r="B1295" s="1">
        <v>28</v>
      </c>
      <c r="C1295" s="1" t="s">
        <v>1776</v>
      </c>
      <c r="D1295" s="1"/>
      <c r="E1295" s="1"/>
      <c r="F1295" s="1">
        <v>126</v>
      </c>
      <c r="G1295" s="1">
        <v>140</v>
      </c>
      <c r="H1295" s="1" t="s">
        <v>1808</v>
      </c>
      <c r="I1295" s="1">
        <v>100</v>
      </c>
      <c r="J1295" s="1" t="s">
        <v>1774</v>
      </c>
      <c r="K1295" s="1">
        <v>6</v>
      </c>
      <c r="L1295" s="1">
        <f t="shared" si="21"/>
        <v>500</v>
      </c>
      <c r="M1295" s="1" t="s">
        <v>1741</v>
      </c>
      <c r="N1295" s="1"/>
      <c r="O1295" s="24" t="str">
        <f>IF($J1295=Sheet2!$A$2, ROW(), "")</f>
        <v/>
      </c>
    </row>
    <row r="1296" spans="1:15" ht="14" customHeight="1" x14ac:dyDescent="0.3">
      <c r="A1296" s="1"/>
      <c r="B1296" s="1"/>
      <c r="C1296" s="1"/>
      <c r="D1296" s="1"/>
      <c r="E1296" s="1"/>
      <c r="F1296" s="1"/>
      <c r="G1296" s="1"/>
      <c r="H1296" s="1"/>
      <c r="I1296" s="1"/>
      <c r="J1296" s="1"/>
      <c r="K1296" s="1"/>
      <c r="L1296" s="1">
        <f t="shared" si="21"/>
        <v>0</v>
      </c>
      <c r="M1296" s="1"/>
      <c r="N1296" s="1"/>
      <c r="O1296" s="24" t="str">
        <f>IF($J1296=Sheet2!$A$2, ROW(), "")</f>
        <v/>
      </c>
    </row>
    <row r="1297" spans="1:15" ht="14" customHeight="1" x14ac:dyDescent="0.3">
      <c r="A1297" s="1"/>
      <c r="B1297" s="1"/>
      <c r="C1297" s="1"/>
      <c r="D1297" s="1"/>
      <c r="E1297" s="1"/>
      <c r="F1297" s="1"/>
      <c r="G1297" s="1"/>
      <c r="H1297" s="1"/>
      <c r="I1297" s="1"/>
      <c r="J1297" s="1"/>
      <c r="K1297" s="1"/>
      <c r="L1297" s="1">
        <f t="shared" si="21"/>
        <v>0</v>
      </c>
      <c r="M1297" s="1"/>
      <c r="N1297" s="1"/>
      <c r="O1297" s="24" t="str">
        <f>IF($J1297=Sheet2!$A$2, ROW(), "")</f>
        <v/>
      </c>
    </row>
    <row r="1298" spans="1:15" ht="14" customHeight="1" x14ac:dyDescent="0.3">
      <c r="A1298" s="1"/>
      <c r="B1298" s="1"/>
      <c r="C1298" s="1"/>
      <c r="D1298" s="1"/>
      <c r="E1298" s="1"/>
      <c r="F1298" s="1"/>
      <c r="G1298" s="1"/>
      <c r="H1298" s="1"/>
      <c r="I1298" s="1"/>
      <c r="J1298" s="1"/>
      <c r="K1298" s="1"/>
      <c r="L1298" s="1">
        <f t="shared" si="21"/>
        <v>0</v>
      </c>
      <c r="M1298" s="1"/>
      <c r="N1298" s="1"/>
      <c r="O1298" s="24" t="str">
        <f>IF($J1298=Sheet2!$A$2, ROW(), "")</f>
        <v/>
      </c>
    </row>
    <row r="1299" spans="1:15" ht="14" customHeight="1" x14ac:dyDescent="0.3">
      <c r="A1299" s="1"/>
      <c r="B1299" s="1"/>
      <c r="C1299" s="1"/>
      <c r="D1299" s="1"/>
      <c r="E1299" s="1"/>
      <c r="F1299" s="1"/>
      <c r="G1299" s="1"/>
      <c r="H1299" s="1"/>
      <c r="I1299" s="1"/>
      <c r="J1299" s="1"/>
      <c r="K1299" s="1"/>
      <c r="L1299" s="1">
        <f t="shared" si="21"/>
        <v>0</v>
      </c>
      <c r="M1299" s="1"/>
      <c r="N1299" s="1"/>
      <c r="O1299" s="24" t="str">
        <f>IF($J1299=Sheet2!$A$2, ROW(), "")</f>
        <v/>
      </c>
    </row>
    <row r="1300" spans="1:15" ht="14" customHeight="1" x14ac:dyDescent="0.3">
      <c r="A1300" s="1"/>
      <c r="B1300" s="1"/>
      <c r="C1300" s="1"/>
      <c r="D1300" s="1"/>
      <c r="E1300" s="1"/>
      <c r="F1300" s="1"/>
      <c r="G1300" s="1"/>
      <c r="H1300" s="1"/>
      <c r="I1300" s="1"/>
      <c r="J1300" s="1"/>
      <c r="K1300" s="1"/>
      <c r="L1300" s="1">
        <f t="shared" si="21"/>
        <v>0</v>
      </c>
      <c r="M1300" s="1"/>
      <c r="N1300" s="1"/>
      <c r="O1300" s="24" t="str">
        <f>IF($J1300=Sheet2!$A$2, ROW(), "")</f>
        <v/>
      </c>
    </row>
    <row r="1301" spans="1:15" ht="14" customHeight="1" x14ac:dyDescent="0.3">
      <c r="A1301" s="1"/>
      <c r="B1301" s="1"/>
      <c r="C1301" s="1"/>
      <c r="D1301" s="1"/>
      <c r="E1301" s="1"/>
      <c r="F1301" s="1"/>
      <c r="G1301" s="1"/>
      <c r="H1301" s="1"/>
      <c r="I1301" s="1"/>
      <c r="J1301" s="1"/>
      <c r="K1301" s="1"/>
      <c r="L1301" s="1">
        <f t="shared" si="21"/>
        <v>0</v>
      </c>
      <c r="M1301" s="1"/>
      <c r="N1301" s="1"/>
      <c r="O1301" s="24" t="str">
        <f>IF($J1301=Sheet2!$A$2, ROW(), "")</f>
        <v/>
      </c>
    </row>
    <row r="1302" spans="1:15" ht="14" customHeight="1" x14ac:dyDescent="0.3">
      <c r="A1302" s="1"/>
      <c r="B1302" s="1"/>
      <c r="C1302" s="1"/>
      <c r="D1302" s="1"/>
      <c r="E1302" s="1"/>
      <c r="F1302" s="1"/>
      <c r="G1302" s="1"/>
      <c r="H1302" s="1"/>
      <c r="I1302" s="1"/>
      <c r="J1302" s="1"/>
      <c r="K1302" s="1"/>
      <c r="L1302" s="1">
        <f t="shared" si="21"/>
        <v>0</v>
      </c>
      <c r="M1302" s="1"/>
      <c r="N1302" s="1"/>
      <c r="O1302" s="24" t="str">
        <f>IF($J1302=Sheet2!$A$2, ROW(), "")</f>
        <v/>
      </c>
    </row>
    <row r="1303" spans="1:15" ht="14" customHeight="1" x14ac:dyDescent="0.3">
      <c r="A1303" s="1"/>
      <c r="B1303" s="1"/>
      <c r="C1303" s="1"/>
      <c r="D1303" s="1"/>
      <c r="E1303" s="1"/>
      <c r="F1303" s="1"/>
      <c r="G1303" s="1"/>
      <c r="H1303" s="1"/>
      <c r="I1303" s="1"/>
      <c r="J1303" s="1"/>
      <c r="K1303" s="1"/>
      <c r="L1303" s="1">
        <f t="shared" si="21"/>
        <v>0</v>
      </c>
      <c r="M1303" s="1"/>
      <c r="N1303" s="1"/>
      <c r="O1303" s="24" t="str">
        <f>IF($J1303=Sheet2!$A$2, ROW(), "")</f>
        <v/>
      </c>
    </row>
    <row r="1304" spans="1:15" ht="14" customHeight="1" x14ac:dyDescent="0.3">
      <c r="A1304" s="1"/>
      <c r="B1304" s="1"/>
      <c r="C1304" s="1"/>
      <c r="D1304" s="1"/>
      <c r="E1304" s="1"/>
      <c r="F1304" s="1"/>
      <c r="G1304" s="1"/>
      <c r="H1304" s="1"/>
      <c r="I1304" s="1"/>
      <c r="J1304" s="1"/>
      <c r="K1304" s="1"/>
      <c r="L1304" s="1">
        <f t="shared" si="21"/>
        <v>0</v>
      </c>
      <c r="M1304" s="1"/>
      <c r="N1304" s="1"/>
      <c r="O1304" s="24" t="str">
        <f>IF($J1304=Sheet2!$A$2, ROW(), "")</f>
        <v/>
      </c>
    </row>
    <row r="1305" spans="1:15" ht="14" customHeight="1" x14ac:dyDescent="0.3">
      <c r="A1305" s="1"/>
      <c r="B1305" s="1"/>
      <c r="C1305" s="1"/>
      <c r="D1305" s="1"/>
      <c r="E1305" s="1"/>
      <c r="F1305" s="1"/>
      <c r="G1305" s="1"/>
      <c r="H1305" s="1"/>
      <c r="I1305" s="1"/>
      <c r="J1305" s="1"/>
      <c r="K1305" s="1"/>
      <c r="L1305" s="1">
        <f t="shared" si="21"/>
        <v>0</v>
      </c>
      <c r="M1305" s="1"/>
      <c r="N1305" s="1"/>
      <c r="O1305" s="24" t="str">
        <f>IF($J1305=Sheet2!$A$2, ROW(), "")</f>
        <v/>
      </c>
    </row>
    <row r="1306" spans="1:15" ht="14" customHeight="1" x14ac:dyDescent="0.3">
      <c r="A1306" s="1"/>
      <c r="B1306" s="1"/>
      <c r="C1306" s="1"/>
      <c r="D1306" s="1"/>
      <c r="E1306" s="1"/>
      <c r="F1306" s="1"/>
      <c r="G1306" s="1"/>
      <c r="H1306" s="1"/>
      <c r="I1306" s="1"/>
      <c r="J1306" s="1"/>
      <c r="K1306" s="1"/>
      <c r="L1306" s="1">
        <f t="shared" si="21"/>
        <v>0</v>
      </c>
      <c r="M1306" s="1"/>
      <c r="N1306" s="1"/>
      <c r="O1306" s="24" t="str">
        <f>IF($J1306=Sheet2!$A$2, ROW(), "")</f>
        <v/>
      </c>
    </row>
    <row r="1307" spans="1:15" ht="14" customHeight="1" x14ac:dyDescent="0.3">
      <c r="A1307" s="1"/>
      <c r="B1307" s="1"/>
      <c r="C1307" s="1"/>
      <c r="D1307" s="1"/>
      <c r="E1307" s="1"/>
      <c r="F1307" s="1"/>
      <c r="G1307" s="1"/>
      <c r="H1307" s="1"/>
      <c r="I1307" s="1"/>
      <c r="J1307" s="1"/>
      <c r="K1307" s="1"/>
      <c r="L1307" s="1">
        <f t="shared" si="21"/>
        <v>0</v>
      </c>
      <c r="M1307" s="1"/>
      <c r="N1307" s="1"/>
      <c r="O1307" s="24" t="str">
        <f>IF($J1307=Sheet2!$A$2, ROW(), "")</f>
        <v/>
      </c>
    </row>
    <row r="1308" spans="1:15" ht="14" customHeight="1" x14ac:dyDescent="0.3">
      <c r="A1308" s="1"/>
      <c r="B1308" s="1"/>
      <c r="C1308" s="1"/>
      <c r="D1308" s="1"/>
      <c r="E1308" s="1"/>
      <c r="F1308" s="1"/>
      <c r="G1308" s="1"/>
      <c r="H1308" s="1"/>
      <c r="I1308" s="1"/>
      <c r="J1308" s="1"/>
      <c r="K1308" s="1"/>
      <c r="L1308" s="1">
        <f t="shared" si="21"/>
        <v>0</v>
      </c>
      <c r="M1308" s="1"/>
      <c r="N1308" s="1"/>
      <c r="O1308" s="24" t="str">
        <f>IF($J1308=Sheet2!$A$2, ROW(), "")</f>
        <v/>
      </c>
    </row>
    <row r="1309" spans="1:15" ht="14" customHeight="1" x14ac:dyDescent="0.3">
      <c r="A1309" s="1"/>
      <c r="B1309" s="1"/>
      <c r="C1309" s="1"/>
      <c r="D1309" s="1"/>
      <c r="E1309" s="1"/>
      <c r="F1309" s="1"/>
      <c r="G1309" s="1"/>
      <c r="H1309" s="1"/>
      <c r="I1309" s="1"/>
      <c r="J1309" s="1"/>
      <c r="K1309" s="1"/>
      <c r="L1309" s="1">
        <f t="shared" si="21"/>
        <v>0</v>
      </c>
      <c r="M1309" s="1"/>
      <c r="N1309" s="1"/>
      <c r="O1309" s="24" t="str">
        <f>IF($J1309=Sheet2!$A$2, ROW(), "")</f>
        <v/>
      </c>
    </row>
    <row r="1310" spans="1:15" ht="14" customHeight="1" x14ac:dyDescent="0.3">
      <c r="A1310" s="1"/>
      <c r="B1310" s="1"/>
      <c r="C1310" s="1"/>
      <c r="D1310" s="1"/>
      <c r="E1310" s="1"/>
      <c r="F1310" s="1"/>
      <c r="G1310" s="1"/>
      <c r="H1310" s="1"/>
      <c r="I1310" s="1"/>
      <c r="J1310" s="1"/>
      <c r="K1310" s="1"/>
      <c r="L1310" s="1">
        <f t="shared" si="21"/>
        <v>0</v>
      </c>
      <c r="M1310" s="1"/>
      <c r="N1310" s="1"/>
      <c r="O1310" s="24" t="str">
        <f>IF($J1310=Sheet2!$A$2, ROW(), "")</f>
        <v/>
      </c>
    </row>
    <row r="1311" spans="1:15" ht="14" customHeight="1" x14ac:dyDescent="0.3">
      <c r="A1311" s="1"/>
      <c r="B1311" s="1"/>
      <c r="C1311" s="1"/>
      <c r="D1311" s="1"/>
      <c r="E1311" s="1"/>
      <c r="F1311" s="1"/>
      <c r="G1311" s="1"/>
      <c r="H1311" s="1"/>
      <c r="I1311" s="1"/>
      <c r="J1311" s="1"/>
      <c r="K1311" s="1"/>
      <c r="L1311" s="1">
        <f t="shared" si="21"/>
        <v>0</v>
      </c>
      <c r="M1311" s="1"/>
      <c r="N1311" s="1"/>
      <c r="O1311" s="24" t="str">
        <f>IF($J1311=Sheet2!$A$2, ROW(), "")</f>
        <v/>
      </c>
    </row>
    <row r="1312" spans="1:15" ht="14" customHeight="1" x14ac:dyDescent="0.3">
      <c r="A1312" s="1"/>
      <c r="B1312" s="1"/>
      <c r="C1312" s="1"/>
      <c r="D1312" s="1"/>
      <c r="E1312" s="1"/>
      <c r="F1312" s="1"/>
      <c r="G1312" s="1"/>
      <c r="H1312" s="1"/>
      <c r="I1312" s="1"/>
      <c r="J1312" s="1"/>
      <c r="K1312" s="1"/>
      <c r="L1312" s="1">
        <f t="shared" si="21"/>
        <v>0</v>
      </c>
      <c r="M1312" s="1"/>
      <c r="N1312" s="1"/>
      <c r="O1312" s="24" t="str">
        <f>IF($J1312=Sheet2!$A$2, ROW(), "")</f>
        <v/>
      </c>
    </row>
    <row r="1313" spans="1:15" ht="14" customHeight="1" x14ac:dyDescent="0.3">
      <c r="A1313" s="1"/>
      <c r="B1313" s="1"/>
      <c r="C1313" s="1"/>
      <c r="D1313" s="1"/>
      <c r="E1313" s="1"/>
      <c r="F1313" s="1"/>
      <c r="G1313" s="1"/>
      <c r="H1313" s="1"/>
      <c r="I1313" s="1"/>
      <c r="J1313" s="1"/>
      <c r="K1313" s="1"/>
      <c r="L1313" s="1">
        <f t="shared" si="21"/>
        <v>0</v>
      </c>
      <c r="M1313" s="1"/>
      <c r="N1313" s="1"/>
      <c r="O1313" s="24" t="str">
        <f>IF($J1313=Sheet2!$A$2, ROW(), "")</f>
        <v/>
      </c>
    </row>
    <row r="1314" spans="1:15" ht="14" customHeight="1" x14ac:dyDescent="0.3">
      <c r="A1314" s="1"/>
      <c r="B1314" s="1"/>
      <c r="C1314" s="1"/>
      <c r="D1314" s="1"/>
      <c r="E1314" s="1"/>
      <c r="F1314" s="1"/>
      <c r="G1314" s="1"/>
      <c r="H1314" s="1"/>
      <c r="I1314" s="1"/>
      <c r="J1314" s="1"/>
      <c r="K1314" s="1"/>
      <c r="L1314" s="1">
        <f t="shared" si="21"/>
        <v>0</v>
      </c>
      <c r="M1314" s="1"/>
      <c r="N1314" s="1"/>
      <c r="O1314" s="24" t="str">
        <f>IF($J1314=Sheet2!$A$2, ROW(), "")</f>
        <v/>
      </c>
    </row>
    <row r="1315" spans="1:15" ht="14" customHeight="1" x14ac:dyDescent="0.3">
      <c r="A1315" s="1"/>
      <c r="B1315" s="1"/>
      <c r="C1315" s="1"/>
      <c r="D1315" s="1"/>
      <c r="E1315" s="1"/>
      <c r="F1315" s="1"/>
      <c r="G1315" s="1"/>
      <c r="H1315" s="1"/>
      <c r="I1315" s="1"/>
      <c r="J1315" s="1"/>
      <c r="K1315" s="1"/>
      <c r="L1315" s="1">
        <f t="shared" si="21"/>
        <v>0</v>
      </c>
      <c r="M1315" s="1"/>
      <c r="N1315" s="1"/>
      <c r="O1315" s="24" t="str">
        <f>IF($J1315=Sheet2!$A$2, ROW(), "")</f>
        <v/>
      </c>
    </row>
  </sheetData>
  <phoneticPr fontId="1" type="noConversion"/>
  <hyperlinks>
    <hyperlink ref="Q2" r:id="rId1" xr:uid="{00F7132A-C563-45ED-91F7-6CF7EFA61CE1}"/>
    <hyperlink ref="Q3:Q1194" r:id="rId2" display="https://i.pinimg.com/564x/89/b5/39/89b5392d6321520990ce45b123a24edc.jpg" xr:uid="{622FAF98-7465-4A0C-BDB8-83CF43B42519}"/>
    <hyperlink ref="S2" r:id="rId3" xr:uid="{7FE83A1D-B3A2-46EB-90C0-BDAD2E908BAB}"/>
  </hyperlinks>
  <pageMargins left="0.7" right="0.7" top="0.75" bottom="0.75" header="0.3" footer="0.3"/>
  <pageSetup paperSize="9" orientation="portrait" r:id="rId4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FAEE8-7A2D-4B6A-8276-7A9376D6D7AA}">
  <dimension ref="A1:N45"/>
  <sheetViews>
    <sheetView workbookViewId="0">
      <selection activeCell="I5" sqref="I5"/>
    </sheetView>
  </sheetViews>
  <sheetFormatPr defaultColWidth="10.6640625" defaultRowHeight="16" x14ac:dyDescent="0.3"/>
  <cols>
    <col min="1" max="1" width="16.33203125" style="7" customWidth="1"/>
    <col min="2" max="2" width="16.33203125" style="2" customWidth="1"/>
    <col min="3" max="3" width="34.1640625" style="2" customWidth="1"/>
    <col min="4" max="4" width="22.83203125" style="2" customWidth="1"/>
    <col min="5" max="5" width="10.58203125" style="2" customWidth="1"/>
    <col min="6" max="6" width="13.25" style="2" customWidth="1"/>
    <col min="7" max="7" width="10.58203125" style="2" customWidth="1"/>
    <col min="8" max="8" width="10" style="2" bestFit="1" customWidth="1"/>
    <col min="9" max="9" width="13.25" style="2" customWidth="1"/>
    <col min="10" max="10" width="11.6640625" style="2" customWidth="1"/>
    <col min="11" max="11" width="12.08203125" style="2" customWidth="1"/>
    <col min="12" max="12" width="7.9140625" style="2" customWidth="1"/>
    <col min="13" max="16384" width="10.6640625" style="2"/>
  </cols>
  <sheetData>
    <row r="1" spans="1:13" s="8" customFormat="1" ht="21.5" x14ac:dyDescent="0.3">
      <c r="A1" s="8" t="s">
        <v>1704</v>
      </c>
      <c r="B1" s="8" t="s">
        <v>1705</v>
      </c>
      <c r="C1" s="8" t="s">
        <v>1706</v>
      </c>
      <c r="D1" s="8" t="s">
        <v>1707</v>
      </c>
      <c r="E1" s="8" t="s">
        <v>1708</v>
      </c>
      <c r="F1" s="8" t="s">
        <v>1709</v>
      </c>
      <c r="G1" s="8" t="s">
        <v>1710</v>
      </c>
      <c r="H1" s="8" t="s">
        <v>1711</v>
      </c>
      <c r="I1" s="8" t="s">
        <v>1712</v>
      </c>
      <c r="J1" s="8" t="s">
        <v>1713</v>
      </c>
      <c r="K1" s="8" t="s">
        <v>1714</v>
      </c>
      <c r="L1" s="8" t="s">
        <v>1715</v>
      </c>
      <c r="M1" s="8" t="s">
        <v>1716</v>
      </c>
    </row>
    <row r="2" spans="1:13" ht="42" x14ac:dyDescent="0.3">
      <c r="A2" s="6" t="s">
        <v>271</v>
      </c>
      <c r="B2" s="1" t="s">
        <v>1618</v>
      </c>
      <c r="C2" s="1" t="s">
        <v>3274</v>
      </c>
      <c r="D2" s="1" t="s">
        <v>1619</v>
      </c>
      <c r="E2" s="1">
        <v>15000</v>
      </c>
      <c r="F2" s="3">
        <v>9228</v>
      </c>
      <c r="G2" s="5">
        <f>表2[[#This Row],[场均上座]]/表2[[#This Row],[座席数]]</f>
        <v>0.61519999999999997</v>
      </c>
      <c r="H2" s="3">
        <f>表2[[#This Row],[场均上座]]*95*20</f>
        <v>17533200</v>
      </c>
      <c r="I2" s="1">
        <v>903</v>
      </c>
      <c r="J2" s="1" t="s">
        <v>3186</v>
      </c>
      <c r="K2" s="1" t="s">
        <v>3187</v>
      </c>
      <c r="L2" s="1">
        <v>22</v>
      </c>
      <c r="M2" s="1" t="s">
        <v>1620</v>
      </c>
    </row>
    <row r="3" spans="1:13" ht="42" x14ac:dyDescent="0.3">
      <c r="A3" s="6" t="s">
        <v>1774</v>
      </c>
      <c r="B3" s="1" t="s">
        <v>1622</v>
      </c>
      <c r="C3" s="1" t="s">
        <v>3276</v>
      </c>
      <c r="D3" s="1" t="s">
        <v>1623</v>
      </c>
      <c r="E3" s="1">
        <v>30000</v>
      </c>
      <c r="F3" s="3">
        <v>9195</v>
      </c>
      <c r="G3" s="5">
        <f>表2[[#This Row],[场均上座]]/表2[[#This Row],[座席数]]</f>
        <v>0.30649999999999999</v>
      </c>
      <c r="H3" s="3">
        <f>表2[[#This Row],[场均上座]]*95*20</f>
        <v>17470500</v>
      </c>
      <c r="I3" s="1">
        <v>8259</v>
      </c>
      <c r="J3" s="1" t="s">
        <v>3188</v>
      </c>
      <c r="K3" s="1"/>
      <c r="L3" s="1"/>
      <c r="M3" s="1" t="s">
        <v>1624</v>
      </c>
    </row>
    <row r="4" spans="1:13" ht="42" x14ac:dyDescent="0.3">
      <c r="A4" s="6" t="s">
        <v>683</v>
      </c>
      <c r="B4" s="1" t="s">
        <v>1703</v>
      </c>
      <c r="C4" s="1" t="s">
        <v>3262</v>
      </c>
      <c r="D4" s="1" t="s">
        <v>1625</v>
      </c>
      <c r="E4" s="1">
        <v>10000</v>
      </c>
      <c r="F4" s="1">
        <v>9468</v>
      </c>
      <c r="G4" s="5">
        <f>表2[[#This Row],[场均上座]]/表2[[#This Row],[座席数]]</f>
        <v>0.94679999999999997</v>
      </c>
      <c r="H4" s="3">
        <f>表2[[#This Row],[场均上座]]*95*20</f>
        <v>17989200</v>
      </c>
      <c r="I4" s="1">
        <v>6680</v>
      </c>
      <c r="J4" s="1" t="s">
        <v>3189</v>
      </c>
      <c r="K4" s="1" t="s">
        <v>3190</v>
      </c>
      <c r="L4" s="1">
        <v>5</v>
      </c>
      <c r="M4" s="1" t="s">
        <v>203</v>
      </c>
    </row>
    <row r="5" spans="1:13" ht="42" x14ac:dyDescent="0.3">
      <c r="A5" s="6" t="s">
        <v>173</v>
      </c>
      <c r="B5" s="1" t="s">
        <v>1782</v>
      </c>
      <c r="C5" s="1" t="s">
        <v>3312</v>
      </c>
      <c r="D5" s="1" t="s">
        <v>1626</v>
      </c>
      <c r="E5" s="1">
        <v>3500</v>
      </c>
      <c r="F5" s="1">
        <v>128</v>
      </c>
      <c r="G5" s="5">
        <f>表2[[#This Row],[场均上座]]/表2[[#This Row],[座席数]]</f>
        <v>3.6571428571428574E-2</v>
      </c>
      <c r="H5" s="3">
        <f>表2[[#This Row],[场均上座]]*95*20</f>
        <v>243200</v>
      </c>
      <c r="I5" s="1">
        <v>3600</v>
      </c>
      <c r="J5" s="1" t="s">
        <v>3191</v>
      </c>
      <c r="K5" s="1"/>
      <c r="L5" s="1"/>
      <c r="M5" s="1" t="s">
        <v>203</v>
      </c>
    </row>
    <row r="6" spans="1:13" x14ac:dyDescent="0.3">
      <c r="A6" s="6" t="s">
        <v>91</v>
      </c>
      <c r="B6" s="1" t="s">
        <v>1627</v>
      </c>
      <c r="C6" s="1" t="s">
        <v>3178</v>
      </c>
      <c r="D6" s="1" t="s">
        <v>1628</v>
      </c>
      <c r="E6" s="1">
        <v>250</v>
      </c>
      <c r="F6" s="1">
        <v>76</v>
      </c>
      <c r="G6" s="5">
        <f>表2[[#This Row],[场均上座]]/表2[[#This Row],[座席数]]</f>
        <v>0.30399999999999999</v>
      </c>
      <c r="H6" s="3">
        <f>表2[[#This Row],[场均上座]]*95*20</f>
        <v>144400</v>
      </c>
      <c r="I6" s="1">
        <v>2964</v>
      </c>
      <c r="J6" s="1"/>
      <c r="K6" s="1"/>
      <c r="L6" s="1">
        <v>2</v>
      </c>
      <c r="M6" s="1" t="s">
        <v>203</v>
      </c>
    </row>
    <row r="7" spans="1:13" ht="42" x14ac:dyDescent="0.3">
      <c r="A7" s="6" t="s">
        <v>520</v>
      </c>
      <c r="B7" s="1" t="s">
        <v>1629</v>
      </c>
      <c r="C7" s="1" t="s">
        <v>3278</v>
      </c>
      <c r="D7" s="1" t="s">
        <v>1630</v>
      </c>
      <c r="E7" s="1">
        <v>700</v>
      </c>
      <c r="F7" s="1">
        <v>582</v>
      </c>
      <c r="G7" s="5">
        <f>表2[[#This Row],[场均上座]]/表2[[#This Row],[座席数]]</f>
        <v>0.83142857142857141</v>
      </c>
      <c r="H7" s="3">
        <f>表2[[#This Row],[场均上座]]*95*20</f>
        <v>1105800</v>
      </c>
      <c r="I7" s="1">
        <v>1050</v>
      </c>
      <c r="J7" s="1" t="s">
        <v>3192</v>
      </c>
      <c r="K7" s="1"/>
      <c r="L7" s="1">
        <v>10</v>
      </c>
      <c r="M7" s="1" t="s">
        <v>203</v>
      </c>
    </row>
    <row r="8" spans="1:13" ht="42" x14ac:dyDescent="0.3">
      <c r="A8" s="6" t="s">
        <v>689</v>
      </c>
      <c r="B8" s="1" t="s">
        <v>1631</v>
      </c>
      <c r="C8" s="1" t="s">
        <v>3264</v>
      </c>
      <c r="D8" s="1" t="s">
        <v>1632</v>
      </c>
      <c r="E8" s="1">
        <v>30000</v>
      </c>
      <c r="F8" s="3">
        <v>29938</v>
      </c>
      <c r="G8" s="5">
        <f>表2[[#This Row],[场均上座]]/表2[[#This Row],[座席数]]</f>
        <v>0.99793333333333334</v>
      </c>
      <c r="H8" s="3">
        <f>表2[[#This Row],[场均上座]]*95*20</f>
        <v>56882200</v>
      </c>
      <c r="I8" s="1">
        <v>10573</v>
      </c>
      <c r="J8" s="1" t="s">
        <v>3193</v>
      </c>
      <c r="K8" s="1" t="s">
        <v>3194</v>
      </c>
      <c r="L8" s="1"/>
      <c r="M8" s="1" t="s">
        <v>203</v>
      </c>
    </row>
    <row r="9" spans="1:13" x14ac:dyDescent="0.3">
      <c r="A9" s="6" t="s">
        <v>303</v>
      </c>
      <c r="B9" s="1" t="s">
        <v>1633</v>
      </c>
      <c r="C9" s="1" t="s">
        <v>1634</v>
      </c>
      <c r="D9" s="1" t="s">
        <v>1635</v>
      </c>
      <c r="E9" s="1">
        <v>15000</v>
      </c>
      <c r="F9" s="3">
        <v>0</v>
      </c>
      <c r="G9" s="5">
        <f>表2[[#This Row],[场均上座]]/表2[[#This Row],[座席数]]</f>
        <v>0</v>
      </c>
      <c r="H9" s="3">
        <f>表2[[#This Row],[场均上座]]*95*20</f>
        <v>0</v>
      </c>
      <c r="I9" s="1">
        <v>382</v>
      </c>
      <c r="J9" s="1"/>
      <c r="K9" s="1"/>
      <c r="L9" s="1"/>
      <c r="M9" s="1" t="s">
        <v>1979</v>
      </c>
    </row>
    <row r="10" spans="1:13" ht="42" x14ac:dyDescent="0.3">
      <c r="A10" s="6" t="s">
        <v>264</v>
      </c>
      <c r="B10" s="1" t="s">
        <v>1637</v>
      </c>
      <c r="C10" s="1" t="s">
        <v>3279</v>
      </c>
      <c r="D10" s="1" t="s">
        <v>1638</v>
      </c>
      <c r="E10" s="1">
        <v>10000</v>
      </c>
      <c r="F10" s="1">
        <v>3884</v>
      </c>
      <c r="G10" s="5">
        <f>表2[[#This Row],[场均上座]]/表2[[#This Row],[座席数]]</f>
        <v>0.38840000000000002</v>
      </c>
      <c r="H10" s="3">
        <f>表2[[#This Row],[场均上座]]*95*20</f>
        <v>7379600</v>
      </c>
      <c r="I10" s="1">
        <v>3680</v>
      </c>
      <c r="J10" s="1" t="s">
        <v>3195</v>
      </c>
      <c r="K10" s="1" t="s">
        <v>3196</v>
      </c>
      <c r="L10" s="1">
        <v>20</v>
      </c>
      <c r="M10" s="1" t="s">
        <v>1639</v>
      </c>
    </row>
    <row r="11" spans="1:13" ht="42" x14ac:dyDescent="0.3">
      <c r="A11" s="6" t="s">
        <v>111</v>
      </c>
      <c r="B11" s="1" t="s">
        <v>1640</v>
      </c>
      <c r="C11" s="1" t="s">
        <v>3263</v>
      </c>
      <c r="D11" s="1" t="s">
        <v>1641</v>
      </c>
      <c r="E11" s="1">
        <v>700</v>
      </c>
      <c r="F11" s="1">
        <v>700</v>
      </c>
      <c r="G11" s="5">
        <f>表2[[#This Row],[场均上座]]/表2[[#This Row],[座席数]]</f>
        <v>1</v>
      </c>
      <c r="H11" s="3">
        <f>表2[[#This Row],[场均上座]]*95*20</f>
        <v>1330000</v>
      </c>
      <c r="I11" s="1">
        <v>831</v>
      </c>
      <c r="J11" s="1" t="s">
        <v>3197</v>
      </c>
      <c r="K11" s="1" t="s">
        <v>3198</v>
      </c>
      <c r="L11" s="1">
        <v>20</v>
      </c>
      <c r="M11" s="1" t="s">
        <v>203</v>
      </c>
    </row>
    <row r="12" spans="1:13" ht="42" x14ac:dyDescent="0.3">
      <c r="A12" s="6" t="s">
        <v>248</v>
      </c>
      <c r="B12" s="1" t="s">
        <v>1642</v>
      </c>
      <c r="C12" s="1" t="s">
        <v>3268</v>
      </c>
      <c r="D12" s="1" t="s">
        <v>1851</v>
      </c>
      <c r="E12" s="1">
        <v>3000</v>
      </c>
      <c r="F12" s="1">
        <v>2848</v>
      </c>
      <c r="G12" s="5">
        <f>表2[[#This Row],[场均上座]]/表2[[#This Row],[座席数]]</f>
        <v>0.94933333333333336</v>
      </c>
      <c r="H12" s="3">
        <f>表2[[#This Row],[场均上座]]*95*20</f>
        <v>5411200</v>
      </c>
      <c r="I12" s="1">
        <v>4217</v>
      </c>
      <c r="J12" s="1" t="s">
        <v>3199</v>
      </c>
      <c r="K12" s="1" t="s">
        <v>3200</v>
      </c>
      <c r="L12" s="1">
        <v>100</v>
      </c>
      <c r="M12" s="1" t="s">
        <v>1980</v>
      </c>
    </row>
    <row r="13" spans="1:13" ht="42" x14ac:dyDescent="0.3">
      <c r="A13" s="6" t="s">
        <v>130</v>
      </c>
      <c r="B13" s="1" t="s">
        <v>1643</v>
      </c>
      <c r="C13" s="1" t="s">
        <v>3261</v>
      </c>
      <c r="D13" s="1" t="s">
        <v>1644</v>
      </c>
      <c r="E13" s="1">
        <v>16500</v>
      </c>
      <c r="F13" s="3">
        <v>9472</v>
      </c>
      <c r="G13" s="5">
        <f>表2[[#This Row],[场均上座]]/表2[[#This Row],[座席数]]</f>
        <v>0.57406060606060605</v>
      </c>
      <c r="H13" s="3">
        <f>表2[[#This Row],[场均上座]]*95*20</f>
        <v>17996800</v>
      </c>
      <c r="I13" s="1">
        <v>8200</v>
      </c>
      <c r="J13" s="1" t="s">
        <v>3201</v>
      </c>
      <c r="K13" s="1" t="s">
        <v>3202</v>
      </c>
      <c r="L13" s="1">
        <v>3</v>
      </c>
      <c r="M13" s="1" t="s">
        <v>1645</v>
      </c>
    </row>
    <row r="14" spans="1:13" ht="28" x14ac:dyDescent="0.3">
      <c r="A14" s="6" t="s">
        <v>327</v>
      </c>
      <c r="B14" s="1" t="s">
        <v>1646</v>
      </c>
      <c r="C14" s="1" t="s">
        <v>3269</v>
      </c>
      <c r="D14" s="1" t="s">
        <v>1623</v>
      </c>
      <c r="E14" s="1">
        <v>30000</v>
      </c>
      <c r="F14" s="3">
        <v>29839</v>
      </c>
      <c r="G14" s="5">
        <f>表2[[#This Row],[场均上座]]/表2[[#This Row],[座席数]]</f>
        <v>0.99463333333333337</v>
      </c>
      <c r="H14" s="3">
        <f>表2[[#This Row],[场均上座]]*95*20</f>
        <v>56694100</v>
      </c>
      <c r="I14" s="1">
        <v>9179</v>
      </c>
      <c r="J14" s="1" t="s">
        <v>3203</v>
      </c>
      <c r="K14" s="1" t="s">
        <v>3204</v>
      </c>
      <c r="L14" s="1"/>
      <c r="M14" s="1" t="s">
        <v>203</v>
      </c>
    </row>
    <row r="15" spans="1:13" ht="42" x14ac:dyDescent="0.3">
      <c r="A15" s="6" t="s">
        <v>274</v>
      </c>
      <c r="B15" s="1" t="s">
        <v>1647</v>
      </c>
      <c r="C15" s="1" t="s">
        <v>3270</v>
      </c>
      <c r="D15" s="1" t="s">
        <v>1927</v>
      </c>
      <c r="E15" s="1">
        <v>35000</v>
      </c>
      <c r="F15" s="3">
        <v>24259</v>
      </c>
      <c r="G15" s="5">
        <f>表2[[#This Row],[场均上座]]/表2[[#This Row],[座席数]]</f>
        <v>0.69311428571428568</v>
      </c>
      <c r="H15" s="3">
        <f>表2[[#This Row],[场均上座]]*95*20</f>
        <v>46092100</v>
      </c>
      <c r="I15" s="1">
        <v>11290</v>
      </c>
      <c r="J15" s="1" t="s">
        <v>3205</v>
      </c>
      <c r="K15" s="1" t="s">
        <v>3206</v>
      </c>
      <c r="L15" s="1">
        <v>32</v>
      </c>
      <c r="M15" s="1" t="s">
        <v>1636</v>
      </c>
    </row>
    <row r="16" spans="1:13" ht="42" x14ac:dyDescent="0.3">
      <c r="A16" s="6" t="s">
        <v>315</v>
      </c>
      <c r="B16" s="1" t="s">
        <v>1648</v>
      </c>
      <c r="C16" s="1" t="s">
        <v>3260</v>
      </c>
      <c r="D16" s="1" t="s">
        <v>1725</v>
      </c>
      <c r="E16" s="1">
        <v>20000</v>
      </c>
      <c r="F16" s="3">
        <v>14129</v>
      </c>
      <c r="G16" s="5">
        <f>表2[[#This Row],[场均上座]]/表2[[#This Row],[座席数]]</f>
        <v>0.70645000000000002</v>
      </c>
      <c r="H16" s="3">
        <f>表2[[#This Row],[场均上座]]*95*20</f>
        <v>26845100</v>
      </c>
      <c r="I16" s="1">
        <v>3578</v>
      </c>
      <c r="J16" s="1" t="s">
        <v>3207</v>
      </c>
      <c r="K16" s="1" t="s">
        <v>3208</v>
      </c>
      <c r="L16" s="1">
        <v>9</v>
      </c>
      <c r="M16" s="1" t="s">
        <v>1649</v>
      </c>
    </row>
    <row r="17" spans="1:14" ht="42" x14ac:dyDescent="0.3">
      <c r="A17" s="6" t="s">
        <v>1848</v>
      </c>
      <c r="B17" s="1" t="s">
        <v>1650</v>
      </c>
      <c r="C17" s="1" t="s">
        <v>3266</v>
      </c>
      <c r="D17" s="1" t="s">
        <v>1852</v>
      </c>
      <c r="E17" s="1">
        <v>15000</v>
      </c>
      <c r="F17" s="3">
        <v>13129</v>
      </c>
      <c r="G17" s="5">
        <f>表2[[#This Row],[场均上座]]/表2[[#This Row],[座席数]]</f>
        <v>0.87526666666666664</v>
      </c>
      <c r="H17" s="3">
        <f>表2[[#This Row],[场均上座]]*95*20</f>
        <v>24945100</v>
      </c>
      <c r="I17" s="1">
        <v>6852</v>
      </c>
      <c r="J17" s="1" t="s">
        <v>3209</v>
      </c>
      <c r="K17" s="1" t="s">
        <v>3210</v>
      </c>
      <c r="L17" s="1">
        <v>11</v>
      </c>
      <c r="M17" s="1" t="s">
        <v>203</v>
      </c>
    </row>
    <row r="18" spans="1:14" ht="28" x14ac:dyDescent="0.3">
      <c r="A18" s="6" t="s">
        <v>1974</v>
      </c>
      <c r="B18" s="1" t="s">
        <v>1863</v>
      </c>
      <c r="C18" s="1" t="s">
        <v>3179</v>
      </c>
      <c r="D18" s="1" t="s">
        <v>1975</v>
      </c>
      <c r="E18" s="1">
        <v>1000</v>
      </c>
      <c r="F18" s="1">
        <v>729</v>
      </c>
      <c r="G18" s="5">
        <f>表2[[#This Row],[场均上座]]/表2[[#This Row],[座席数]]</f>
        <v>0.72899999999999998</v>
      </c>
      <c r="H18" s="3">
        <f>表2[[#This Row],[场均上座]]*95*20</f>
        <v>1385100</v>
      </c>
      <c r="I18" s="1">
        <v>2603</v>
      </c>
      <c r="J18" s="1"/>
      <c r="K18" s="1"/>
      <c r="L18" s="1">
        <v>10</v>
      </c>
      <c r="M18" s="1" t="s">
        <v>1979</v>
      </c>
    </row>
    <row r="19" spans="1:14" x14ac:dyDescent="0.3">
      <c r="A19" s="6" t="s">
        <v>37</v>
      </c>
      <c r="B19" s="1" t="s">
        <v>1651</v>
      </c>
      <c r="C19" s="1" t="s">
        <v>1652</v>
      </c>
      <c r="D19" s="1" t="s">
        <v>1653</v>
      </c>
      <c r="E19" s="1">
        <v>700</v>
      </c>
      <c r="F19" s="1">
        <v>178</v>
      </c>
      <c r="G19" s="5">
        <f>表2[[#This Row],[场均上座]]/表2[[#This Row],[座席数]]</f>
        <v>0.25428571428571428</v>
      </c>
      <c r="H19" s="3">
        <f>表2[[#This Row],[场均上座]]*95*20</f>
        <v>338200</v>
      </c>
      <c r="I19" s="1">
        <v>2449</v>
      </c>
      <c r="J19" s="1"/>
      <c r="K19" s="1"/>
      <c r="L19" s="1">
        <v>10</v>
      </c>
      <c r="M19" s="1" t="s">
        <v>203</v>
      </c>
    </row>
    <row r="20" spans="1:14" ht="42" x14ac:dyDescent="0.3">
      <c r="A20" s="6" t="s">
        <v>1720</v>
      </c>
      <c r="B20" s="1" t="s">
        <v>1654</v>
      </c>
      <c r="C20" s="1" t="s">
        <v>3272</v>
      </c>
      <c r="D20" s="1" t="s">
        <v>1655</v>
      </c>
      <c r="E20" s="1">
        <v>28000</v>
      </c>
      <c r="F20" s="3">
        <v>10129</v>
      </c>
      <c r="G20" s="5">
        <f>表2[[#This Row],[场均上座]]/表2[[#This Row],[座席数]]</f>
        <v>0.36175000000000002</v>
      </c>
      <c r="H20" s="3">
        <f>表2[[#This Row],[场均上座]]*95*20</f>
        <v>19245100</v>
      </c>
      <c r="I20" s="1">
        <v>1760</v>
      </c>
      <c r="J20" s="1" t="s">
        <v>3211</v>
      </c>
      <c r="K20" s="1" t="s">
        <v>3212</v>
      </c>
      <c r="L20" s="1">
        <v>80</v>
      </c>
      <c r="M20" s="1" t="s">
        <v>203</v>
      </c>
    </row>
    <row r="21" spans="1:14" ht="28" x14ac:dyDescent="0.3">
      <c r="A21" s="6" t="s">
        <v>1978</v>
      </c>
      <c r="B21" s="1" t="s">
        <v>1954</v>
      </c>
      <c r="C21" s="1" t="s">
        <v>3184</v>
      </c>
      <c r="D21" s="1" t="s">
        <v>1625</v>
      </c>
      <c r="E21" s="1">
        <v>10000</v>
      </c>
      <c r="F21" s="3">
        <v>3316</v>
      </c>
      <c r="G21" s="5">
        <f>表2[[#This Row],[场均上座]]/表2[[#This Row],[座席数]]</f>
        <v>0.33160000000000001</v>
      </c>
      <c r="H21" s="3">
        <f>表2[[#This Row],[场均上座]]*95*20</f>
        <v>6300400</v>
      </c>
      <c r="I21" s="1">
        <v>1701</v>
      </c>
      <c r="J21" s="1" t="s">
        <v>3213</v>
      </c>
      <c r="K21" s="1"/>
      <c r="L21" s="1"/>
      <c r="M21" s="1" t="s">
        <v>1979</v>
      </c>
    </row>
    <row r="22" spans="1:14" ht="42" x14ac:dyDescent="0.3">
      <c r="A22" s="6" t="s">
        <v>1721</v>
      </c>
      <c r="B22" s="1" t="s">
        <v>1656</v>
      </c>
      <c r="C22" s="1" t="s">
        <v>3271</v>
      </c>
      <c r="D22" s="1" t="s">
        <v>1657</v>
      </c>
      <c r="E22" s="1">
        <v>16500</v>
      </c>
      <c r="F22" s="3">
        <v>15129</v>
      </c>
      <c r="G22" s="5">
        <f>表2[[#This Row],[场均上座]]/表2[[#This Row],[座席数]]</f>
        <v>0.9169090909090909</v>
      </c>
      <c r="H22" s="3">
        <f>表2[[#This Row],[场均上座]]*95*20</f>
        <v>28745100</v>
      </c>
      <c r="I22" s="1">
        <v>2915</v>
      </c>
      <c r="J22" s="1" t="s">
        <v>3214</v>
      </c>
      <c r="K22" s="1"/>
      <c r="L22" s="1">
        <v>80</v>
      </c>
      <c r="M22" s="1" t="s">
        <v>203</v>
      </c>
    </row>
    <row r="23" spans="1:14" x14ac:dyDescent="0.3">
      <c r="A23" s="6" t="s">
        <v>83</v>
      </c>
      <c r="B23" s="1"/>
      <c r="C23" s="1"/>
      <c r="D23" s="1" t="s">
        <v>3273</v>
      </c>
      <c r="E23" s="1">
        <v>5000</v>
      </c>
      <c r="F23" s="1"/>
      <c r="G23" s="5">
        <f>表2[[#This Row],[场均上座]]/表2[[#This Row],[座席数]]</f>
        <v>0</v>
      </c>
      <c r="H23" s="3">
        <f>表2[[#This Row],[场均上座]]*95*20</f>
        <v>0</v>
      </c>
      <c r="I23" s="1">
        <v>5000</v>
      </c>
      <c r="J23" s="1"/>
      <c r="K23" s="1"/>
      <c r="L23" s="1"/>
      <c r="M23" s="1"/>
    </row>
    <row r="24" spans="1:14" x14ac:dyDescent="0.3">
      <c r="A24" s="6" t="s">
        <v>469</v>
      </c>
      <c r="B24" s="1"/>
      <c r="C24" s="1"/>
      <c r="D24" s="1" t="s">
        <v>1658</v>
      </c>
      <c r="E24" s="1">
        <v>600</v>
      </c>
      <c r="F24" s="1"/>
      <c r="G24" s="5">
        <f>表2[[#This Row],[场均上座]]/表2[[#This Row],[座席数]]</f>
        <v>0</v>
      </c>
      <c r="H24" s="3">
        <f>表2[[#This Row],[场均上座]]*95*20</f>
        <v>0</v>
      </c>
      <c r="I24" s="1">
        <v>5000</v>
      </c>
      <c r="J24" s="1"/>
      <c r="K24" s="1"/>
      <c r="L24" s="1"/>
      <c r="M24" s="1"/>
    </row>
    <row r="25" spans="1:14" ht="42" x14ac:dyDescent="0.3">
      <c r="A25" s="6" t="s">
        <v>1659</v>
      </c>
      <c r="B25" s="1" t="s">
        <v>1660</v>
      </c>
      <c r="C25" s="1" t="s">
        <v>3267</v>
      </c>
      <c r="D25" s="1" t="s">
        <v>1661</v>
      </c>
      <c r="E25" s="1">
        <v>15000</v>
      </c>
      <c r="F25" s="3">
        <v>6000</v>
      </c>
      <c r="G25" s="5">
        <f>表2[[#This Row],[场均上座]]/表2[[#This Row],[座席数]]</f>
        <v>0.4</v>
      </c>
      <c r="H25" s="3">
        <f>表2[[#This Row],[场均上座]]*95*20</f>
        <v>11400000</v>
      </c>
      <c r="I25" s="1">
        <v>3517</v>
      </c>
      <c r="J25" s="1" t="s">
        <v>3215</v>
      </c>
      <c r="K25" s="1" t="s">
        <v>3216</v>
      </c>
      <c r="L25" s="1"/>
      <c r="M25" s="1"/>
    </row>
    <row r="26" spans="1:14" ht="28" x14ac:dyDescent="0.3">
      <c r="A26" s="6" t="s">
        <v>1039</v>
      </c>
      <c r="B26" s="1" t="s">
        <v>1662</v>
      </c>
      <c r="C26" s="1" t="s">
        <v>1663</v>
      </c>
      <c r="D26" s="1" t="s">
        <v>1664</v>
      </c>
      <c r="E26" s="1">
        <v>6000</v>
      </c>
      <c r="F26" s="1">
        <v>5859</v>
      </c>
      <c r="G26" s="5">
        <f>表2[[#This Row],[场均上座]]/表2[[#This Row],[座席数]]</f>
        <v>0.97650000000000003</v>
      </c>
      <c r="H26" s="3">
        <f>表2[[#This Row],[场均上座]]*95*20</f>
        <v>11132100</v>
      </c>
      <c r="I26" s="1">
        <v>3865</v>
      </c>
      <c r="J26" s="1" t="s">
        <v>3217</v>
      </c>
      <c r="K26" s="1" t="s">
        <v>3218</v>
      </c>
      <c r="L26" s="1"/>
      <c r="M26" s="1"/>
      <c r="N26" s="2">
        <f>3430-180</f>
        <v>3250</v>
      </c>
    </row>
    <row r="27" spans="1:14" ht="42" x14ac:dyDescent="0.3">
      <c r="A27" s="6" t="s">
        <v>1766</v>
      </c>
      <c r="B27" s="1" t="s">
        <v>1665</v>
      </c>
      <c r="C27" s="1" t="s">
        <v>3275</v>
      </c>
      <c r="D27" s="1" t="s">
        <v>1853</v>
      </c>
      <c r="E27" s="1">
        <v>30000</v>
      </c>
      <c r="F27" s="3">
        <v>12000</v>
      </c>
      <c r="G27" s="5">
        <f>表2[[#This Row],[场均上座]]/表2[[#This Row],[座席数]]</f>
        <v>0.4</v>
      </c>
      <c r="H27" s="3">
        <f>表2[[#This Row],[场均上座]]*95*20</f>
        <v>22800000</v>
      </c>
      <c r="I27" s="1">
        <v>4472</v>
      </c>
      <c r="J27" s="1" t="s">
        <v>3219</v>
      </c>
      <c r="K27" s="1" t="s">
        <v>3220</v>
      </c>
      <c r="L27" s="1"/>
      <c r="M27" s="1"/>
    </row>
    <row r="28" spans="1:14" x14ac:dyDescent="0.3">
      <c r="A28" s="6" t="s">
        <v>100</v>
      </c>
      <c r="B28" s="1"/>
      <c r="C28" s="1"/>
      <c r="D28" s="1" t="s">
        <v>1666</v>
      </c>
      <c r="E28" s="1">
        <v>4000</v>
      </c>
      <c r="F28" s="1"/>
      <c r="G28" s="5">
        <f>表2[[#This Row],[场均上座]]/表2[[#This Row],[座席数]]</f>
        <v>0</v>
      </c>
      <c r="H28" s="3">
        <f>表2[[#This Row],[场均上座]]*95*20</f>
        <v>0</v>
      </c>
      <c r="I28" s="1">
        <v>5000</v>
      </c>
      <c r="J28" s="1"/>
      <c r="K28" s="1"/>
      <c r="L28" s="1"/>
      <c r="M28" s="1"/>
    </row>
    <row r="29" spans="1:14" ht="28" x14ac:dyDescent="0.3">
      <c r="A29" s="6" t="s">
        <v>609</v>
      </c>
      <c r="B29" s="1" t="s">
        <v>1637</v>
      </c>
      <c r="C29" s="1" t="s">
        <v>3180</v>
      </c>
      <c r="D29" s="1" t="s">
        <v>1638</v>
      </c>
      <c r="E29" s="1">
        <v>900</v>
      </c>
      <c r="F29" s="1">
        <v>886</v>
      </c>
      <c r="G29" s="5">
        <f>表2[[#This Row],[场均上座]]/表2[[#This Row],[座席数]]</f>
        <v>0.98444444444444446</v>
      </c>
      <c r="H29" s="3">
        <f>表2[[#This Row],[场均上座]]*95*20</f>
        <v>1683400</v>
      </c>
      <c r="I29" s="1">
        <v>1414</v>
      </c>
      <c r="J29" s="1" t="s">
        <v>3221</v>
      </c>
      <c r="K29" s="1"/>
      <c r="L29" s="1"/>
      <c r="M29" s="1"/>
    </row>
    <row r="30" spans="1:14" ht="42" x14ac:dyDescent="0.3">
      <c r="A30" s="6" t="s">
        <v>233</v>
      </c>
      <c r="B30" s="1" t="s">
        <v>1667</v>
      </c>
      <c r="C30" s="1" t="s">
        <v>3265</v>
      </c>
      <c r="D30" s="1" t="s">
        <v>1668</v>
      </c>
      <c r="E30" s="1">
        <v>1000</v>
      </c>
      <c r="F30" s="1">
        <v>992</v>
      </c>
      <c r="G30" s="5">
        <f>表2[[#This Row],[场均上座]]/表2[[#This Row],[座席数]]</f>
        <v>0.99199999999999999</v>
      </c>
      <c r="H30" s="3">
        <f>表2[[#This Row],[场均上座]]*95*20</f>
        <v>1884800</v>
      </c>
      <c r="I30" s="1">
        <v>2899</v>
      </c>
      <c r="J30" s="1" t="s">
        <v>3222</v>
      </c>
      <c r="K30" s="1"/>
      <c r="L30" s="1"/>
      <c r="M30" s="1"/>
    </row>
    <row r="31" spans="1:14" ht="28" x14ac:dyDescent="0.3">
      <c r="A31" s="6" t="s">
        <v>278</v>
      </c>
      <c r="B31" s="1" t="s">
        <v>1669</v>
      </c>
      <c r="C31" s="1"/>
      <c r="D31" s="1" t="s">
        <v>1670</v>
      </c>
      <c r="E31" s="1">
        <v>4500</v>
      </c>
      <c r="F31" s="1">
        <v>1923</v>
      </c>
      <c r="G31" s="5">
        <f>表2[[#This Row],[场均上座]]/表2[[#This Row],[座席数]]</f>
        <v>0.42733333333333334</v>
      </c>
      <c r="H31" s="3">
        <f>表2[[#This Row],[场均上座]]*95*20</f>
        <v>3653700</v>
      </c>
      <c r="I31" s="1">
        <v>3663</v>
      </c>
      <c r="J31" s="1" t="s">
        <v>3223</v>
      </c>
      <c r="K31" s="1"/>
      <c r="L31" s="1"/>
      <c r="M31" s="1"/>
    </row>
    <row r="32" spans="1:14" ht="42" x14ac:dyDescent="0.3">
      <c r="A32" s="6" t="s">
        <v>1671</v>
      </c>
      <c r="B32" s="1" t="s">
        <v>1672</v>
      </c>
      <c r="C32" s="1" t="s">
        <v>3277</v>
      </c>
      <c r="D32" s="1" t="s">
        <v>1673</v>
      </c>
      <c r="E32" s="1">
        <v>700</v>
      </c>
      <c r="F32" s="1">
        <v>537</v>
      </c>
      <c r="G32" s="5">
        <f>表2[[#This Row],[场均上座]]/表2[[#This Row],[座席数]]</f>
        <v>0.76714285714285713</v>
      </c>
      <c r="H32" s="3">
        <f>表2[[#This Row],[场均上座]]*95*20</f>
        <v>1020300</v>
      </c>
      <c r="I32" s="1">
        <v>0</v>
      </c>
      <c r="J32" s="1" t="s">
        <v>3224</v>
      </c>
      <c r="K32" s="1"/>
      <c r="L32" s="1"/>
      <c r="M32" s="1"/>
    </row>
    <row r="33" spans="1:13" ht="42" x14ac:dyDescent="0.3">
      <c r="A33" s="6" t="s">
        <v>268</v>
      </c>
      <c r="B33" s="1" t="s">
        <v>1674</v>
      </c>
      <c r="C33" s="1" t="s">
        <v>3280</v>
      </c>
      <c r="D33" s="1" t="s">
        <v>1675</v>
      </c>
      <c r="E33" s="1">
        <v>2000</v>
      </c>
      <c r="F33" s="1">
        <v>1359</v>
      </c>
      <c r="G33" s="5">
        <f>表2[[#This Row],[场均上座]]/表2[[#This Row],[座席数]]</f>
        <v>0.67949999999999999</v>
      </c>
      <c r="H33" s="3">
        <f>表2[[#This Row],[场均上座]]*95*20</f>
        <v>2582100</v>
      </c>
      <c r="I33" s="1">
        <v>0</v>
      </c>
      <c r="J33" s="1" t="s">
        <v>3186</v>
      </c>
      <c r="K33" s="1" t="s">
        <v>3225</v>
      </c>
      <c r="L33" s="1"/>
      <c r="M33" s="1"/>
    </row>
    <row r="34" spans="1:13" ht="32" x14ac:dyDescent="0.3">
      <c r="A34" s="6" t="s">
        <v>1676</v>
      </c>
      <c r="B34" s="1" t="s">
        <v>1677</v>
      </c>
      <c r="C34" s="1" t="s">
        <v>1678</v>
      </c>
      <c r="D34" s="1" t="s">
        <v>1679</v>
      </c>
      <c r="E34" s="1">
        <v>8000</v>
      </c>
      <c r="F34" s="1"/>
      <c r="G34" s="5">
        <f>表2[[#This Row],[场均上座]]/表2[[#This Row],[座席数]]</f>
        <v>0</v>
      </c>
      <c r="H34" s="3">
        <f>表2[[#This Row],[场均上座]]*95*20</f>
        <v>0</v>
      </c>
      <c r="I34" s="1">
        <v>3342</v>
      </c>
      <c r="J34" s="1"/>
      <c r="K34" s="1"/>
      <c r="L34" s="1"/>
      <c r="M34" s="1"/>
    </row>
    <row r="35" spans="1:13" ht="42" x14ac:dyDescent="0.3">
      <c r="A35" s="6" t="s">
        <v>108</v>
      </c>
      <c r="B35" s="1" t="s">
        <v>1680</v>
      </c>
      <c r="C35" s="1" t="s">
        <v>3185</v>
      </c>
      <c r="D35" s="1" t="s">
        <v>1681</v>
      </c>
      <c r="E35" s="1">
        <v>20000</v>
      </c>
      <c r="F35" s="1"/>
      <c r="G35" s="5">
        <f>表2[[#This Row],[场均上座]]/表2[[#This Row],[座席数]]</f>
        <v>0</v>
      </c>
      <c r="H35" s="3">
        <f>表2[[#This Row],[场均上座]]*95*20</f>
        <v>0</v>
      </c>
      <c r="I35" s="1">
        <v>3905</v>
      </c>
      <c r="J35" s="1"/>
      <c r="K35" s="1"/>
      <c r="L35" s="1"/>
      <c r="M35" s="1"/>
    </row>
    <row r="36" spans="1:13" x14ac:dyDescent="0.3">
      <c r="A36" s="6" t="s">
        <v>737</v>
      </c>
      <c r="B36" s="1" t="s">
        <v>1682</v>
      </c>
      <c r="C36" s="1" t="s">
        <v>1901</v>
      </c>
      <c r="D36" s="1" t="s">
        <v>1683</v>
      </c>
      <c r="E36" s="1">
        <v>6000</v>
      </c>
      <c r="F36" s="1">
        <v>5237</v>
      </c>
      <c r="G36" s="5">
        <f>表2[[#This Row],[场均上座]]/表2[[#This Row],[座席数]]</f>
        <v>0.87283333333333335</v>
      </c>
      <c r="H36" s="3">
        <f>表2[[#This Row],[场均上座]]*95*20</f>
        <v>9950300</v>
      </c>
      <c r="I36" s="1">
        <v>2633</v>
      </c>
      <c r="J36" s="1" t="s">
        <v>3226</v>
      </c>
      <c r="K36" s="1" t="s">
        <v>3227</v>
      </c>
      <c r="L36" s="1"/>
      <c r="M36" s="1"/>
    </row>
    <row r="37" spans="1:13" x14ac:dyDescent="0.3">
      <c r="A37" s="6" t="s">
        <v>1104</v>
      </c>
      <c r="B37" s="1" t="s">
        <v>1684</v>
      </c>
      <c r="C37" s="1" t="s">
        <v>3181</v>
      </c>
      <c r="D37" s="1" t="s">
        <v>1661</v>
      </c>
      <c r="E37" s="1">
        <v>6000</v>
      </c>
      <c r="F37" s="1"/>
      <c r="G37" s="5">
        <f>表2[[#This Row],[场均上座]]/表2[[#This Row],[座席数]]</f>
        <v>0</v>
      </c>
      <c r="H37" s="3">
        <f>表2[[#This Row],[场均上座]]*95*20</f>
        <v>0</v>
      </c>
      <c r="I37" s="1">
        <v>507</v>
      </c>
      <c r="J37" s="1"/>
      <c r="K37" s="1"/>
      <c r="L37" s="1"/>
      <c r="M37" s="1"/>
    </row>
    <row r="38" spans="1:13" x14ac:dyDescent="0.3">
      <c r="A38" s="6" t="s">
        <v>1919</v>
      </c>
      <c r="B38" s="1" t="s">
        <v>1685</v>
      </c>
      <c r="C38" s="1" t="s">
        <v>1686</v>
      </c>
      <c r="D38" s="1" t="s">
        <v>1928</v>
      </c>
      <c r="E38" s="1">
        <v>700</v>
      </c>
      <c r="F38" s="1"/>
      <c r="G38" s="5">
        <f>表2[[#This Row],[场均上座]]/表2[[#This Row],[座席数]]</f>
        <v>0</v>
      </c>
      <c r="H38" s="3">
        <f>表2[[#This Row],[场均上座]]*95*20</f>
        <v>0</v>
      </c>
      <c r="I38" s="1">
        <v>2812</v>
      </c>
      <c r="J38" s="1"/>
      <c r="K38" s="1"/>
      <c r="L38" s="1"/>
      <c r="M38" s="1"/>
    </row>
    <row r="39" spans="1:13" ht="28" x14ac:dyDescent="0.3">
      <c r="A39" s="6" t="s">
        <v>1752</v>
      </c>
      <c r="B39" s="1" t="s">
        <v>1688</v>
      </c>
      <c r="C39" s="1" t="s">
        <v>1689</v>
      </c>
      <c r="D39" s="1" t="s">
        <v>1690</v>
      </c>
      <c r="E39" s="1">
        <v>8000</v>
      </c>
      <c r="F39" s="1"/>
      <c r="G39" s="5">
        <f>表2[[#This Row],[场均上座]]/表2[[#This Row],[座席数]]</f>
        <v>0</v>
      </c>
      <c r="H39" s="3">
        <f>表2[[#This Row],[场均上座]]*95*20</f>
        <v>0</v>
      </c>
      <c r="I39" s="1">
        <v>2746</v>
      </c>
      <c r="J39" s="1"/>
      <c r="K39" s="1"/>
      <c r="L39" s="1"/>
      <c r="M39" s="1"/>
    </row>
    <row r="40" spans="1:13" ht="28" x14ac:dyDescent="0.3">
      <c r="A40" s="6" t="s">
        <v>561</v>
      </c>
      <c r="B40" s="1" t="s">
        <v>1691</v>
      </c>
      <c r="C40" s="1" t="s">
        <v>1692</v>
      </c>
      <c r="D40" s="1" t="s">
        <v>1683</v>
      </c>
      <c r="E40" s="1">
        <v>6000</v>
      </c>
      <c r="F40" s="1">
        <v>3129</v>
      </c>
      <c r="G40" s="5">
        <f>表2[[#This Row],[场均上座]]/表2[[#This Row],[座席数]]</f>
        <v>0.52149999999999996</v>
      </c>
      <c r="H40" s="3">
        <f>表2[[#This Row],[场均上座]]*95*20</f>
        <v>5945100</v>
      </c>
      <c r="I40" s="1">
        <v>1670</v>
      </c>
      <c r="J40" s="1"/>
      <c r="K40" s="1"/>
      <c r="L40" s="1"/>
      <c r="M40" s="1"/>
    </row>
    <row r="41" spans="1:13" x14ac:dyDescent="0.3">
      <c r="A41" s="6" t="s">
        <v>1156</v>
      </c>
      <c r="B41" s="1" t="s">
        <v>1693</v>
      </c>
      <c r="C41" s="1" t="s">
        <v>1694</v>
      </c>
      <c r="D41" s="1" t="s">
        <v>1927</v>
      </c>
      <c r="E41" s="1">
        <v>35000</v>
      </c>
      <c r="F41" s="1">
        <v>1239</v>
      </c>
      <c r="G41" s="5">
        <f>表2[[#This Row],[场均上座]]/表2[[#This Row],[座席数]]</f>
        <v>3.5400000000000001E-2</v>
      </c>
      <c r="H41" s="3">
        <f>表2[[#This Row],[场均上座]]*95*20</f>
        <v>2354100</v>
      </c>
      <c r="I41" s="1">
        <v>4169</v>
      </c>
      <c r="J41" s="1"/>
      <c r="K41" s="1"/>
      <c r="L41" s="1"/>
      <c r="M41" s="1"/>
    </row>
    <row r="42" spans="1:13" ht="32" x14ac:dyDescent="0.3">
      <c r="A42" s="6" t="s">
        <v>225</v>
      </c>
      <c r="B42" s="1"/>
      <c r="C42" s="1"/>
      <c r="D42" s="1" t="s">
        <v>1695</v>
      </c>
      <c r="E42" s="1">
        <v>7000</v>
      </c>
      <c r="F42" s="1"/>
      <c r="G42" s="5">
        <f>表2[[#This Row],[场均上座]]/表2[[#This Row],[座席数]]</f>
        <v>0</v>
      </c>
      <c r="H42" s="3">
        <f>表2[[#This Row],[场均上座]]*95*20</f>
        <v>0</v>
      </c>
      <c r="I42" s="1">
        <v>4728</v>
      </c>
      <c r="J42" s="1"/>
      <c r="K42" s="1"/>
      <c r="L42" s="1"/>
      <c r="M42" s="1"/>
    </row>
    <row r="43" spans="1:13" x14ac:dyDescent="0.3">
      <c r="A43" s="6" t="s">
        <v>1291</v>
      </c>
      <c r="B43" s="1" t="s">
        <v>1696</v>
      </c>
      <c r="C43" s="1" t="s">
        <v>1697</v>
      </c>
      <c r="D43" s="1" t="s">
        <v>1698</v>
      </c>
      <c r="E43" s="1">
        <v>6000</v>
      </c>
      <c r="F43" s="1"/>
      <c r="G43" s="5">
        <f>表2[[#This Row],[场均上座]]/表2[[#This Row],[座席数]]</f>
        <v>0</v>
      </c>
      <c r="H43" s="3">
        <f>表2[[#This Row],[场均上座]]*95*20</f>
        <v>0</v>
      </c>
      <c r="I43" s="1">
        <v>3957</v>
      </c>
      <c r="J43" s="1"/>
      <c r="K43" s="1"/>
      <c r="L43" s="1"/>
      <c r="M43" s="1"/>
    </row>
    <row r="44" spans="1:13" x14ac:dyDescent="0.3">
      <c r="A44" s="6" t="s">
        <v>1444</v>
      </c>
      <c r="B44" s="1" t="s">
        <v>1699</v>
      </c>
      <c r="C44" s="1"/>
      <c r="D44" s="1" t="s">
        <v>1653</v>
      </c>
      <c r="E44" s="1">
        <v>700</v>
      </c>
      <c r="F44" s="1"/>
      <c r="G44" s="5">
        <f>表2[[#This Row],[场均上座]]/表2[[#This Row],[座席数]]</f>
        <v>0</v>
      </c>
      <c r="H44" s="3">
        <f>表2[[#This Row],[场均上座]]*95*20</f>
        <v>0</v>
      </c>
      <c r="I44" s="1">
        <v>2900</v>
      </c>
      <c r="J44" s="1"/>
      <c r="K44" s="1"/>
      <c r="L44" s="1"/>
      <c r="M44" s="1"/>
    </row>
    <row r="45" spans="1:13" ht="28" x14ac:dyDescent="0.3">
      <c r="A45" s="6" t="s">
        <v>257</v>
      </c>
      <c r="B45" s="1" t="s">
        <v>1700</v>
      </c>
      <c r="C45" s="1" t="s">
        <v>1701</v>
      </c>
      <c r="D45" s="1" t="s">
        <v>1702</v>
      </c>
      <c r="E45" s="1">
        <v>4000</v>
      </c>
      <c r="F45" s="1">
        <v>3938</v>
      </c>
      <c r="G45" s="5">
        <f>表2[[#This Row],[场均上座]]/表2[[#This Row],[座席数]]</f>
        <v>0.98450000000000004</v>
      </c>
      <c r="H45" s="3">
        <f>表2[[#This Row],[场均上座]]*95*20</f>
        <v>7482200</v>
      </c>
      <c r="I45" s="1">
        <v>1537</v>
      </c>
      <c r="J45" s="1" t="s">
        <v>3228</v>
      </c>
      <c r="K45" s="1" t="s">
        <v>3229</v>
      </c>
      <c r="L45" s="1"/>
      <c r="M45" s="1"/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66D53-7C4C-4BCC-B6C3-8A307DE68546}">
  <dimension ref="A1:X167"/>
  <sheetViews>
    <sheetView workbookViewId="0">
      <selection activeCell="A2" sqref="A2"/>
    </sheetView>
  </sheetViews>
  <sheetFormatPr defaultColWidth="8.58203125" defaultRowHeight="14" customHeight="1" x14ac:dyDescent="0.3"/>
  <cols>
    <col min="1" max="1" width="21.08203125" style="2" bestFit="1" customWidth="1"/>
    <col min="2" max="2" width="10.6640625" customWidth="1"/>
    <col min="3" max="3" width="30.08203125" bestFit="1" customWidth="1"/>
    <col min="4" max="4" width="8.25" customWidth="1"/>
    <col min="8" max="8" width="28.08203125" bestFit="1" customWidth="1"/>
    <col min="10" max="10" width="19" bestFit="1" customWidth="1"/>
    <col min="11" max="11" width="20.5" bestFit="1" customWidth="1"/>
    <col min="12" max="12" width="7" customWidth="1"/>
    <col min="13" max="13" width="10.08203125" customWidth="1"/>
  </cols>
  <sheetData>
    <row r="1" spans="1:24" s="2" customFormat="1" ht="14" customHeight="1" x14ac:dyDescent="0.3">
      <c r="A1" s="15" t="s">
        <v>1723</v>
      </c>
      <c r="X1" s="10" t="s">
        <v>271</v>
      </c>
    </row>
    <row r="2" spans="1:24" ht="14" customHeight="1" thickBot="1" x14ac:dyDescent="0.35">
      <c r="A2" s="16" t="s">
        <v>248</v>
      </c>
      <c r="B2" s="14" t="s">
        <v>1705</v>
      </c>
      <c r="C2" s="14" t="s">
        <v>1706</v>
      </c>
      <c r="D2" s="14" t="s">
        <v>1707</v>
      </c>
      <c r="E2" s="14" t="s">
        <v>1708</v>
      </c>
      <c r="F2" s="14" t="s">
        <v>1709</v>
      </c>
      <c r="G2" s="14" t="s">
        <v>1710</v>
      </c>
      <c r="H2" s="14" t="s">
        <v>1734</v>
      </c>
      <c r="I2" s="14" t="s">
        <v>1712</v>
      </c>
      <c r="J2" s="14" t="s">
        <v>1713</v>
      </c>
      <c r="K2" s="14" t="s">
        <v>1714</v>
      </c>
      <c r="L2" s="14" t="s">
        <v>1715</v>
      </c>
      <c r="M2" s="14" t="s">
        <v>1716</v>
      </c>
      <c r="X2" s="11" t="s">
        <v>1621</v>
      </c>
    </row>
    <row r="3" spans="1:24" s="1" customFormat="1" ht="70.5" customHeight="1" x14ac:dyDescent="0.3">
      <c r="A3" s="1">
        <f>INDEX(球队表格!N:N, MATCH($A$2, 球队表格!A:A, 0))</f>
        <v>0</v>
      </c>
      <c r="B3" s="1" t="str">
        <f>INDEX(球队表格!B:B, MATCH($A$2, 球队表格!A:A, 0))</f>
        <v>玩家:抖音1.1595</v>
      </c>
      <c r="C3" s="1" t="str">
        <f>INDEX(球队表格!C:C, MATCH($A$2, 球队表格!A:A, 0))</f>
        <v>F-卡纳瓦罗、[助教]扬科维奇、[助教]郑智、[助教]P-卡纳瓦罗、[助教]阿巴雷拉、[助教]弗雷斯特、[队医]阿拉莫</v>
      </c>
      <c r="D3" s="1" t="str">
        <f>INDEX(球队表格!D:D, MATCH($A$2, 球队表格!A:A, 0))</f>
        <v>黑森林球场外场</v>
      </c>
      <c r="E3" s="1">
        <f>INDEX(球队表格!E:E, MATCH($A$2, 球队表格!A:A, 0))</f>
        <v>3000</v>
      </c>
      <c r="F3" s="1">
        <f>INDEX(球队表格!F:F, MATCH($A$2, 球队表格!A:A, 0))</f>
        <v>2848</v>
      </c>
      <c r="G3" s="1">
        <f>INDEX(球队表格!G:G, MATCH($A$2, 球队表格!A:A, 0))</f>
        <v>0.94933333333333336</v>
      </c>
      <c r="H3" s="1">
        <f>INDEX(球队表格!H:H, MATCH($A$2, 球队表格!A:A, 0))</f>
        <v>5411200</v>
      </c>
      <c r="I3" s="21">
        <f>INDEX(球队表格!I:I, MATCH($A$2, 球队表格!A:A, 0))</f>
        <v>4217</v>
      </c>
      <c r="J3" s="1" t="str">
        <f>INDEX(球队表格!J:J, MATCH($A$2, 球队表格!A:A, 0))</f>
        <v>加西亚荷兰人商会 600</v>
      </c>
      <c r="K3" s="1" t="str">
        <f>INDEX(球队表格!K:K, MATCH($A$2, 球队表格!A:A, 0))</f>
        <v>阿拉尼亚省金控集团 500</v>
      </c>
      <c r="L3" s="1">
        <f>INDEX(球队表格!L:L, MATCH($A$2, 球队表格!A:A, 0))</f>
        <v>100</v>
      </c>
      <c r="M3" s="1" t="str">
        <f>INDEX(球队表格!M:M, MATCH($A$2, 球队表格!A:A, 0))</f>
        <v>英国足总杯预选赛阶段第一圈</v>
      </c>
      <c r="X3" s="10" t="s">
        <v>683</v>
      </c>
    </row>
    <row r="4" spans="1:24" ht="14" customHeight="1" thickBot="1" x14ac:dyDescent="0.35">
      <c r="B4" s="2"/>
      <c r="C4" s="2"/>
      <c r="D4" s="14" t="s">
        <v>1729</v>
      </c>
      <c r="E4" s="14" t="s">
        <v>1730</v>
      </c>
      <c r="F4" s="14" t="s">
        <v>1732</v>
      </c>
      <c r="G4" s="14" t="s">
        <v>1733</v>
      </c>
      <c r="H4" s="2"/>
      <c r="I4" s="14" t="s">
        <v>1726</v>
      </c>
      <c r="J4" s="14" t="s">
        <v>1727</v>
      </c>
      <c r="K4" s="14" t="s">
        <v>1731</v>
      </c>
      <c r="L4" s="14" t="s">
        <v>1728</v>
      </c>
      <c r="M4" s="2"/>
      <c r="X4" s="11" t="s">
        <v>173</v>
      </c>
    </row>
    <row r="5" spans="1:24" ht="25.5" customHeight="1" x14ac:dyDescent="0.3">
      <c r="B5" s="2"/>
      <c r="C5" s="2"/>
      <c r="D5" s="2">
        <f>AVERAGE(F10:F43)</f>
        <v>117</v>
      </c>
      <c r="E5" s="2">
        <f>AVERAGE(G10:G43)</f>
        <v>125.41666666666667</v>
      </c>
      <c r="F5" s="2">
        <f>MAX(B10:B43)</f>
        <v>34</v>
      </c>
      <c r="G5" s="2">
        <f>MIN(B10:B43)</f>
        <v>18</v>
      </c>
      <c r="H5" s="2"/>
      <c r="I5" s="22">
        <f>SUM(I10:I43)</f>
        <v>1576</v>
      </c>
      <c r="J5" s="22">
        <f>I3-I5</f>
        <v>2641</v>
      </c>
      <c r="K5" s="2">
        <f>COUNTIF(B10:B43, "&lt;=26")</f>
        <v>14</v>
      </c>
      <c r="L5" s="2">
        <f>AVERAGE(B10:B43)</f>
        <v>25.125</v>
      </c>
      <c r="M5" s="2"/>
      <c r="X5" s="10" t="s">
        <v>91</v>
      </c>
    </row>
    <row r="6" spans="1:24" ht="14" customHeight="1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X6" s="11" t="s">
        <v>520</v>
      </c>
    </row>
    <row r="7" spans="1:24" ht="14" customHeight="1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X7" s="10" t="s">
        <v>689</v>
      </c>
    </row>
    <row r="8" spans="1:24" ht="14" customHeight="1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X8" s="11" t="s">
        <v>303</v>
      </c>
    </row>
    <row r="9" spans="1:24" ht="14" customHeight="1" thickBot="1" x14ac:dyDescent="0.35">
      <c r="A9" s="17" t="s">
        <v>1604</v>
      </c>
      <c r="B9" s="18" t="s">
        <v>1605</v>
      </c>
      <c r="C9" s="18" t="s">
        <v>1606</v>
      </c>
      <c r="D9" s="18" t="s">
        <v>1607</v>
      </c>
      <c r="E9" s="18" t="s">
        <v>1608</v>
      </c>
      <c r="F9" s="18" t="s">
        <v>1609</v>
      </c>
      <c r="G9" s="18" t="s">
        <v>1610</v>
      </c>
      <c r="H9" s="18" t="s">
        <v>1613</v>
      </c>
      <c r="I9" s="18" t="s">
        <v>1614</v>
      </c>
      <c r="J9" s="18" t="s">
        <v>1615</v>
      </c>
      <c r="K9" s="18" t="s">
        <v>1611</v>
      </c>
      <c r="L9" s="18" t="s">
        <v>1612</v>
      </c>
      <c r="M9" s="18" t="s">
        <v>1616</v>
      </c>
      <c r="N9" s="18" t="s">
        <v>1617</v>
      </c>
      <c r="X9" s="10" t="s">
        <v>264</v>
      </c>
    </row>
    <row r="10" spans="1:24" ht="14" customHeight="1" thickTop="1" x14ac:dyDescent="0.3">
      <c r="A10" s="16" t="str">
        <f t="array" ref="A10">IFERROR(
  INDEX(球员数据库!A:A,
    SMALL(球员数据库!$O:$O, ROWS($A$10:A10))
  ),
"")</f>
        <v>泽·维克托</v>
      </c>
      <c r="B10" s="19">
        <f t="array" ref="B10">IFERROR(
  INDEX(球员数据库!B:B,
    SMALL(球员数据库!$O:$O, ROWS($A$10:A10))
  ),
"")</f>
        <v>24</v>
      </c>
      <c r="C10" s="19" t="str">
        <f t="array" ref="C10">IFERROR(
  INDEX(球员数据库!C:C,
    SMALL(球员数据库!$O:$O, ROWS($A$10:A10))
  ),
"")</f>
        <v>巴西</v>
      </c>
      <c r="D10" s="19">
        <f t="array" ref="D10">IFERROR(
  INDEX(球员数据库!E:E,
    SMALL(球员数据库!$O:$O, ROWS($A$10:A10))
  ),
"")</f>
        <v>66</v>
      </c>
      <c r="E10" s="20">
        <f t="array" ref="E10">IFERROR(
  INDEX(球员数据库!D:D,
    SMALL(球员数据库!$O:$O, ROWS($A$10:A10))
  ),
"")</f>
        <v>184</v>
      </c>
      <c r="F10" s="19">
        <f t="array" ref="F10">IFERROR(
  INDEX(球员数据库!F:F,
    SMALL(球员数据库!$O:$O, ROWS($A$10:A10))
  ),
"")</f>
        <v>118</v>
      </c>
      <c r="G10" s="19">
        <f t="array" ref="G10">IFERROR(
  INDEX(球员数据库!G:G,
    SMALL(球员数据库!$O:$O, ROWS($A$10:A10))
  ),
"")</f>
        <v>118</v>
      </c>
      <c r="H10" s="19" t="str">
        <f>IFERROR(
  INDEX(球员数据库!H:H,
    SMALL(球员数据库!$O:$O, ROWS($A$10:H10))
  ),
"")</f>
        <v>中场</v>
      </c>
      <c r="I10" s="19">
        <f>IFERROR(
  INDEX(球员数据库!I:I,
    SMALL(球员数据库!$O:$O, ROWS($A$10:H10))
  ),
"")</f>
        <v>45</v>
      </c>
      <c r="J10" s="19" t="str">
        <f>IFERROR(
  INDEX(球员数据库!J:J,
    SMALL(球员数据库!$O:$O, ROWS($A$10:J10))
  ),
"")</f>
        <v>巴峰</v>
      </c>
      <c r="K10" s="19">
        <f>IFERROR(
  INDEX(球员数据库!K:K,
    SMALL(球员数据库!$O:$O, ROWS($A$10:J10))
  ),
"")</f>
        <v>6</v>
      </c>
      <c r="L10" s="19">
        <f>IFERROR(
  INDEX(球员数据库!L:L,
    SMALL(球员数据库!$O:$O, ROWS($A$10:J10))
  ),
"")</f>
        <v>225</v>
      </c>
      <c r="M10" s="19" t="str">
        <f>IFERROR(
  INDEX(球员数据库!M:M,
    SMALL(球员数据库!$O:$O, ROWS($A$10:M10))
  ),
"")</f>
        <v>半保障</v>
      </c>
      <c r="N10" s="19">
        <f>IFERROR(
  INDEX(球员数据库!N:N,
    SMALL(球员数据库!$O:$O, ROWS($A$10:M10))
  ),
"")</f>
        <v>0</v>
      </c>
      <c r="O10" s="9"/>
      <c r="Q10" s="13"/>
      <c r="X10" s="11" t="s">
        <v>111</v>
      </c>
    </row>
    <row r="11" spans="1:24" ht="14" customHeight="1" x14ac:dyDescent="0.3">
      <c r="A11" s="16" t="str">
        <f t="array" ref="A11">IFERROR(
  INDEX(球员数据库!A:A,
    SMALL(球员数据库!$O:$O, ROWS($A$10:A11))
  ),
"")</f>
        <v>斯坦利·约瑟夫</v>
      </c>
      <c r="B11" s="19">
        <f t="array" ref="B11">IFERROR(
  INDEX(球员数据库!B:B,
    SMALL(球员数据库!$O:$O, ROWS($A$10:A11))
  ),
"")</f>
        <v>24</v>
      </c>
      <c r="C11" s="19" t="str">
        <f t="array" ref="C11">IFERROR(
  INDEX(球员数据库!C:C,
    SMALL(球员数据库!$O:$O, ROWS($A$10:A11))
  ),
"")</f>
        <v>尼日利亚</v>
      </c>
      <c r="D11" s="19">
        <f t="array" ref="D11">IFERROR(
  INDEX(球员数据库!E:E,
    SMALL(球员数据库!$O:$O, ROWS($A$10:A11))
  ),
"")</f>
        <v>74</v>
      </c>
      <c r="E11" s="20">
        <f t="array" ref="E11">IFERROR(
  INDEX(球员数据库!D:D,
    SMALL(球员数据库!$O:$O, ROWS($A$10:A11))
  ),
"")</f>
        <v>184</v>
      </c>
      <c r="F11" s="19">
        <f t="array" ref="F11">IFERROR(
  INDEX(球员数据库!F:F,
    SMALL(球员数据库!$O:$O, ROWS($A$10:A11))
  ),
"")</f>
        <v>122</v>
      </c>
      <c r="G11" s="19">
        <f t="array" ref="G11">IFERROR(
  INDEX(球员数据库!G:G,
    SMALL(球员数据库!$O:$O, ROWS($A$10:A11))
  ),
"")</f>
        <v>122</v>
      </c>
      <c r="H11" s="19" t="str">
        <f>IFERROR(
  INDEX(球员数据库!H:H,
    SMALL(球员数据库!$O:$O, ROWS($A$10:H11))
  ),
"")</f>
        <v>中卫，左边后卫</v>
      </c>
      <c r="I11" s="19">
        <f>IFERROR(
  INDEX(球员数据库!I:I,
    SMALL(球员数据库!$O:$O, ROWS($A$10:H11))
  ),
"")</f>
        <v>80</v>
      </c>
      <c r="J11" s="19" t="str">
        <f>IFERROR(
  INDEX(球员数据库!J:J,
    SMALL(球员数据库!$O:$O, ROWS($A$10:J11))
  ),
"")</f>
        <v>巴峰</v>
      </c>
      <c r="K11" s="19">
        <f>IFERROR(
  INDEX(球员数据库!K:K,
    SMALL(球员数据库!$O:$O, ROWS($A$10:J11))
  ),
"")</f>
        <v>5</v>
      </c>
      <c r="L11" s="19">
        <f>IFERROR(
  INDEX(球员数据库!L:L,
    SMALL(球员数据库!$O:$O, ROWS($A$10:J11))
  ),
"")</f>
        <v>400</v>
      </c>
      <c r="M11" s="19" t="str">
        <f>IFERROR(
  INDEX(球员数据库!M:M,
    SMALL(球员数据库!$O:$O, ROWS($A$10:M11))
  ),
"")</f>
        <v>全额保障</v>
      </c>
      <c r="N11" s="19">
        <f>IFERROR(
  INDEX(球员数据库!N:N,
    SMALL(球员数据库!$O:$O, ROWS($A$10:M11))
  ),
"")</f>
        <v>0</v>
      </c>
      <c r="O11" s="9"/>
      <c r="Q11" s="13"/>
      <c r="X11" s="10" t="s">
        <v>248</v>
      </c>
    </row>
    <row r="12" spans="1:24" ht="14" customHeight="1" x14ac:dyDescent="0.3">
      <c r="A12" s="16" t="str">
        <f t="array" ref="A12">IFERROR(
  INDEX(球员数据库!A:A,
    SMALL(球员数据库!$O:$O, ROWS($A$10:A12))
  ),
"")</f>
        <v>雅库罗·卢埃梅尔</v>
      </c>
      <c r="B12" s="19">
        <f t="array" ref="B12">IFERROR(
  INDEX(球员数据库!B:B,
    SMALL(球员数据库!$O:$O, ROWS($A$10:A12))
  ),
"")</f>
        <v>28</v>
      </c>
      <c r="C12" s="19" t="str">
        <f t="array" ref="C12">IFERROR(
  INDEX(球员数据库!C:C,
    SMALL(球员数据库!$O:$O, ROWS($A$10:A12))
  ),
"")</f>
        <v>苏里南，荷兰</v>
      </c>
      <c r="D12" s="19">
        <f t="array" ref="D12">IFERROR(
  INDEX(球员数据库!E:E,
    SMALL(球员数据库!$O:$O, ROWS($A$10:A12))
  ),
"")</f>
        <v>75</v>
      </c>
      <c r="E12" s="20">
        <f t="array" ref="E12">IFERROR(
  INDEX(球员数据库!D:D,
    SMALL(球员数据库!$O:$O, ROWS($A$10:A12))
  ),
"")</f>
        <v>180</v>
      </c>
      <c r="F12" s="19">
        <f t="array" ref="F12">IFERROR(
  INDEX(球员数据库!F:F,
    SMALL(球员数据库!$O:$O, ROWS($A$10:A12))
  ),
"")</f>
        <v>116</v>
      </c>
      <c r="G12" s="19">
        <f t="array" ref="G12">IFERROR(
  INDEX(球员数据库!G:G,
    SMALL(球员数据库!$O:$O, ROWS($A$10:A12))
  ),
"")</f>
        <v>116</v>
      </c>
      <c r="H12" s="19" t="str">
        <f>IFERROR(
  INDEX(球员数据库!H:H,
    SMALL(球员数据库!$O:$O, ROWS($A$10:H12))
  ),
"")</f>
        <v>右边前腰，左边前腰，左边锋</v>
      </c>
      <c r="I12" s="19">
        <f>IFERROR(
  INDEX(球员数据库!I:I,
    SMALL(球员数据库!$O:$O, ROWS($A$10:H12))
  ),
"")</f>
        <v>40</v>
      </c>
      <c r="J12" s="19" t="str">
        <f>IFERROR(
  INDEX(球员数据库!J:J,
    SMALL(球员数据库!$O:$O, ROWS($A$10:J12))
  ),
"")</f>
        <v>巴峰</v>
      </c>
      <c r="K12" s="19">
        <f>IFERROR(
  INDEX(球员数据库!K:K,
    SMALL(球员数据库!$O:$O, ROWS($A$10:J12))
  ),
"")</f>
        <v>6</v>
      </c>
      <c r="L12" s="19">
        <f>IFERROR(
  INDEX(球员数据库!L:L,
    SMALL(球员数据库!$O:$O, ROWS($A$10:J12))
  ),
"")</f>
        <v>200</v>
      </c>
      <c r="M12" s="19" t="str">
        <f>IFERROR(
  INDEX(球员数据库!M:M,
    SMALL(球员数据库!$O:$O, ROWS($A$10:M12))
  ),
"")</f>
        <v>半保障</v>
      </c>
      <c r="N12" s="19">
        <f>IFERROR(
  INDEX(球员数据库!N:N,
    SMALL(球员数据库!$O:$O, ROWS($A$10:M12))
  ),
"")</f>
        <v>0</v>
      </c>
      <c r="O12" s="9"/>
      <c r="Q12" s="13"/>
      <c r="X12" s="11" t="s">
        <v>130</v>
      </c>
    </row>
    <row r="13" spans="1:24" ht="14" customHeight="1" x14ac:dyDescent="0.3">
      <c r="A13" s="16" t="str">
        <f t="array" ref="A13">IFERROR(
  INDEX(球员数据库!A:A,
    SMALL(球员数据库!$O:$O, ROWS($A$10:A13))
  ),
"")</f>
        <v>吉先·萨米</v>
      </c>
      <c r="B13" s="19">
        <f t="array" ref="B13">IFERROR(
  INDEX(球员数据库!B:B,
    SMALL(球员数据库!$O:$O, ROWS($A$10:A13))
  ),
"")</f>
        <v>27</v>
      </c>
      <c r="C13" s="19" t="str">
        <f t="array" ref="C13">IFERROR(
  INDEX(球员数据库!C:C,
    SMALL(球员数据库!$O:$O, ROWS($A$10:A13))
  ),
"")</f>
        <v>斐济</v>
      </c>
      <c r="D13" s="19">
        <f t="array" ref="D13">IFERROR(
  INDEX(球员数据库!E:E,
    SMALL(球员数据库!$O:$O, ROWS($A$10:A13))
  ),
"")</f>
        <v>75</v>
      </c>
      <c r="E13" s="20">
        <f t="array" ref="E13">IFERROR(
  INDEX(球员数据库!D:D,
    SMALL(球员数据库!$O:$O, ROWS($A$10:A13))
  ),
"")</f>
        <v>178</v>
      </c>
      <c r="F13" s="19">
        <f t="array" ref="F13">IFERROR(
  INDEX(球员数据库!F:F,
    SMALL(球员数据库!$O:$O, ROWS($A$10:A13))
  ),
"")</f>
        <v>74</v>
      </c>
      <c r="G13" s="19">
        <f t="array" ref="G13">IFERROR(
  INDEX(球员数据库!G:G,
    SMALL(球员数据库!$O:$O, ROWS($A$10:A13))
  ),
"")</f>
        <v>74</v>
      </c>
      <c r="H13" s="19" t="str">
        <f>IFERROR(
  INDEX(球员数据库!H:H,
    SMALL(球员数据库!$O:$O, ROWS($A$10:H13))
  ),
"")</f>
        <v>左右边后卫，左右边翼卫</v>
      </c>
      <c r="I13" s="19">
        <f>IFERROR(
  INDEX(球员数据库!I:I,
    SMALL(球员数据库!$O:$O, ROWS($A$10:H13))
  ),
"")</f>
        <v>24</v>
      </c>
      <c r="J13" s="19" t="str">
        <f>IFERROR(
  INDEX(球员数据库!J:J,
    SMALL(球员数据库!$O:$O, ROWS($A$10:J13))
  ),
"")</f>
        <v>巴峰</v>
      </c>
      <c r="K13" s="19">
        <f>IFERROR(
  INDEX(球员数据库!K:K,
    SMALL(球员数据库!$O:$O, ROWS($A$10:J13))
  ),
"")</f>
        <v>5</v>
      </c>
      <c r="L13" s="19">
        <f>IFERROR(
  INDEX(球员数据库!L:L,
    SMALL(球员数据库!$O:$O, ROWS($A$10:J13))
  ),
"")</f>
        <v>120</v>
      </c>
      <c r="M13" s="19" t="str">
        <f>IFERROR(
  INDEX(球员数据库!M:M,
    SMALL(球员数据库!$O:$O, ROWS($A$10:M13))
  ),
"")</f>
        <v>半保障</v>
      </c>
      <c r="N13" s="19">
        <f>IFERROR(
  INDEX(球员数据库!N:N,
    SMALL(球员数据库!$O:$O, ROWS($A$10:M13))
  ),
"")</f>
        <v>0</v>
      </c>
      <c r="O13" s="9"/>
      <c r="Q13" s="13"/>
      <c r="X13" s="10" t="s">
        <v>327</v>
      </c>
    </row>
    <row r="14" spans="1:24" ht="14" customHeight="1" x14ac:dyDescent="0.3">
      <c r="A14" s="16" t="str">
        <f t="array" ref="A14">IFERROR(
  INDEX(球员数据库!A:A,
    SMALL(球员数据库!$O:$O, ROWS($A$10:A14))
  ),
"")</f>
        <v>帕蒂纳玛</v>
      </c>
      <c r="B14" s="19">
        <f t="array" ref="B14">IFERROR(
  INDEX(球员数据库!B:B,
    SMALL(球员数据库!$O:$O, ROWS($A$10:A14))
  ),
"")</f>
        <v>31</v>
      </c>
      <c r="C14" s="19" t="str">
        <f t="array" ref="C14">IFERROR(
  INDEX(球员数据库!C:C,
    SMALL(球员数据库!$O:$O, ROWS($A$10:A14))
  ),
"")</f>
        <v>印度尼西亚，荷兰</v>
      </c>
      <c r="D14" s="19">
        <f t="array" ref="D14">IFERROR(
  INDEX(球员数据库!E:E,
    SMALL(球员数据库!$O:$O, ROWS($A$10:A14))
  ),
"")</f>
        <v>78</v>
      </c>
      <c r="E14" s="20">
        <f t="array" ref="E14">IFERROR(
  INDEX(球员数据库!D:D,
    SMALL(球员数据库!$O:$O, ROWS($A$10:A14))
  ),
"")</f>
        <v>180</v>
      </c>
      <c r="F14" s="19">
        <f t="array" ref="F14">IFERROR(
  INDEX(球员数据库!F:F,
    SMALL(球员数据库!$O:$O, ROWS($A$10:A14))
  ),
"")</f>
        <v>115</v>
      </c>
      <c r="G14" s="19">
        <f t="array" ref="G14">IFERROR(
  INDEX(球员数据库!G:G,
    SMALL(球员数据库!$O:$O, ROWS($A$10:A14))
  ),
"")</f>
        <v>115</v>
      </c>
      <c r="H14" s="19" t="str">
        <f>IFERROR(
  INDEX(球员数据库!H:H,
    SMALL(球员数据库!$O:$O, ROWS($A$10:H14))
  ),
"")</f>
        <v>后卫</v>
      </c>
      <c r="I14" s="19">
        <f>IFERROR(
  INDEX(球员数据库!I:I,
    SMALL(球员数据库!$O:$O, ROWS($A$10:H14))
  ),
"")</f>
        <v>60</v>
      </c>
      <c r="J14" s="19" t="str">
        <f>IFERROR(
  INDEX(球员数据库!J:J,
    SMALL(球员数据库!$O:$O, ROWS($A$10:J14))
  ),
"")</f>
        <v>巴峰</v>
      </c>
      <c r="K14" s="19">
        <f>IFERROR(
  INDEX(球员数据库!K:K,
    SMALL(球员数据库!$O:$O, ROWS($A$10:J14))
  ),
"")</f>
        <v>5</v>
      </c>
      <c r="L14" s="19">
        <f>IFERROR(
  INDEX(球员数据库!L:L,
    SMALL(球员数据库!$O:$O, ROWS($A$10:J14))
  ),
"")</f>
        <v>300</v>
      </c>
      <c r="M14" s="19" t="str">
        <f>IFERROR(
  INDEX(球员数据库!M:M,
    SMALL(球员数据库!$O:$O, ROWS($A$10:M14))
  ),
"")</f>
        <v>全额保障</v>
      </c>
      <c r="N14" s="19">
        <f>IFERROR(
  INDEX(球员数据库!N:N,
    SMALL(球员数据库!$O:$O, ROWS($A$10:M14))
  ),
"")</f>
        <v>0</v>
      </c>
      <c r="O14" s="9"/>
      <c r="Q14" s="13"/>
      <c r="X14" s="11" t="s">
        <v>274</v>
      </c>
    </row>
    <row r="15" spans="1:24" ht="14" customHeight="1" x14ac:dyDescent="0.3">
      <c r="A15" s="16" t="str">
        <f t="array" ref="A15">IFERROR(
  INDEX(球员数据库!A:A,
    SMALL(球员数据库!$O:$O, ROWS($A$10:A15))
  ),
"")</f>
        <v>张国哲（小）</v>
      </c>
      <c r="B15" s="19">
        <f t="array" ref="B15">IFERROR(
  INDEX(球员数据库!B:B,
    SMALL(球员数据库!$O:$O, ROWS($A$10:A15))
  ),
"")</f>
        <v>29</v>
      </c>
      <c r="C15" s="19" t="str">
        <f t="array" ref="C15">IFERROR(
  INDEX(球员数据库!C:C,
    SMALL(球员数据库!$O:$O, ROWS($A$10:A15))
  ),
"")</f>
        <v>朝鲜</v>
      </c>
      <c r="D15" s="19">
        <f t="array" ref="D15">IFERROR(
  INDEX(球员数据库!E:E,
    SMALL(球员数据库!$O:$O, ROWS($A$10:A15))
  ),
"")</f>
        <v>75</v>
      </c>
      <c r="E15" s="20">
        <f t="array" ref="E15">IFERROR(
  INDEX(球员数据库!D:D,
    SMALL(球员数据库!$O:$O, ROWS($A$10:A15))
  ),
"")</f>
        <v>177</v>
      </c>
      <c r="F15" s="19">
        <f t="array" ref="F15">IFERROR(
  INDEX(球员数据库!F:F,
    SMALL(球员数据库!$O:$O, ROWS($A$10:A15))
  ),
"")</f>
        <v>98</v>
      </c>
      <c r="G15" s="19">
        <f t="array" ref="G15">IFERROR(
  INDEX(球员数据库!G:G,
    SMALL(球员数据库!$O:$O, ROWS($A$10:A15))
  ),
"")</f>
        <v>110</v>
      </c>
      <c r="H15" s="19" t="str">
        <f>IFERROR(
  INDEX(球员数据库!H:H,
    SMALL(球员数据库!$O:$O, ROWS($A$10:H15))
  ),
"")</f>
        <v>左边锋，中场，左边后卫</v>
      </c>
      <c r="I15" s="19">
        <f>IFERROR(
  INDEX(球员数据库!I:I,
    SMALL(球员数据库!$O:$O, ROWS($A$10:H15))
  ),
"")</f>
        <v>25</v>
      </c>
      <c r="J15" s="19" t="str">
        <f>IFERROR(
  INDEX(球员数据库!J:J,
    SMALL(球员数据库!$O:$O, ROWS($A$10:J15))
  ),
"")</f>
        <v>巴峰</v>
      </c>
      <c r="K15" s="19">
        <f>IFERROR(
  INDEX(球员数据库!K:K,
    SMALL(球员数据库!$O:$O, ROWS($A$10:J15))
  ),
"")</f>
        <v>5</v>
      </c>
      <c r="L15" s="19">
        <f>IFERROR(
  INDEX(球员数据库!L:L,
    SMALL(球员数据库!$O:$O, ROWS($A$10:J15))
  ),
"")</f>
        <v>125</v>
      </c>
      <c r="M15" s="19" t="str">
        <f>IFERROR(
  INDEX(球员数据库!M:M,
    SMALL(球员数据库!$O:$O, ROWS($A$10:M15))
  ),
"")</f>
        <v>全额保障</v>
      </c>
      <c r="N15" s="19">
        <f>IFERROR(
  INDEX(球员数据库!N:N,
    SMALL(球员数据库!$O:$O, ROWS($A$10:M15))
  ),
"")</f>
        <v>0</v>
      </c>
      <c r="O15" s="9"/>
      <c r="Q15" s="13"/>
      <c r="X15" s="10" t="s">
        <v>315</v>
      </c>
    </row>
    <row r="16" spans="1:24" ht="14" customHeight="1" x14ac:dyDescent="0.3">
      <c r="A16" s="16" t="str">
        <f t="array" ref="A16">IFERROR(
  INDEX(球员数据库!A:A,
    SMALL(球员数据库!$O:$O, ROWS($A$10:A16))
  ),
"")</f>
        <v>佩德罗·德尔加多</v>
      </c>
      <c r="B16" s="19">
        <f t="array" ref="B16">IFERROR(
  INDEX(球员数据库!B:B,
    SMALL(球员数据库!$O:$O, ROWS($A$10:A16))
  ),
"")</f>
        <v>31</v>
      </c>
      <c r="C16" s="19" t="str">
        <f t="array" ref="C16">IFERROR(
  INDEX(球员数据库!C:C,
    SMALL(球员数据库!$O:$O, ROWS($A$10:A16))
  ),
"")</f>
        <v>中国</v>
      </c>
      <c r="D16" s="19">
        <f t="array" ref="D16">IFERROR(
  INDEX(球员数据库!E:E,
    SMALL(球员数据库!$O:$O, ROWS($A$10:A16))
  ),
"")</f>
        <v>80</v>
      </c>
      <c r="E16" s="20">
        <f t="array" ref="E16">IFERROR(
  INDEX(球员数据库!D:D,
    SMALL(球员数据库!$O:$O, ROWS($A$10:A16))
  ),
"")</f>
        <v>184</v>
      </c>
      <c r="F16" s="19">
        <f t="array" ref="F16">IFERROR(
  INDEX(球员数据库!F:F,
    SMALL(球员数据库!$O:$O, ROWS($A$10:A16))
  ),
"")</f>
        <v>100</v>
      </c>
      <c r="G16" s="19">
        <f t="array" ref="G16">IFERROR(
  INDEX(球员数据库!G:G,
    SMALL(球员数据库!$O:$O, ROWS($A$10:A16))
  ),
"")</f>
        <v>126</v>
      </c>
      <c r="H16" s="19" t="str">
        <f>IFERROR(
  INDEX(球员数据库!H:H,
    SMALL(球员数据库!$O:$O, ROWS($A$10:H16))
  ),
"")</f>
        <v>前腰，右边前腰，影子前锋，中场，前锋，左边前腰，右边中场</v>
      </c>
      <c r="I16" s="19">
        <f>IFERROR(
  INDEX(球员数据库!I:I,
    SMALL(球员数据库!$O:$O, ROWS($A$10:H16))
  ),
"")</f>
        <v>50</v>
      </c>
      <c r="J16" s="19" t="str">
        <f>IFERROR(
  INDEX(球员数据库!J:J,
    SMALL(球员数据库!$O:$O, ROWS($A$10:J16))
  ),
"")</f>
        <v>巴峰</v>
      </c>
      <c r="K16" s="19">
        <f>IFERROR(
  INDEX(球员数据库!K:K,
    SMALL(球员数据库!$O:$O, ROWS($A$10:J16))
  ),
"")</f>
        <v>5</v>
      </c>
      <c r="L16" s="19">
        <f>IFERROR(
  INDEX(球员数据库!L:L,
    SMALL(球员数据库!$O:$O, ROWS($A$10:J16))
  ),
"")</f>
        <v>250</v>
      </c>
      <c r="M16" s="19" t="str">
        <f>IFERROR(
  INDEX(球员数据库!M:M,
    SMALL(球员数据库!$O:$O, ROWS($A$10:M16))
  ),
"")</f>
        <v>全额保障</v>
      </c>
      <c r="N16" s="19">
        <f>IFERROR(
  INDEX(球员数据库!N:N,
    SMALL(球员数据库!$O:$O, ROWS($A$10:M16))
  ),
"")</f>
        <v>0</v>
      </c>
      <c r="O16" s="9"/>
      <c r="Q16" s="13"/>
      <c r="X16" s="11" t="s">
        <v>1719</v>
      </c>
    </row>
    <row r="17" spans="1:24" ht="14" customHeight="1" x14ac:dyDescent="0.3">
      <c r="A17" s="16" t="str">
        <f t="array" ref="A17">IFERROR(
  INDEX(球员数据库!A:A,
    SMALL(球员数据库!$O:$O, ROWS($A$10:A17))
  ),
"")</f>
        <v>金成日</v>
      </c>
      <c r="B17" s="19">
        <f t="array" ref="B17">IFERROR(
  INDEX(球员数据库!B:B,
    SMALL(球员数据库!$O:$O, ROWS($A$10:A17))
  ),
"")</f>
        <v>22</v>
      </c>
      <c r="C17" s="19" t="str">
        <f t="array" ref="C17">IFERROR(
  INDEX(球员数据库!C:C,
    SMALL(球员数据库!$O:$O, ROWS($A$10:A17))
  ),
"")</f>
        <v>朝鲜</v>
      </c>
      <c r="D17" s="19">
        <f t="array" ref="D17">IFERROR(
  INDEX(球员数据库!E:E,
    SMALL(球员数据库!$O:$O, ROWS($A$10:A17))
  ),
"")</f>
        <v>78</v>
      </c>
      <c r="E17" s="20">
        <f t="array" ref="E17">IFERROR(
  INDEX(球员数据库!D:D,
    SMALL(球员数据库!$O:$O, ROWS($A$10:A17))
  ),
"")</f>
        <v>182</v>
      </c>
      <c r="F17" s="19">
        <f t="array" ref="F17">IFERROR(
  INDEX(球员数据库!F:F,
    SMALL(球员数据库!$O:$O, ROWS($A$10:A17))
  ),
"")</f>
        <v>132</v>
      </c>
      <c r="G17" s="19">
        <f t="array" ref="G17">IFERROR(
  INDEX(球员数据库!G:G,
    SMALL(球员数据库!$O:$O, ROWS($A$10:A17))
  ),
"")</f>
        <v>132</v>
      </c>
      <c r="H17" s="19" t="str">
        <f>IFERROR(
  INDEX(球员数据库!H:H,
    SMALL(球员数据库!$O:$O, ROWS($A$10:H17))
  ),
"")</f>
        <v>后腰，中场</v>
      </c>
      <c r="I17" s="19">
        <f>IFERROR(
  INDEX(球员数据库!I:I,
    SMALL(球员数据库!$O:$O, ROWS($A$10:H17))
  ),
"")</f>
        <v>24</v>
      </c>
      <c r="J17" s="19" t="str">
        <f>IFERROR(
  INDEX(球员数据库!J:J,
    SMALL(球员数据库!$O:$O, ROWS($A$10:J17))
  ),
"")</f>
        <v>巴峰</v>
      </c>
      <c r="K17" s="19">
        <f>IFERROR(
  INDEX(球员数据库!K:K,
    SMALL(球员数据库!$O:$O, ROWS($A$10:J17))
  ),
"")</f>
        <v>7</v>
      </c>
      <c r="L17" s="19">
        <f>IFERROR(
  INDEX(球员数据库!L:L,
    SMALL(球员数据库!$O:$O, ROWS($A$10:J17))
  ),
"")</f>
        <v>120</v>
      </c>
      <c r="M17" s="19" t="str">
        <f>IFERROR(
  INDEX(球员数据库!M:M,
    SMALL(球员数据库!$O:$O, ROWS($A$10:M17))
  ),
"")</f>
        <v>全额保障</v>
      </c>
      <c r="N17" s="19">
        <f>IFERROR(
  INDEX(球员数据库!N:N,
    SMALL(球员数据库!$O:$O, ROWS($A$10:M17))
  ),
"")</f>
        <v>0</v>
      </c>
      <c r="O17" s="9"/>
      <c r="Q17" s="13"/>
      <c r="X17" s="10" t="s">
        <v>446</v>
      </c>
    </row>
    <row r="18" spans="1:24" ht="14" customHeight="1" x14ac:dyDescent="0.3">
      <c r="A18" s="16" t="str">
        <f t="array" ref="A18">IFERROR(
  INDEX(球员数据库!A:A,
    SMALL(球员数据库!$O:$O, ROWS($A$10:A18))
  ),
"")</f>
        <v>塞尔吉尼奥</v>
      </c>
      <c r="B18" s="19">
        <f t="array" ref="B18">IFERROR(
  INDEX(球员数据库!B:B,
    SMALL(球员数据库!$O:$O, ROWS($A$10:A18))
  ),
"")</f>
        <v>34</v>
      </c>
      <c r="C18" s="19" t="str">
        <f t="array" ref="C18">IFERROR(
  INDEX(球员数据库!C:C,
    SMALL(球员数据库!$O:$O, ROWS($A$10:A18))
  ),
"")</f>
        <v>中国</v>
      </c>
      <c r="D18" s="19">
        <f t="array" ref="D18">IFERROR(
  INDEX(球员数据库!E:E,
    SMALL(球员数据库!$O:$O, ROWS($A$10:A18))
  ),
"")</f>
        <v>79</v>
      </c>
      <c r="E18" s="20">
        <f t="array" ref="E18">IFERROR(
  INDEX(球员数据库!D:D,
    SMALL(球员数据库!$O:$O, ROWS($A$10:A18))
  ),
"")</f>
        <v>184</v>
      </c>
      <c r="F18" s="19">
        <f t="array" ref="F18">IFERROR(
  INDEX(球员数据库!F:F,
    SMALL(球员数据库!$O:$O, ROWS($A$10:A18))
  ),
"")</f>
        <v>115</v>
      </c>
      <c r="G18" s="19">
        <f t="array" ref="G18">IFERROR(
  INDEX(球员数据库!G:G,
    SMALL(球员数据库!$O:$O, ROWS($A$10:A18))
  ),
"")</f>
        <v>132</v>
      </c>
      <c r="H18" s="19" t="str">
        <f>IFERROR(
  INDEX(球员数据库!H:H,
    SMALL(球员数据库!$O:$O, ROWS($A$10:H18))
  ),
"")</f>
        <v>前腰，中场</v>
      </c>
      <c r="I18" s="19">
        <f>IFERROR(
  INDEX(球员数据库!I:I,
    SMALL(球员数据库!$O:$O, ROWS($A$10:H18))
  ),
"")</f>
        <v>200</v>
      </c>
      <c r="J18" s="19" t="str">
        <f>IFERROR(
  INDEX(球员数据库!J:J,
    SMALL(球员数据库!$O:$O, ROWS($A$10:J18))
  ),
"")</f>
        <v>巴峰</v>
      </c>
      <c r="K18" s="19">
        <f>IFERROR(
  INDEX(球员数据库!K:K,
    SMALL(球员数据库!$O:$O, ROWS($A$10:J18))
  ),
"")</f>
        <v>5</v>
      </c>
      <c r="L18" s="19">
        <f>IFERROR(
  INDEX(球员数据库!L:L,
    SMALL(球员数据库!$O:$O, ROWS($A$10:J18))
  ),
"")</f>
        <v>1000</v>
      </c>
      <c r="M18" s="19" t="str">
        <f>IFERROR(
  INDEX(球员数据库!M:M,
    SMALL(球员数据库!$O:$O, ROWS($A$10:M18))
  ),
"")</f>
        <v>全额保障</v>
      </c>
      <c r="N18" s="19">
        <f>IFERROR(
  INDEX(球员数据库!N:N,
    SMALL(球员数据库!$O:$O, ROWS($A$10:M18))
  ),
"")</f>
        <v>0</v>
      </c>
      <c r="O18" s="9"/>
      <c r="Q18" s="13"/>
      <c r="X18" s="11" t="s">
        <v>37</v>
      </c>
    </row>
    <row r="19" spans="1:24" ht="14" customHeight="1" x14ac:dyDescent="0.3">
      <c r="A19" s="16" t="str">
        <f t="array" ref="A19">IFERROR(
  INDEX(球员数据库!A:A,
    SMALL(球员数据库!$O:$O, ROWS($A$10:A19))
  ),
"")</f>
        <v>博·勒鲁瓦</v>
      </c>
      <c r="B19" s="19">
        <f t="array" ref="B19">IFERROR(
  INDEX(球员数据库!B:B,
    SMALL(球员数据库!$O:$O, ROWS($A$10:A19))
  ),
"")</f>
        <v>23</v>
      </c>
      <c r="C19" s="19" t="str">
        <f t="array" ref="C19">IFERROR(
  INDEX(球员数据库!C:C,
    SMALL(球员数据库!$O:$O, ROWS($A$10:A19))
  ),
"")</f>
        <v>中国</v>
      </c>
      <c r="D19" s="19">
        <f t="array" ref="D19">IFERROR(
  INDEX(球员数据库!E:E,
    SMALL(球员数据库!$O:$O, ROWS($A$10:A19))
  ),
"")</f>
        <v>75</v>
      </c>
      <c r="E19" s="20">
        <f t="array" ref="E19">IFERROR(
  INDEX(球员数据库!D:D,
    SMALL(球员数据库!$O:$O, ROWS($A$10:A19))
  ),
"")</f>
        <v>178</v>
      </c>
      <c r="F19" s="19">
        <f t="array" ref="F19">IFERROR(
  INDEX(球员数据库!F:F,
    SMALL(球员数据库!$O:$O, ROWS($A$10:A19))
  ),
"")</f>
        <v>126</v>
      </c>
      <c r="G19" s="19">
        <f t="array" ref="G19">IFERROR(
  INDEX(球员数据库!G:G,
    SMALL(球员数据库!$O:$O, ROWS($A$10:A19))
  ),
"")</f>
        <v>136</v>
      </c>
      <c r="H19" s="19" t="str">
        <f>IFERROR(
  INDEX(球员数据库!H:H,
    SMALL(球员数据库!$O:$O, ROWS($A$10:H19))
  ),
"")</f>
        <v>中场</v>
      </c>
      <c r="I19" s="19">
        <f>IFERROR(
  INDEX(球员数据库!I:I,
    SMALL(球员数据库!$O:$O, ROWS($A$10:H19))
  ),
"")</f>
        <v>120</v>
      </c>
      <c r="J19" s="19" t="str">
        <f>IFERROR(
  INDEX(球员数据库!J:J,
    SMALL(球员数据库!$O:$O, ROWS($A$10:J19))
  ),
"")</f>
        <v>巴峰</v>
      </c>
      <c r="K19" s="19">
        <f>IFERROR(
  INDEX(球员数据库!K:K,
    SMALL(球员数据库!$O:$O, ROWS($A$10:J19))
  ),
"")</f>
        <v>5</v>
      </c>
      <c r="L19" s="19">
        <f>IFERROR(
  INDEX(球员数据库!L:L,
    SMALL(球员数据库!$O:$O, ROWS($A$10:J19))
  ),
"")</f>
        <v>600</v>
      </c>
      <c r="M19" s="19" t="str">
        <f>IFERROR(
  INDEX(球员数据库!M:M,
    SMALL(球员数据库!$O:$O, ROWS($A$10:M19))
  ),
"")</f>
        <v>全额保障</v>
      </c>
      <c r="N19" s="19">
        <f>IFERROR(
  INDEX(球员数据库!N:N,
    SMALL(球员数据库!$O:$O, ROWS($A$10:M19))
  ),
"")</f>
        <v>0</v>
      </c>
      <c r="O19" s="9"/>
      <c r="Q19" s="13"/>
      <c r="X19" s="10" t="s">
        <v>1720</v>
      </c>
    </row>
    <row r="20" spans="1:24" ht="14" customHeight="1" x14ac:dyDescent="0.3">
      <c r="A20" s="16" t="str">
        <f t="array" ref="A20">IFERROR(
  INDEX(球员数据库!A:A,
    SMALL(球员数据库!$O:$O, ROWS($A$10:A20))
  ),
"")</f>
        <v>维罗尼·普罗布斯特</v>
      </c>
      <c r="B20" s="19">
        <f t="array" ref="B20">IFERROR(
  INDEX(球员数据库!B:B,
    SMALL(球员数据库!$O:$O, ROWS($A$10:A20))
  ),
"")</f>
        <v>23</v>
      </c>
      <c r="C20" s="19" t="str">
        <f t="array" ref="C20">IFERROR(
  INDEX(球员数据库!C:C,
    SMALL(球员数据库!$O:$O, ROWS($A$10:A20))
  ),
"")</f>
        <v>加西亚，德国</v>
      </c>
      <c r="D20" s="19">
        <f t="array" ref="D20">IFERROR(
  INDEX(球员数据库!E:E,
    SMALL(球员数据库!$O:$O, ROWS($A$10:A20))
  ),
"")</f>
        <v>92</v>
      </c>
      <c r="E20" s="20">
        <f t="array" ref="E20">IFERROR(
  INDEX(球员数据库!D:D,
    SMALL(球员数据库!$O:$O, ROWS($A$10:A20))
  ),
"")</f>
        <v>202</v>
      </c>
      <c r="F20" s="19">
        <f t="array" ref="F20">IFERROR(
  INDEX(球员数据库!F:F,
    SMALL(球员数据库!$O:$O, ROWS($A$10:A20))
  ),
"")</f>
        <v>124</v>
      </c>
      <c r="G20" s="19">
        <f t="array" ref="G20">IFERROR(
  INDEX(球员数据库!G:G,
    SMALL(球员数据库!$O:$O, ROWS($A$10:A20))
  ),
"")</f>
        <v>124</v>
      </c>
      <c r="H20" s="19" t="str">
        <f>IFERROR(
  INDEX(球员数据库!H:H,
    SMALL(球员数据库!$O:$O, ROWS($A$10:H20))
  ),
"")</f>
        <v>前锋</v>
      </c>
      <c r="I20" s="19">
        <f>IFERROR(
  INDEX(球员数据库!I:I,
    SMALL(球员数据库!$O:$O, ROWS($A$10:H20))
  ),
"")</f>
        <v>100</v>
      </c>
      <c r="J20" s="19" t="str">
        <f>IFERROR(
  INDEX(球员数据库!J:J,
    SMALL(球员数据库!$O:$O, ROWS($A$10:J20))
  ),
"")</f>
        <v>巴峰</v>
      </c>
      <c r="K20" s="19">
        <f>IFERROR(
  INDEX(球员数据库!K:K,
    SMALL(球员数据库!$O:$O, ROWS($A$10:J20))
  ),
"")</f>
        <v>8</v>
      </c>
      <c r="L20" s="19">
        <f>IFERROR(
  INDEX(球员数据库!L:L,
    SMALL(球员数据库!$O:$O, ROWS($A$10:J20))
  ),
"")</f>
        <v>500</v>
      </c>
      <c r="M20" s="19" t="str">
        <f>IFERROR(
  INDEX(球员数据库!M:M,
    SMALL(球员数据库!$O:$O, ROWS($A$10:M20))
  ),
"")</f>
        <v>全额保障</v>
      </c>
      <c r="N20" s="19">
        <f>IFERROR(
  INDEX(球员数据库!N:N,
    SMALL(球员数据库!$O:$O, ROWS($A$10:M20))
  ),
"")</f>
        <v>0</v>
      </c>
      <c r="O20" s="9"/>
      <c r="Q20" s="13"/>
      <c r="X20" s="11" t="s">
        <v>388</v>
      </c>
    </row>
    <row r="21" spans="1:24" ht="14" customHeight="1" x14ac:dyDescent="0.3">
      <c r="A21" s="16" t="str">
        <f t="array" ref="A21">IFERROR(
  INDEX(球员数据库!A:A,
    SMALL(球员数据库!$O:$O, ROWS($A$10:A21))
  ),
"")</f>
        <v>安格尔·图伊马莱桑加</v>
      </c>
      <c r="B21" s="19">
        <f t="array" ref="B21">IFERROR(
  INDEX(球员数据库!B:B,
    SMALL(球员数据库!$O:$O, ROWS($A$10:A21))
  ),
"")</f>
        <v>21</v>
      </c>
      <c r="C21" s="19" t="str">
        <f t="array" ref="C21">IFERROR(
  INDEX(球员数据库!C:C,
    SMALL(球员数据库!$O:$O, ROWS($A$10:A21))
  ),
"")</f>
        <v>加西亚，汤加</v>
      </c>
      <c r="D21" s="19">
        <f t="array" ref="D21">IFERROR(
  INDEX(球员数据库!E:E,
    SMALL(球员数据库!$O:$O, ROWS($A$10:A21))
  ),
"")</f>
        <v>86</v>
      </c>
      <c r="E21" s="20">
        <f t="array" ref="E21">IFERROR(
  INDEX(球员数据库!D:D,
    SMALL(球员数据库!$O:$O, ROWS($A$10:A21))
  ),
"")</f>
        <v>185</v>
      </c>
      <c r="F21" s="19">
        <f t="array" ref="F21">IFERROR(
  INDEX(球员数据库!F:F,
    SMALL(球员数据库!$O:$O, ROWS($A$10:A21))
  ),
"")</f>
        <v>121</v>
      </c>
      <c r="G21" s="19">
        <f t="array" ref="G21">IFERROR(
  INDEX(球员数据库!G:G,
    SMALL(球员数据库!$O:$O, ROWS($A$10:A21))
  ),
"")</f>
        <v>121</v>
      </c>
      <c r="H21" s="19" t="str">
        <f>IFERROR(
  INDEX(球员数据库!H:H,
    SMALL(球员数据库!$O:$O, ROWS($A$10:H21))
  ),
"")</f>
        <v>中卫</v>
      </c>
      <c r="I21" s="19">
        <f>IFERROR(
  INDEX(球员数据库!I:I,
    SMALL(球员数据库!$O:$O, ROWS($A$10:H21))
  ),
"")</f>
        <v>24</v>
      </c>
      <c r="J21" s="19" t="str">
        <f>IFERROR(
  INDEX(球员数据库!J:J,
    SMALL(球员数据库!$O:$O, ROWS($A$10:J21))
  ),
"")</f>
        <v>巴峰</v>
      </c>
      <c r="K21" s="19">
        <f>IFERROR(
  INDEX(球员数据库!K:K,
    SMALL(球员数据库!$O:$O, ROWS($A$10:J21))
  ),
"")</f>
        <v>6</v>
      </c>
      <c r="L21" s="19">
        <f>IFERROR(
  INDEX(球员数据库!L:L,
    SMALL(球员数据库!$O:$O, ROWS($A$10:J21))
  ),
"")</f>
        <v>120</v>
      </c>
      <c r="M21" s="19" t="str">
        <f>IFERROR(
  INDEX(球员数据库!M:M,
    SMALL(球员数据库!$O:$O, ROWS($A$10:M21))
  ),
"")</f>
        <v>半保障</v>
      </c>
      <c r="N21" s="19">
        <f>IFERROR(
  INDEX(球员数据库!N:N,
    SMALL(球员数据库!$O:$O, ROWS($A$10:M21))
  ),
"")</f>
        <v>0</v>
      </c>
      <c r="O21" s="9"/>
      <c r="Q21" s="13"/>
      <c r="X21" s="10" t="s">
        <v>1721</v>
      </c>
    </row>
    <row r="22" spans="1:24" ht="14" customHeight="1" x14ac:dyDescent="0.3">
      <c r="A22" s="16" t="str">
        <f t="array" ref="A22">IFERROR(
  INDEX(球员数据库!A:A,
    SMALL(球员数据库!$O:$O, ROWS($A$10:A22))
  ),
"")</f>
        <v>约翰森·罗阿德</v>
      </c>
      <c r="B22" s="19">
        <f t="array" ref="B22">IFERROR(
  INDEX(球员数据库!B:B,
    SMALL(球员数据库!$O:$O, ROWS($A$10:A22))
  ),
"")</f>
        <v>20</v>
      </c>
      <c r="C22" s="19" t="str">
        <f t="array" ref="C22">IFERROR(
  INDEX(球员数据库!C:C,
    SMALL(球员数据库!$O:$O, ROWS($A$10:A22))
  ),
"")</f>
        <v>加西亚</v>
      </c>
      <c r="D22" s="19">
        <f t="array" ref="D22">IFERROR(
  INDEX(球员数据库!E:E,
    SMALL(球员数据库!$O:$O, ROWS($A$10:A22))
  ),
"")</f>
        <v>78</v>
      </c>
      <c r="E22" s="20">
        <f t="array" ref="E22">IFERROR(
  INDEX(球员数据库!D:D,
    SMALL(球员数据库!$O:$O, ROWS($A$10:A22))
  ),
"")</f>
        <v>187</v>
      </c>
      <c r="F22" s="19">
        <f t="array" ref="F22">IFERROR(
  INDEX(球员数据库!F:F,
    SMALL(球员数据库!$O:$O, ROWS($A$10:A22))
  ),
"")</f>
        <v>124</v>
      </c>
      <c r="G22" s="19">
        <f t="array" ref="G22">IFERROR(
  INDEX(球员数据库!G:G,
    SMALL(球员数据库!$O:$O, ROWS($A$10:A22))
  ),
"")</f>
        <v>124</v>
      </c>
      <c r="H22" s="19" t="str">
        <f>IFERROR(
  INDEX(球员数据库!H:H,
    SMALL(球员数据库!$O:$O, ROWS($A$10:H22))
  ),
"")</f>
        <v>中卫，中锋</v>
      </c>
      <c r="I22" s="19">
        <f>IFERROR(
  INDEX(球员数据库!I:I,
    SMALL(球员数据库!$O:$O, ROWS($A$10:H22))
  ),
"")</f>
        <v>24</v>
      </c>
      <c r="J22" s="19" t="str">
        <f>IFERROR(
  INDEX(球员数据库!J:J,
    SMALL(球员数据库!$O:$O, ROWS($A$10:J22))
  ),
"")</f>
        <v>巴峰</v>
      </c>
      <c r="K22" s="19">
        <f>IFERROR(
  INDEX(球员数据库!K:K,
    SMALL(球员数据库!$O:$O, ROWS($A$10:J22))
  ),
"")</f>
        <v>5</v>
      </c>
      <c r="L22" s="19">
        <f>IFERROR(
  INDEX(球员数据库!L:L,
    SMALL(球员数据库!$O:$O, ROWS($A$10:J22))
  ),
"")</f>
        <v>120</v>
      </c>
      <c r="M22" s="19" t="str">
        <f>IFERROR(
  INDEX(球员数据库!M:M,
    SMALL(球员数据库!$O:$O, ROWS($A$10:M22))
  ),
"")</f>
        <v>半保障</v>
      </c>
      <c r="N22" s="19">
        <f>IFERROR(
  INDEX(球员数据库!N:N,
    SMALL(球员数据库!$O:$O, ROWS($A$10:M22))
  ),
"")</f>
        <v>0</v>
      </c>
      <c r="O22" s="9"/>
      <c r="Q22" s="13"/>
      <c r="X22" s="11" t="s">
        <v>83</v>
      </c>
    </row>
    <row r="23" spans="1:24" ht="14" customHeight="1" x14ac:dyDescent="0.3">
      <c r="A23" s="16" t="str">
        <f t="array" ref="A23">IFERROR(
  INDEX(球员数据库!A:A,
    SMALL(球员数据库!$O:$O, ROWS($A$10:A23))
  ),
"")</f>
        <v>栾毅</v>
      </c>
      <c r="B23" s="19">
        <f t="array" ref="B23">IFERROR(
  INDEX(球员数据库!B:B,
    SMALL(球员数据库!$O:$O, ROWS($A$10:A23))
  ),
"")</f>
        <v>21</v>
      </c>
      <c r="C23" s="19" t="str">
        <f t="array" ref="C23">IFERROR(
  INDEX(球员数据库!C:C,
    SMALL(球员数据库!$O:$O, ROWS($A$10:A23))
  ),
"")</f>
        <v>中国</v>
      </c>
      <c r="D23" s="19">
        <f t="array" ref="D23">IFERROR(
  INDEX(球员数据库!E:E,
    SMALL(球员数据库!$O:$O, ROWS($A$10:A23))
  ),
"")</f>
        <v>70</v>
      </c>
      <c r="E23" s="20">
        <f t="array" ref="E23">IFERROR(
  INDEX(球员数据库!D:D,
    SMALL(球员数据库!$O:$O, ROWS($A$10:A23))
  ),
"")</f>
        <v>195</v>
      </c>
      <c r="F23" s="19">
        <f t="array" ref="F23">IFERROR(
  INDEX(球员数据库!F:F,
    SMALL(球员数据库!$O:$O, ROWS($A$10:A23))
  ),
"")</f>
        <v>106</v>
      </c>
      <c r="G23" s="19">
        <f t="array" ref="G23">IFERROR(
  INDEX(球员数据库!G:G,
    SMALL(球员数据库!$O:$O, ROWS($A$10:A23))
  ),
"")</f>
        <v>106</v>
      </c>
      <c r="H23" s="19" t="str">
        <f>IFERROR(
  INDEX(球员数据库!H:H,
    SMALL(球员数据库!$O:$O, ROWS($A$10:H23))
  ),
"")</f>
        <v>门将</v>
      </c>
      <c r="I23" s="19">
        <f>IFERROR(
  INDEX(球员数据库!I:I,
    SMALL(球员数据库!$O:$O, ROWS($A$10:H23))
  ),
"")</f>
        <v>24</v>
      </c>
      <c r="J23" s="19" t="str">
        <f>IFERROR(
  INDEX(球员数据库!J:J,
    SMALL(球员数据库!$O:$O, ROWS($A$10:J23))
  ),
"")</f>
        <v>巴峰</v>
      </c>
      <c r="K23" s="19">
        <f>IFERROR(
  INDEX(球员数据库!K:K,
    SMALL(球员数据库!$O:$O, ROWS($A$10:J23))
  ),
"")</f>
        <v>5</v>
      </c>
      <c r="L23" s="19">
        <f>IFERROR(
  INDEX(球员数据库!L:L,
    SMALL(球员数据库!$O:$O, ROWS($A$10:J23))
  ),
"")</f>
        <v>120</v>
      </c>
      <c r="M23" s="19" t="str">
        <f>IFERROR(
  INDEX(球员数据库!M:M,
    SMALL(球员数据库!$O:$O, ROWS($A$10:M23))
  ),
"")</f>
        <v>全额保障</v>
      </c>
      <c r="N23" s="19">
        <f>IFERROR(
  INDEX(球员数据库!N:N,
    SMALL(球员数据库!$O:$O, ROWS($A$10:M23))
  ),
"")</f>
        <v>0</v>
      </c>
      <c r="O23" s="9"/>
      <c r="Q23" s="13"/>
      <c r="X23" s="10" t="s">
        <v>469</v>
      </c>
    </row>
    <row r="24" spans="1:24" ht="14" customHeight="1" x14ac:dyDescent="0.3">
      <c r="A24" s="16" t="str">
        <f t="array" ref="A24">IFERROR(
  INDEX(球员数据库!A:A,
    SMALL(球员数据库!$O:$O, ROWS($A$10:A24))
  ),
"")</f>
        <v>马蒂亚·德西利奥</v>
      </c>
      <c r="B24" s="19">
        <f t="array" ref="B24">IFERROR(
  INDEX(球员数据库!B:B,
    SMALL(球员数据库!$O:$O, ROWS($A$10:A24))
  ),
"")</f>
        <v>34</v>
      </c>
      <c r="C24" s="19" t="str">
        <f t="array" ref="C24">IFERROR(
  INDEX(球员数据库!C:C,
    SMALL(球员数据库!$O:$O, ROWS($A$10:A24))
  ),
"")</f>
        <v>意大利</v>
      </c>
      <c r="D24" s="19">
        <f t="array" ref="D24">IFERROR(
  INDEX(球员数据库!E:E,
    SMALL(球员数据库!$O:$O, ROWS($A$10:A24))
  ),
"")</f>
        <v>77</v>
      </c>
      <c r="E24" s="20">
        <f t="array" ref="E24">IFERROR(
  INDEX(球员数据库!D:D,
    SMALL(球员数据库!$O:$O, ROWS($A$10:A24))
  ),
"")</f>
        <v>183</v>
      </c>
      <c r="F24" s="19">
        <f t="array" ref="F24">IFERROR(
  INDEX(球员数据库!F:F,
    SMALL(球员数据库!$O:$O, ROWS($A$10:A24))
  ),
"")</f>
        <v>118</v>
      </c>
      <c r="G24" s="19">
        <f t="array" ref="G24">IFERROR(
  INDEX(球员数据库!G:G,
    SMALL(球员数据库!$O:$O, ROWS($A$10:A24))
  ),
"")</f>
        <v>145</v>
      </c>
      <c r="H24" s="19" t="str">
        <f>IFERROR(
  INDEX(球员数据库!H:H,
    SMALL(球员数据库!$O:$O, ROWS($A$10:H24))
  ),
"")</f>
        <v>中卫，左右边后卫</v>
      </c>
      <c r="I24" s="19">
        <f>IFERROR(
  INDEX(球员数据库!I:I,
    SMALL(球员数据库!$O:$O, ROWS($A$10:H24))
  ),
"")</f>
        <v>180</v>
      </c>
      <c r="J24" s="19" t="str">
        <f>IFERROR(
  INDEX(球员数据库!J:J,
    SMALL(球员数据库!$O:$O, ROWS($A$10:J24))
  ),
"")</f>
        <v>巴峰</v>
      </c>
      <c r="K24" s="19">
        <f>IFERROR(
  INDEX(球员数据库!K:K,
    SMALL(球员数据库!$O:$O, ROWS($A$10:J24))
  ),
"")</f>
        <v>5</v>
      </c>
      <c r="L24" s="19">
        <f>IFERROR(
  INDEX(球员数据库!L:L,
    SMALL(球员数据库!$O:$O, ROWS($A$10:J24))
  ),
"")</f>
        <v>900</v>
      </c>
      <c r="M24" s="19" t="str">
        <f>IFERROR(
  INDEX(球员数据库!M:M,
    SMALL(球员数据库!$O:$O, ROWS($A$10:M24))
  ),
"")</f>
        <v>全额保障</v>
      </c>
      <c r="N24" s="19">
        <f>IFERROR(
  INDEX(球员数据库!N:N,
    SMALL(球员数据库!$O:$O, ROWS($A$10:M24))
  ),
"")</f>
        <v>0</v>
      </c>
      <c r="O24" s="9"/>
      <c r="Q24" s="13"/>
      <c r="X24" s="11" t="s">
        <v>1659</v>
      </c>
    </row>
    <row r="25" spans="1:24" ht="14" customHeight="1" x14ac:dyDescent="0.3">
      <c r="A25" s="16" t="str">
        <f t="array" ref="A25">IFERROR(
  INDEX(球员数据库!A:A,
    SMALL(球员数据库!$O:$O, ROWS($A$10:A25))
  ),
"")</f>
        <v>阿贝尔·霍查</v>
      </c>
      <c r="B25" s="19">
        <f t="array" ref="B25">IFERROR(
  INDEX(球员数据库!B:B,
    SMALL(球员数据库!$O:$O, ROWS($A$10:A25))
  ),
"")</f>
        <v>28</v>
      </c>
      <c r="C25" s="19" t="str">
        <f t="array" ref="C25">IFERROR(
  INDEX(球员数据库!C:C,
    SMALL(球员数据库!$O:$O, ROWS($A$10:A25))
  ),
"")</f>
        <v>阿尔巴尼亚</v>
      </c>
      <c r="D25" s="19">
        <f t="array" ref="D25">IFERROR(
  INDEX(球员数据库!E:E,
    SMALL(球员数据库!$O:$O, ROWS($A$10:A25))
  ),
"")</f>
        <v>74</v>
      </c>
      <c r="E25" s="20">
        <f t="array" ref="E25">IFERROR(
  INDEX(球员数据库!D:D,
    SMALL(球员数据库!$O:$O, ROWS($A$10:A25))
  ),
"")</f>
        <v>178</v>
      </c>
      <c r="F25" s="19">
        <f t="array" ref="F25">IFERROR(
  INDEX(球员数据库!F:F,
    SMALL(球员数据库!$O:$O, ROWS($A$10:A25))
  ),
"")</f>
        <v>118</v>
      </c>
      <c r="G25" s="19">
        <f t="array" ref="G25">IFERROR(
  INDEX(球员数据库!G:G,
    SMALL(球员数据库!$O:$O, ROWS($A$10:A25))
  ),
"")</f>
        <v>119</v>
      </c>
      <c r="H25" s="19" t="str">
        <f>IFERROR(
  INDEX(球员数据库!H:H,
    SMALL(球员数据库!$O:$O, ROWS($A$10:H25))
  ),
"")</f>
        <v>左边锋</v>
      </c>
      <c r="I25" s="19">
        <f>IFERROR(
  INDEX(球员数据库!I:I,
    SMALL(球员数据库!$O:$O, ROWS($A$10:H25))
  ),
"")</f>
        <v>60</v>
      </c>
      <c r="J25" s="19" t="str">
        <f>IFERROR(
  INDEX(球员数据库!J:J,
    SMALL(球员数据库!$O:$O, ROWS($A$10:J25))
  ),
"")</f>
        <v>巴峰</v>
      </c>
      <c r="K25" s="19">
        <f>IFERROR(
  INDEX(球员数据库!K:K,
    SMALL(球员数据库!$O:$O, ROWS($A$10:J25))
  ),
"")</f>
        <v>6</v>
      </c>
      <c r="L25" s="19">
        <f>IFERROR(
  INDEX(球员数据库!L:L,
    SMALL(球员数据库!$O:$O, ROWS($A$10:J25))
  ),
"")</f>
        <v>300</v>
      </c>
      <c r="M25" s="19" t="str">
        <f>IFERROR(
  INDEX(球员数据库!M:M,
    SMALL(球员数据库!$O:$O, ROWS($A$10:M25))
  ),
"")</f>
        <v>全额保障</v>
      </c>
      <c r="N25" s="19">
        <f>IFERROR(
  INDEX(球员数据库!N:N,
    SMALL(球员数据库!$O:$O, ROWS($A$10:M25))
  ),
"")</f>
        <v>0</v>
      </c>
      <c r="O25" s="9"/>
      <c r="Q25" s="13"/>
      <c r="X25" s="10" t="s">
        <v>1039</v>
      </c>
    </row>
    <row r="26" spans="1:24" ht="14" customHeight="1" x14ac:dyDescent="0.3">
      <c r="A26" s="16" t="str">
        <f t="array" ref="A26">IFERROR(
  INDEX(球员数据库!A:A,
    SMALL(球员数据库!$O:$O, ROWS($A$10:A26))
  ),
"")</f>
        <v>维萨尔·贝卡伊</v>
      </c>
      <c r="B26" s="19">
        <f t="array" ref="B26">IFERROR(
  INDEX(球员数据库!B:B,
    SMALL(球员数据库!$O:$O, ROWS($A$10:A26))
  ),
"")</f>
        <v>30</v>
      </c>
      <c r="C26" s="19" t="str">
        <f t="array" ref="C26">IFERROR(
  INDEX(球员数据库!C:C,
    SMALL(球员数据库!$O:$O, ROWS($A$10:A26))
  ),
"")</f>
        <v>波黑</v>
      </c>
      <c r="D26" s="19">
        <f t="array" ref="D26">IFERROR(
  INDEX(球员数据库!E:E,
    SMALL(球员数据库!$O:$O, ROWS($A$10:A26))
  ),
"")</f>
        <v>0</v>
      </c>
      <c r="E26" s="20">
        <f t="array" ref="E26">IFERROR(
  INDEX(球员数据库!D:D,
    SMALL(球员数据库!$O:$O, ROWS($A$10:A26))
  ),
"")</f>
        <v>0</v>
      </c>
      <c r="F26" s="19">
        <f t="array" ref="F26">IFERROR(
  INDEX(球员数据库!F:F,
    SMALL(球员数据库!$O:$O, ROWS($A$10:A26))
  ),
"")</f>
        <v>110</v>
      </c>
      <c r="G26" s="19">
        <f t="array" ref="G26">IFERROR(
  INDEX(球员数据库!G:G,
    SMALL(球员数据库!$O:$O, ROWS($A$10:A26))
  ),
"")</f>
        <v>116</v>
      </c>
      <c r="H26" s="19" t="str">
        <f>IFERROR(
  INDEX(球员数据库!H:H,
    SMALL(球员数据库!$O:$O, ROWS($A$10:H26))
  ),
"")</f>
        <v>门将</v>
      </c>
      <c r="I26" s="19">
        <f>IFERROR(
  INDEX(球员数据库!I:I,
    SMALL(球员数据库!$O:$O, ROWS($A$10:H26))
  ),
"")</f>
        <v>40</v>
      </c>
      <c r="J26" s="19" t="str">
        <f>IFERROR(
  INDEX(球员数据库!J:J,
    SMALL(球员数据库!$O:$O, ROWS($A$10:J26))
  ),
"")</f>
        <v>巴峰</v>
      </c>
      <c r="K26" s="19">
        <f>IFERROR(
  INDEX(球员数据库!K:K,
    SMALL(球员数据库!$O:$O, ROWS($A$10:J26))
  ),
"")</f>
        <v>5</v>
      </c>
      <c r="L26" s="19">
        <f>IFERROR(
  INDEX(球员数据库!L:L,
    SMALL(球员数据库!$O:$O, ROWS($A$10:J26))
  ),
"")</f>
        <v>200</v>
      </c>
      <c r="M26" s="19" t="str">
        <f>IFERROR(
  INDEX(球员数据库!M:M,
    SMALL(球员数据库!$O:$O, ROWS($A$10:M26))
  ),
"")</f>
        <v>半保障</v>
      </c>
      <c r="N26" s="19">
        <f>IFERROR(
  INDEX(球员数据库!N:N,
    SMALL(球员数据库!$O:$O, ROWS($A$10:M26))
  ),
"")</f>
        <v>0</v>
      </c>
      <c r="O26" s="9"/>
      <c r="Q26" s="13"/>
      <c r="X26" s="11" t="s">
        <v>308</v>
      </c>
    </row>
    <row r="27" spans="1:24" ht="14" customHeight="1" x14ac:dyDescent="0.3">
      <c r="A27" s="16" t="str">
        <f t="array" ref="A27">IFERROR(
  INDEX(球员数据库!A:A,
    SMALL(球员数据库!$O:$O, ROWS($A$10:A27))
  ),
"")</f>
        <v>亚历杭德罗·布拉日奇</v>
      </c>
      <c r="B27" s="19">
        <f t="array" ref="B27">IFERROR(
  INDEX(球员数据库!B:B,
    SMALL(球员数据库!$O:$O, ROWS($A$10:A27))
  ),
"")</f>
        <v>18</v>
      </c>
      <c r="C27" s="19" t="str">
        <f t="array" ref="C27">IFERROR(
  INDEX(球员数据库!C:C,
    SMALL(球员数据库!$O:$O, ROWS($A$10:A27))
  ),
"")</f>
        <v>加西亚</v>
      </c>
      <c r="D27" s="19">
        <f t="array" ref="D27">IFERROR(
  INDEX(球员数据库!E:E,
    SMALL(球员数据库!$O:$O, ROWS($A$10:A27))
  ),
"")</f>
        <v>0</v>
      </c>
      <c r="E27" s="20">
        <f t="array" ref="E27">IFERROR(
  INDEX(球员数据库!D:D,
    SMALL(球员数据库!$O:$O, ROWS($A$10:A27))
  ),
"")</f>
        <v>0</v>
      </c>
      <c r="F27" s="19">
        <f t="array" ref="F27">IFERROR(
  INDEX(球员数据库!F:F,
    SMALL(球员数据库!$O:$O, ROWS($A$10:A27))
  ),
"")</f>
        <v>129</v>
      </c>
      <c r="G27" s="19">
        <f t="array" ref="G27">IFERROR(
  INDEX(球员数据库!G:G,
    SMALL(球员数据库!$O:$O, ROWS($A$10:A27))
  ),
"")</f>
        <v>138</v>
      </c>
      <c r="H27" s="19" t="str">
        <f>IFERROR(
  INDEX(球员数据库!H:H,
    SMALL(球员数据库!$O:$O, ROWS($A$10:H27))
  ),
"")</f>
        <v>门将</v>
      </c>
      <c r="I27" s="19">
        <f>IFERROR(
  INDEX(球员数据库!I:I,
    SMALL(球员数据库!$O:$O, ROWS($A$10:H27))
  ),
"")</f>
        <v>24</v>
      </c>
      <c r="J27" s="19" t="str">
        <f>IFERROR(
  INDEX(球员数据库!J:J,
    SMALL(球员数据库!$O:$O, ROWS($A$10:J27))
  ),
"")</f>
        <v>巴峰</v>
      </c>
      <c r="K27" s="19">
        <f>IFERROR(
  INDEX(球员数据库!K:K,
    SMALL(球员数据库!$O:$O, ROWS($A$10:J27))
  ),
"")</f>
        <v>9</v>
      </c>
      <c r="L27" s="19">
        <f>IFERROR(
  INDEX(球员数据库!L:L,
    SMALL(球员数据库!$O:$O, ROWS($A$10:J27))
  ),
"")</f>
        <v>120</v>
      </c>
      <c r="M27" s="19" t="str">
        <f>IFERROR(
  INDEX(球员数据库!M:M,
    SMALL(球员数据库!$O:$O, ROWS($A$10:M27))
  ),
"")</f>
        <v>全额保障</v>
      </c>
      <c r="N27" s="19">
        <f>IFERROR(
  INDEX(球员数据库!N:N,
    SMALL(球员数据库!$O:$O, ROWS($A$10:M27))
  ),
"")</f>
        <v>0</v>
      </c>
      <c r="O27" s="9"/>
      <c r="X27" s="10" t="s">
        <v>100</v>
      </c>
    </row>
    <row r="28" spans="1:24" ht="14" customHeight="1" x14ac:dyDescent="0.3">
      <c r="A28" s="16" t="str">
        <f t="array" ref="A28">IFERROR(
  INDEX(球员数据库!A:A,
    SMALL(球员数据库!$O:$O, ROWS($A$10:A28))
  ),
"")</f>
        <v>加布里埃尔·梅克</v>
      </c>
      <c r="B28" s="19">
        <f t="array" ref="B28">IFERROR(
  INDEX(球员数据库!B:B,
    SMALL(球员数据库!$O:$O, ROWS($A$10:A28))
  ),
"")</f>
        <v>18</v>
      </c>
      <c r="C28" s="19" t="str">
        <f t="array" ref="C28">IFERROR(
  INDEX(球员数据库!C:C,
    SMALL(球员数据库!$O:$O, ROWS($A$10:A28))
  ),
"")</f>
        <v>巴西</v>
      </c>
      <c r="D28" s="19">
        <f t="array" ref="D28">IFERROR(
  INDEX(球员数据库!E:E,
    SMALL(球员数据库!$O:$O, ROWS($A$10:A28))
  ),
"")</f>
        <v>0</v>
      </c>
      <c r="E28" s="20">
        <f t="array" ref="E28">IFERROR(
  INDEX(球员数据库!D:D,
    SMALL(球员数据库!$O:$O, ROWS($A$10:A28))
  ),
"")</f>
        <v>0</v>
      </c>
      <c r="F28" s="19">
        <f t="array" ref="F28">IFERROR(
  INDEX(球员数据库!F:F,
    SMALL(球员数据库!$O:$O, ROWS($A$10:A28))
  ),
"")</f>
        <v>120</v>
      </c>
      <c r="G28" s="19">
        <f t="array" ref="G28">IFERROR(
  INDEX(球员数据库!G:G,
    SMALL(球员数据库!$O:$O, ROWS($A$10:A28))
  ),
"")</f>
        <v>180</v>
      </c>
      <c r="H28" s="19" t="str">
        <f>IFERROR(
  INDEX(球员数据库!H:H,
    SMALL(球员数据库!$O:$O, ROWS($A$10:H28))
  ),
"")</f>
        <v>左右边锋</v>
      </c>
      <c r="I28" s="19">
        <f>IFERROR(
  INDEX(球员数据库!I:I,
    SMALL(球员数据库!$O:$O, ROWS($A$10:H28))
  ),
"")</f>
        <v>70</v>
      </c>
      <c r="J28" s="19" t="str">
        <f>IFERROR(
  INDEX(球员数据库!J:J,
    SMALL(球员数据库!$O:$O, ROWS($A$10:J28))
  ),
"")</f>
        <v>巴峰</v>
      </c>
      <c r="K28" s="19">
        <f>IFERROR(
  INDEX(球员数据库!K:K,
    SMALL(球员数据库!$O:$O, ROWS($A$10:J28))
  ),
"")</f>
        <v>9</v>
      </c>
      <c r="L28" s="19">
        <f>IFERROR(
  INDEX(球员数据库!L:L,
    SMALL(球员数据库!$O:$O, ROWS($A$10:J28))
  ),
"")</f>
        <v>350</v>
      </c>
      <c r="M28" s="19" t="str">
        <f>IFERROR(
  INDEX(球员数据库!M:M,
    SMALL(球员数据库!$O:$O, ROWS($A$10:M28))
  ),
"")</f>
        <v>全额保障</v>
      </c>
      <c r="N28" s="19">
        <f>IFERROR(
  INDEX(球员数据库!N:N,
    SMALL(球员数据库!$O:$O, ROWS($A$10:M28))
  ),
"")</f>
        <v>0</v>
      </c>
      <c r="O28" s="9"/>
      <c r="X28" s="11" t="s">
        <v>609</v>
      </c>
    </row>
    <row r="29" spans="1:24" ht="14" customHeight="1" x14ac:dyDescent="0.3">
      <c r="A29" s="16" t="str">
        <f t="array" ref="A29">IFERROR(
  INDEX(球员数据库!A:A,
    SMALL(球员数据库!$O:$O, ROWS($A$10:A29))
  ),
"")</f>
        <v>戴恩·桑德森</v>
      </c>
      <c r="B29" s="19">
        <f t="array" ref="B29">IFERROR(
  INDEX(球员数据库!B:B,
    SMALL(球员数据库!$O:$O, ROWS($A$10:A29))
  ),
"")</f>
        <v>26</v>
      </c>
      <c r="C29" s="19" t="str">
        <f t="array" ref="C29">IFERROR(
  INDEX(球员数据库!C:C,
    SMALL(球员数据库!$O:$O, ROWS($A$10:A29))
  ),
"")</f>
        <v>英格兰，马来西亚</v>
      </c>
      <c r="D29" s="19">
        <f t="array" ref="D29">IFERROR(
  INDEX(球员数据库!E:E,
    SMALL(球员数据库!$O:$O, ROWS($A$10:A29))
  ),
"")</f>
        <v>0</v>
      </c>
      <c r="E29" s="20">
        <f t="array" ref="E29">IFERROR(
  INDEX(球员数据库!D:D,
    SMALL(球员数据库!$O:$O, ROWS($A$10:A29))
  ),
"")</f>
        <v>0</v>
      </c>
      <c r="F29" s="19">
        <f t="array" ref="F29">IFERROR(
  INDEX(球员数据库!F:F,
    SMALL(球员数据库!$O:$O, ROWS($A$10:A29))
  ),
"")</f>
        <v>126</v>
      </c>
      <c r="G29" s="19">
        <f t="array" ref="G29">IFERROR(
  INDEX(球员数据库!G:G,
    SMALL(球员数据库!$O:$O, ROWS($A$10:A29))
  ),
"")</f>
        <v>126</v>
      </c>
      <c r="H29" s="19" t="str">
        <f>IFERROR(
  INDEX(球员数据库!H:H,
    SMALL(球员数据库!$O:$O, ROWS($A$10:H29))
  ),
"")</f>
        <v>中卫</v>
      </c>
      <c r="I29" s="19">
        <f>IFERROR(
  INDEX(球员数据库!I:I,
    SMALL(球员数据库!$O:$O, ROWS($A$10:H29))
  ),
"")</f>
        <v>140</v>
      </c>
      <c r="J29" s="19" t="str">
        <f>IFERROR(
  INDEX(球员数据库!J:J,
    SMALL(球员数据库!$O:$O, ROWS($A$10:J29))
  ),
"")</f>
        <v>巴峰</v>
      </c>
      <c r="K29" s="19">
        <f>IFERROR(
  INDEX(球员数据库!K:K,
    SMALL(球员数据库!$O:$O, ROWS($A$10:J29))
  ),
"")</f>
        <v>5</v>
      </c>
      <c r="L29" s="19">
        <f>IFERROR(
  INDEX(球员数据库!L:L,
    SMALL(球员数据库!$O:$O, ROWS($A$10:J29))
  ),
"")</f>
        <v>700</v>
      </c>
      <c r="M29" s="19" t="str">
        <f>IFERROR(
  INDEX(球员数据库!M:M,
    SMALL(球员数据库!$O:$O, ROWS($A$10:M29))
  ),
"")</f>
        <v>全额保障</v>
      </c>
      <c r="N29" s="19">
        <f>IFERROR(
  INDEX(球员数据库!N:N,
    SMALL(球员数据库!$O:$O, ROWS($A$10:M29))
  ),
"")</f>
        <v>0</v>
      </c>
      <c r="O29" s="9"/>
      <c r="X29" s="10" t="s">
        <v>233</v>
      </c>
    </row>
    <row r="30" spans="1:24" ht="14" customHeight="1" x14ac:dyDescent="0.3">
      <c r="A30" s="16" t="str">
        <f t="array" ref="A30">IFERROR(
  INDEX(球员数据库!A:A,
    SMALL(球员数据库!$O:$O, ROWS($A$10:A30))
  ),
"")</f>
        <v>史蒂文·楚克乌埃布卡</v>
      </c>
      <c r="B30" s="19">
        <f t="array" ref="B30">IFERROR(
  INDEX(球员数据库!B:B,
    SMALL(球员数据库!$O:$O, ROWS($A$10:A30))
  ),
"")</f>
        <v>20</v>
      </c>
      <c r="C30" s="19" t="str">
        <f t="array" ref="C30">IFERROR(
  INDEX(球员数据库!C:C,
    SMALL(球员数据库!$O:$O, ROWS($A$10:A30))
  ),
"")</f>
        <v>加西亚，加纳</v>
      </c>
      <c r="D30" s="19">
        <f t="array" ref="D30">IFERROR(
  INDEX(球员数据库!E:E,
    SMALL(球员数据库!$O:$O, ROWS($A$10:A30))
  ),
"")</f>
        <v>0</v>
      </c>
      <c r="E30" s="20">
        <f t="array" ref="E30">IFERROR(
  INDEX(球员数据库!D:D,
    SMALL(球员数据库!$O:$O, ROWS($A$10:A30))
  ),
"")</f>
        <v>0</v>
      </c>
      <c r="F30" s="19">
        <f t="array" ref="F30">IFERROR(
  INDEX(球员数据库!F:F,
    SMALL(球员数据库!$O:$O, ROWS($A$10:A30))
  ),
"")</f>
        <v>124</v>
      </c>
      <c r="G30" s="19">
        <f t="array" ref="G30">IFERROR(
  INDEX(球员数据库!G:G,
    SMALL(球员数据库!$O:$O, ROWS($A$10:A30))
  ),
"")</f>
        <v>130</v>
      </c>
      <c r="H30" s="19" t="str">
        <f>IFERROR(
  INDEX(球员数据库!H:H,
    SMALL(球员数据库!$O:$O, ROWS($A$10:H30))
  ),
"")</f>
        <v>后腰，中场，中卫</v>
      </c>
      <c r="I30" s="19">
        <f>IFERROR(
  INDEX(球员数据库!I:I,
    SMALL(球员数据库!$O:$O, ROWS($A$10:H30))
  ),
"")</f>
        <v>24</v>
      </c>
      <c r="J30" s="19" t="str">
        <f>IFERROR(
  INDEX(球员数据库!J:J,
    SMALL(球员数据库!$O:$O, ROWS($A$10:J30))
  ),
"")</f>
        <v>巴峰</v>
      </c>
      <c r="K30" s="19">
        <f>IFERROR(
  INDEX(球员数据库!K:K,
    SMALL(球员数据库!$O:$O, ROWS($A$10:J30))
  ),
"")</f>
        <v>5</v>
      </c>
      <c r="L30" s="19">
        <f>IFERROR(
  INDEX(球员数据库!L:L,
    SMALL(球员数据库!$O:$O, ROWS($A$10:J30))
  ),
"")</f>
        <v>120</v>
      </c>
      <c r="M30" s="19" t="str">
        <f>IFERROR(
  INDEX(球员数据库!M:M,
    SMALL(球员数据库!$O:$O, ROWS($A$10:M30))
  ),
"")</f>
        <v>半保障</v>
      </c>
      <c r="N30" s="19">
        <f>IFERROR(
  INDEX(球员数据库!N:N,
    SMALL(球员数据库!$O:$O, ROWS($A$10:M30))
  ),
"")</f>
        <v>0</v>
      </c>
      <c r="O30" s="9"/>
      <c r="X30" s="11" t="s">
        <v>278</v>
      </c>
    </row>
    <row r="31" spans="1:24" ht="14" customHeight="1" x14ac:dyDescent="0.3">
      <c r="A31" s="16" t="str">
        <f t="array" ref="A31">IFERROR(
  INDEX(球员数据库!A:A,
    SMALL(球员数据库!$O:$O, ROWS($A$10:A31))
  ),
"")</f>
        <v>乌切楚克乌·乌克杰</v>
      </c>
      <c r="B31" s="19">
        <f t="array" ref="B31">IFERROR(
  INDEX(球员数据库!B:B,
    SMALL(球员数据库!$O:$O, ROWS($A$10:A31))
  ),
"")</f>
        <v>21</v>
      </c>
      <c r="C31" s="19" t="str">
        <f t="array" ref="C31">IFERROR(
  INDEX(球员数据库!C:C,
    SMALL(球员数据库!$O:$O, ROWS($A$10:A31))
  ),
"")</f>
        <v>加西亚</v>
      </c>
      <c r="D31" s="19">
        <f t="array" ref="D31">IFERROR(
  INDEX(球员数据库!E:E,
    SMALL(球员数据库!$O:$O, ROWS($A$10:A31))
  ),
"")</f>
        <v>0</v>
      </c>
      <c r="E31" s="20">
        <f t="array" ref="E31">IFERROR(
  INDEX(球员数据库!D:D,
    SMALL(球员数据库!$O:$O, ROWS($A$10:A31))
  ),
"")</f>
        <v>0</v>
      </c>
      <c r="F31" s="19">
        <f t="array" ref="F31">IFERROR(
  INDEX(球员数据库!F:F,
    SMALL(球员数据库!$O:$O, ROWS($A$10:A31))
  ),
"")</f>
        <v>123</v>
      </c>
      <c r="G31" s="19">
        <f t="array" ref="G31">IFERROR(
  INDEX(球员数据库!G:G,
    SMALL(球员数据库!$O:$O, ROWS($A$10:A31))
  ),
"")</f>
        <v>141</v>
      </c>
      <c r="H31" s="19" t="str">
        <f>IFERROR(
  INDEX(球员数据库!H:H,
    SMALL(球员数据库!$O:$O, ROWS($A$10:H31))
  ),
"")</f>
        <v>前锋，左边锋，左边中场</v>
      </c>
      <c r="I31" s="19">
        <f>IFERROR(
  INDEX(球员数据库!I:I,
    SMALL(球员数据库!$O:$O, ROWS($A$10:H31))
  ),
"")</f>
        <v>24</v>
      </c>
      <c r="J31" s="19" t="str">
        <f>IFERROR(
  INDEX(球员数据库!J:J,
    SMALL(球员数据库!$O:$O, ROWS($A$10:J31))
  ),
"")</f>
        <v>巴峰</v>
      </c>
      <c r="K31" s="19">
        <f>IFERROR(
  INDEX(球员数据库!K:K,
    SMALL(球员数据库!$O:$O, ROWS($A$10:J31))
  ),
"")</f>
        <v>5</v>
      </c>
      <c r="L31" s="19">
        <f>IFERROR(
  INDEX(球员数据库!L:L,
    SMALL(球员数据库!$O:$O, ROWS($A$10:J31))
  ),
"")</f>
        <v>120</v>
      </c>
      <c r="M31" s="19" t="str">
        <f>IFERROR(
  INDEX(球员数据库!M:M,
    SMALL(球员数据库!$O:$O, ROWS($A$10:M31))
  ),
"")</f>
        <v>半保障</v>
      </c>
      <c r="N31" s="19">
        <f>IFERROR(
  INDEX(球员数据库!N:N,
    SMALL(球员数据库!$O:$O, ROWS($A$10:M31))
  ),
"")</f>
        <v>0</v>
      </c>
      <c r="O31" s="9"/>
      <c r="X31" s="10" t="s">
        <v>1671</v>
      </c>
    </row>
    <row r="32" spans="1:24" ht="14" customHeight="1" x14ac:dyDescent="0.3">
      <c r="A32" s="16" t="str">
        <f t="array" ref="A32">IFERROR(
  INDEX(球员数据库!A:A,
    SMALL(球员数据库!$O:$O, ROWS($A$10:A32))
  ),
"")</f>
        <v>黎光静</v>
      </c>
      <c r="B32" s="19">
        <f t="array" ref="B32">IFERROR(
  INDEX(球员数据库!B:B,
    SMALL(球员数据库!$O:$O, ROWS($A$10:A32))
  ),
"")</f>
        <v>20</v>
      </c>
      <c r="C32" s="19" t="str">
        <f t="array" ref="C32">IFERROR(
  INDEX(球员数据库!C:C,
    SMALL(球员数据库!$O:$O, ROWS($A$10:A32))
  ),
"")</f>
        <v>加西亚</v>
      </c>
      <c r="D32" s="19">
        <f t="array" ref="D32">IFERROR(
  INDEX(球员数据库!E:E,
    SMALL(球员数据库!$O:$O, ROWS($A$10:A32))
  ),
"")</f>
        <v>0</v>
      </c>
      <c r="E32" s="20">
        <f t="array" ref="E32">IFERROR(
  INDEX(球员数据库!D:D,
    SMALL(球员数据库!$O:$O, ROWS($A$10:A32))
  ),
"")</f>
        <v>0</v>
      </c>
      <c r="F32" s="19">
        <f t="array" ref="F32">IFERROR(
  INDEX(球员数据库!F:F,
    SMALL(球员数据库!$O:$O, ROWS($A$10:A32))
  ),
"")</f>
        <v>121</v>
      </c>
      <c r="G32" s="19">
        <f t="array" ref="G32">IFERROR(
  INDEX(球员数据库!G:G,
    SMALL(球员数据库!$O:$O, ROWS($A$10:A32))
  ),
"")</f>
        <v>131</v>
      </c>
      <c r="H32" s="19" t="str">
        <f>IFERROR(
  INDEX(球员数据库!H:H,
    SMALL(球员数据库!$O:$O, ROWS($A$10:H32))
  ),
"")</f>
        <v>右边卫</v>
      </c>
      <c r="I32" s="19">
        <f>IFERROR(
  INDEX(球员数据库!I:I,
    SMALL(球员数据库!$O:$O, ROWS($A$10:H32))
  ),
"")</f>
        <v>24</v>
      </c>
      <c r="J32" s="19" t="str">
        <f>IFERROR(
  INDEX(球员数据库!J:J,
    SMALL(球员数据库!$O:$O, ROWS($A$10:J32))
  ),
"")</f>
        <v>巴峰</v>
      </c>
      <c r="K32" s="19">
        <f>IFERROR(
  INDEX(球员数据库!K:K,
    SMALL(球员数据库!$O:$O, ROWS($A$10:J32))
  ),
"")</f>
        <v>5</v>
      </c>
      <c r="L32" s="19">
        <f>IFERROR(
  INDEX(球员数据库!L:L,
    SMALL(球员数据库!$O:$O, ROWS($A$10:J32))
  ),
"")</f>
        <v>120</v>
      </c>
      <c r="M32" s="19" t="str">
        <f>IFERROR(
  INDEX(球员数据库!M:M,
    SMALL(球员数据库!$O:$O, ROWS($A$10:M32))
  ),
"")</f>
        <v>半保障</v>
      </c>
      <c r="N32" s="19">
        <f>IFERROR(
  INDEX(球员数据库!N:N,
    SMALL(球员数据库!$O:$O, ROWS($A$10:M32))
  ),
"")</f>
        <v>0</v>
      </c>
      <c r="O32" s="9"/>
      <c r="X32" s="11" t="s">
        <v>268</v>
      </c>
    </row>
    <row r="33" spans="1:24" ht="14" customHeight="1" x14ac:dyDescent="0.3">
      <c r="A33" s="16" t="str">
        <f t="array" ref="A33">IFERROR(
  INDEX(球员数据库!A:A,
    SMALL(球员数据库!$O:$O, ROWS($A$10:A33))
  ),
"")</f>
        <v>乔治·曼库尔</v>
      </c>
      <c r="B33" s="19">
        <f t="array" ref="B33">IFERROR(
  INDEX(球员数据库!B:B,
    SMALL(球员数据库!$O:$O, ROWS($A$10:A33))
  ),
"")</f>
        <v>30</v>
      </c>
      <c r="C33" s="19" t="str">
        <f t="array" ref="C33">IFERROR(
  INDEX(球员数据库!C:C,
    SMALL(球员数据库!$O:$O, ROWS($A$10:A33))
  ),
"")</f>
        <v>英格兰</v>
      </c>
      <c r="D33" s="19">
        <f t="array" ref="D33">IFERROR(
  INDEX(球员数据库!E:E,
    SMALL(球员数据库!$O:$O, ROWS($A$10:A33))
  ),
"")</f>
        <v>0</v>
      </c>
      <c r="E33" s="20">
        <f t="array" ref="E33">IFERROR(
  INDEX(球员数据库!D:D,
    SMALL(球员数据库!$O:$O, ROWS($A$10:A33))
  ),
"")</f>
        <v>0</v>
      </c>
      <c r="F33" s="19">
        <f t="array" ref="F33">IFERROR(
  INDEX(球员数据库!F:F,
    SMALL(球员数据库!$O:$O, ROWS($A$10:A33))
  ),
"")</f>
        <v>128</v>
      </c>
      <c r="G33" s="19">
        <f t="array" ref="G33">IFERROR(
  INDEX(球员数据库!G:G,
    SMALL(球员数据库!$O:$O, ROWS($A$10:A33))
  ),
"")</f>
        <v>128</v>
      </c>
      <c r="H33" s="19" t="str">
        <f>IFERROR(
  INDEX(球员数据库!H:H,
    SMALL(球员数据库!$O:$O, ROWS($A$10:H33))
  ),
"")</f>
        <v>前腰</v>
      </c>
      <c r="I33" s="19">
        <f>IFERROR(
  INDEX(球员数据库!I:I,
    SMALL(球员数据库!$O:$O, ROWS($A$10:H33))
  ),
"")</f>
        <v>150</v>
      </c>
      <c r="J33" s="19" t="str">
        <f>IFERROR(
  INDEX(球员数据库!J:J,
    SMALL(球员数据库!$O:$O, ROWS($A$10:J33))
  ),
"")</f>
        <v>巴峰</v>
      </c>
      <c r="K33" s="19">
        <f>IFERROR(
  INDEX(球员数据库!K:K,
    SMALL(球员数据库!$O:$O, ROWS($A$10:J33))
  ),
"")</f>
        <v>6</v>
      </c>
      <c r="L33" s="19">
        <f>IFERROR(
  INDEX(球员数据库!L:L,
    SMALL(球员数据库!$O:$O, ROWS($A$10:J33))
  ),
"")</f>
        <v>750</v>
      </c>
      <c r="M33" s="19" t="str">
        <f>IFERROR(
  INDEX(球员数据库!M:M,
    SMALL(球员数据库!$O:$O, ROWS($A$10:M33))
  ),
"")</f>
        <v>全额保障</v>
      </c>
      <c r="N33" s="19">
        <f>IFERROR(
  INDEX(球员数据库!N:N,
    SMALL(球员数据库!$O:$O, ROWS($A$10:M33))
  ),
"")</f>
        <v>0</v>
      </c>
      <c r="O33" s="9"/>
      <c r="X33" s="10" t="s">
        <v>1676</v>
      </c>
    </row>
    <row r="34" spans="1:24" ht="14" customHeight="1" x14ac:dyDescent="0.3">
      <c r="A34" s="16" t="str">
        <f t="array" ref="A34">IFERROR(
  INDEX(球员数据库!A:A,
    SMALL(球员数据库!$O:$O, ROWS($A$10:A34))
  ),
"")</f>
        <v/>
      </c>
      <c r="B34" s="19" t="str">
        <f t="array" ref="B34">IFERROR(
  INDEX(球员数据库!B:B,
    SMALL(球员数据库!$O:$O, ROWS($A$10:A34))
  ),
"")</f>
        <v/>
      </c>
      <c r="C34" s="19" t="str">
        <f t="array" ref="C34">IFERROR(
  INDEX(球员数据库!C:C,
    SMALL(球员数据库!$O:$O, ROWS($A$10:A34))
  ),
"")</f>
        <v/>
      </c>
      <c r="D34" s="19" t="str">
        <f t="array" ref="D34">IFERROR(
  INDEX(球员数据库!E:E,
    SMALL(球员数据库!$O:$O, ROWS($A$10:A34))
  ),
"")</f>
        <v/>
      </c>
      <c r="E34" s="20" t="str">
        <f t="array" ref="E34">IFERROR(
  INDEX(球员数据库!D:D,
    SMALL(球员数据库!$O:$O, ROWS($A$10:A34))
  ),
"")</f>
        <v/>
      </c>
      <c r="F34" s="19" t="str">
        <f t="array" ref="F34">IFERROR(
  INDEX(球员数据库!F:F,
    SMALL(球员数据库!$O:$O, ROWS($A$10:A34))
  ),
"")</f>
        <v/>
      </c>
      <c r="G34" s="19" t="str">
        <f t="array" ref="G34">IFERROR(
  INDEX(球员数据库!G:G,
    SMALL(球员数据库!$O:$O, ROWS($A$10:A34))
  ),
"")</f>
        <v/>
      </c>
      <c r="H34" s="19" t="str">
        <f>IFERROR(
  INDEX(球员数据库!H:H,
    SMALL(球员数据库!$O:$O, ROWS($A$10:H34))
  ),
"")</f>
        <v/>
      </c>
      <c r="I34" s="19" t="str">
        <f>IFERROR(
  INDEX(球员数据库!I:I,
    SMALL(球员数据库!$O:$O, ROWS($A$10:H34))
  ),
"")</f>
        <v/>
      </c>
      <c r="J34" s="19" t="str">
        <f>IFERROR(
  INDEX(球员数据库!J:J,
    SMALL(球员数据库!$O:$O, ROWS($A$10:J34))
  ),
"")</f>
        <v/>
      </c>
      <c r="K34" s="19" t="str">
        <f>IFERROR(
  INDEX(球员数据库!K:K,
    SMALL(球员数据库!$O:$O, ROWS($A$10:J34))
  ),
"")</f>
        <v/>
      </c>
      <c r="L34" s="19" t="str">
        <f>IFERROR(
  INDEX(球员数据库!L:L,
    SMALL(球员数据库!$O:$O, ROWS($A$10:J34))
  ),
"")</f>
        <v/>
      </c>
      <c r="M34" s="19" t="str">
        <f>IFERROR(
  INDEX(球员数据库!M:M,
    SMALL(球员数据库!$O:$O, ROWS($A$10:M34))
  ),
"")</f>
        <v/>
      </c>
      <c r="N34" s="19" t="str">
        <f>IFERROR(
  INDEX(球员数据库!N:N,
    SMALL(球员数据库!$O:$O, ROWS($A$10:M34))
  ),
"")</f>
        <v/>
      </c>
      <c r="O34" s="9"/>
      <c r="X34" s="11" t="s">
        <v>108</v>
      </c>
    </row>
    <row r="35" spans="1:24" ht="14" customHeight="1" x14ac:dyDescent="0.3">
      <c r="A35" s="16" t="str">
        <f t="array" ref="A35">IFERROR(
  INDEX(球员数据库!A:A,
    SMALL(球员数据库!$O:$O, ROWS($A$10:A35))
  ),
"")</f>
        <v/>
      </c>
      <c r="B35" s="19" t="str">
        <f t="array" ref="B35">IFERROR(
  INDEX(球员数据库!B:B,
    SMALL(球员数据库!$O:$O, ROWS($A$10:A35))
  ),
"")</f>
        <v/>
      </c>
      <c r="C35" s="19" t="str">
        <f t="array" ref="C35">IFERROR(
  INDEX(球员数据库!C:C,
    SMALL(球员数据库!$O:$O, ROWS($A$10:A35))
  ),
"")</f>
        <v/>
      </c>
      <c r="D35" s="19" t="str">
        <f t="array" ref="D35">IFERROR(
  INDEX(球员数据库!E:E,
    SMALL(球员数据库!$O:$O, ROWS($A$10:A35))
  ),
"")</f>
        <v/>
      </c>
      <c r="E35" s="20" t="str">
        <f t="array" ref="E35">IFERROR(
  INDEX(球员数据库!D:D,
    SMALL(球员数据库!$O:$O, ROWS($A$10:A35))
  ),
"")</f>
        <v/>
      </c>
      <c r="F35" s="19" t="str">
        <f t="array" ref="F35">IFERROR(
  INDEX(球员数据库!F:F,
    SMALL(球员数据库!$O:$O, ROWS($A$10:A35))
  ),
"")</f>
        <v/>
      </c>
      <c r="G35" s="19" t="str">
        <f t="array" ref="G35">IFERROR(
  INDEX(球员数据库!G:G,
    SMALL(球员数据库!$O:$O, ROWS($A$10:A35))
  ),
"")</f>
        <v/>
      </c>
      <c r="H35" s="19" t="str">
        <f>IFERROR(
  INDEX(球员数据库!H:H,
    SMALL(球员数据库!$O:$O, ROWS($A$10:H35))
  ),
"")</f>
        <v/>
      </c>
      <c r="I35" s="19" t="str">
        <f>IFERROR(
  INDEX(球员数据库!I:I,
    SMALL(球员数据库!$O:$O, ROWS($A$10:H35))
  ),
"")</f>
        <v/>
      </c>
      <c r="J35" s="19" t="str">
        <f>IFERROR(
  INDEX(球员数据库!J:J,
    SMALL(球员数据库!$O:$O, ROWS($A$10:J35))
  ),
"")</f>
        <v/>
      </c>
      <c r="K35" s="19" t="str">
        <f>IFERROR(
  INDEX(球员数据库!K:K,
    SMALL(球员数据库!$O:$O, ROWS($A$10:J35))
  ),
"")</f>
        <v/>
      </c>
      <c r="L35" s="19" t="str">
        <f>IFERROR(
  INDEX(球员数据库!L:L,
    SMALL(球员数据库!$O:$O, ROWS($A$10:J35))
  ),
"")</f>
        <v/>
      </c>
      <c r="M35" s="19" t="str">
        <f>IFERROR(
  INDEX(球员数据库!M:M,
    SMALL(球员数据库!$O:$O, ROWS($A$10:M35))
  ),
"")</f>
        <v/>
      </c>
      <c r="N35" s="19" t="str">
        <f>IFERROR(
  INDEX(球员数据库!N:N,
    SMALL(球员数据库!$O:$O, ROWS($A$10:M35))
  ),
"")</f>
        <v/>
      </c>
      <c r="O35" s="9"/>
      <c r="X35" s="10" t="s">
        <v>737</v>
      </c>
    </row>
    <row r="36" spans="1:24" ht="14" customHeight="1" x14ac:dyDescent="0.3">
      <c r="A36" s="16" t="str">
        <f t="array" ref="A36">IFERROR(
  INDEX(球员数据库!A:A,
    SMALL(球员数据库!$O:$O, ROWS($A$10:A36))
  ),
"")</f>
        <v/>
      </c>
      <c r="B36" s="19" t="str">
        <f t="array" ref="B36">IFERROR(
  INDEX(球员数据库!B:B,
    SMALL(球员数据库!$O:$O, ROWS($A$10:A36))
  ),
"")</f>
        <v/>
      </c>
      <c r="C36" s="19" t="str">
        <f t="array" ref="C36">IFERROR(
  INDEX(球员数据库!C:C,
    SMALL(球员数据库!$O:$O, ROWS($A$10:A36))
  ),
"")</f>
        <v/>
      </c>
      <c r="D36" s="19" t="str">
        <f t="array" ref="D36">IFERROR(
  INDEX(球员数据库!E:E,
    SMALL(球员数据库!$O:$O, ROWS($A$10:A36))
  ),
"")</f>
        <v/>
      </c>
      <c r="E36" s="20" t="str">
        <f t="array" ref="E36">IFERROR(
  INDEX(球员数据库!D:D,
    SMALL(球员数据库!$O:$O, ROWS($A$10:A36))
  ),
"")</f>
        <v/>
      </c>
      <c r="F36" s="19" t="str">
        <f t="array" ref="F36">IFERROR(
  INDEX(球员数据库!F:F,
    SMALL(球员数据库!$O:$O, ROWS($A$10:A36))
  ),
"")</f>
        <v/>
      </c>
      <c r="G36" s="19" t="str">
        <f t="array" ref="G36">IFERROR(
  INDEX(球员数据库!G:G,
    SMALL(球员数据库!$O:$O, ROWS($A$10:A36))
  ),
"")</f>
        <v/>
      </c>
      <c r="H36" s="19" t="str">
        <f>IFERROR(
  INDEX(球员数据库!H:H,
    SMALL(球员数据库!$O:$O, ROWS($A$10:H36))
  ),
"")</f>
        <v/>
      </c>
      <c r="I36" s="19" t="str">
        <f>IFERROR(
  INDEX(球员数据库!I:I,
    SMALL(球员数据库!$O:$O, ROWS($A$10:H36))
  ),
"")</f>
        <v/>
      </c>
      <c r="J36" s="19" t="str">
        <f>IFERROR(
  INDEX(球员数据库!J:J,
    SMALL(球员数据库!$O:$O, ROWS($A$10:J36))
  ),
"")</f>
        <v/>
      </c>
      <c r="K36" s="19" t="str">
        <f>IFERROR(
  INDEX(球员数据库!K:K,
    SMALL(球员数据库!$O:$O, ROWS($A$10:J36))
  ),
"")</f>
        <v/>
      </c>
      <c r="L36" s="19" t="str">
        <f>IFERROR(
  INDEX(球员数据库!L:L,
    SMALL(球员数据库!$O:$O, ROWS($A$10:J36))
  ),
"")</f>
        <v/>
      </c>
      <c r="M36" s="19" t="str">
        <f>IFERROR(
  INDEX(球员数据库!M:M,
    SMALL(球员数据库!$O:$O, ROWS($A$10:M36))
  ),
"")</f>
        <v/>
      </c>
      <c r="N36" s="19" t="str">
        <f>IFERROR(
  INDEX(球员数据库!N:N,
    SMALL(球员数据库!$O:$O, ROWS($A$10:M36))
  ),
"")</f>
        <v/>
      </c>
      <c r="O36" s="9"/>
      <c r="X36" s="11" t="s">
        <v>1104</v>
      </c>
    </row>
    <row r="37" spans="1:24" ht="14" customHeight="1" x14ac:dyDescent="0.3">
      <c r="A37" s="16" t="str">
        <f t="array" ref="A37">IFERROR(
  INDEX(球员数据库!A:A,
    SMALL(球员数据库!$O:$O, ROWS($A$10:A37))
  ),
"")</f>
        <v/>
      </c>
      <c r="B37" s="19" t="str">
        <f t="array" ref="B37">IFERROR(
  INDEX(球员数据库!B:B,
    SMALL(球员数据库!$O:$O, ROWS($A$10:A37))
  ),
"")</f>
        <v/>
      </c>
      <c r="C37" s="19" t="str">
        <f t="array" ref="C37">IFERROR(
  INDEX(球员数据库!C:C,
    SMALL(球员数据库!$O:$O, ROWS($A$10:A37))
  ),
"")</f>
        <v/>
      </c>
      <c r="D37" s="19" t="str">
        <f t="array" ref="D37">IFERROR(
  INDEX(球员数据库!E:E,
    SMALL(球员数据库!$O:$O, ROWS($A$10:A37))
  ),
"")</f>
        <v/>
      </c>
      <c r="E37" s="20" t="str">
        <f t="array" ref="E37">IFERROR(
  INDEX(球员数据库!D:D,
    SMALL(球员数据库!$O:$O, ROWS($A$10:A37))
  ),
"")</f>
        <v/>
      </c>
      <c r="F37" s="19" t="str">
        <f t="array" ref="F37">IFERROR(
  INDEX(球员数据库!F:F,
    SMALL(球员数据库!$O:$O, ROWS($A$10:A37))
  ),
"")</f>
        <v/>
      </c>
      <c r="G37" s="19" t="str">
        <f t="array" ref="G37">IFERROR(
  INDEX(球员数据库!G:G,
    SMALL(球员数据库!$O:$O, ROWS($A$10:A37))
  ),
"")</f>
        <v/>
      </c>
      <c r="H37" s="19" t="str">
        <f>IFERROR(
  INDEX(球员数据库!H:H,
    SMALL(球员数据库!$O:$O, ROWS($A$10:H37))
  ),
"")</f>
        <v/>
      </c>
      <c r="I37" s="19" t="str">
        <f>IFERROR(
  INDEX(球员数据库!I:I,
    SMALL(球员数据库!$O:$O, ROWS($A$10:H37))
  ),
"")</f>
        <v/>
      </c>
      <c r="J37" s="19" t="str">
        <f>IFERROR(
  INDEX(球员数据库!J:J,
    SMALL(球员数据库!$O:$O, ROWS($A$10:J37))
  ),
"")</f>
        <v/>
      </c>
      <c r="K37" s="19" t="str">
        <f>IFERROR(
  INDEX(球员数据库!K:K,
    SMALL(球员数据库!$O:$O, ROWS($A$10:J37))
  ),
"")</f>
        <v/>
      </c>
      <c r="L37" s="19" t="str">
        <f>IFERROR(
  INDEX(球员数据库!L:L,
    SMALL(球员数据库!$O:$O, ROWS($A$10:J37))
  ),
"")</f>
        <v/>
      </c>
      <c r="M37" s="19" t="str">
        <f>IFERROR(
  INDEX(球员数据库!M:M,
    SMALL(球员数据库!$O:$O, ROWS($A$10:M37))
  ),
"")</f>
        <v/>
      </c>
      <c r="N37" s="19" t="str">
        <f>IFERROR(
  INDEX(球员数据库!N:N,
    SMALL(球员数据库!$O:$O, ROWS($A$10:M37))
  ),
"")</f>
        <v/>
      </c>
      <c r="O37" s="9"/>
      <c r="X37" s="10" t="s">
        <v>572</v>
      </c>
    </row>
    <row r="38" spans="1:24" ht="14" customHeight="1" x14ac:dyDescent="0.3">
      <c r="A38" s="16" t="str">
        <f t="array" ref="A38">IFERROR(
  INDEX(球员数据库!A:A,
    SMALL(球员数据库!$O:$O, ROWS($A$10:A38))
  ),
"")</f>
        <v/>
      </c>
      <c r="B38" s="19" t="str">
        <f t="array" ref="B38">IFERROR(
  INDEX(球员数据库!B:B,
    SMALL(球员数据库!$O:$O, ROWS($A$10:A38))
  ),
"")</f>
        <v/>
      </c>
      <c r="C38" s="19" t="str">
        <f t="array" ref="C38">IFERROR(
  INDEX(球员数据库!C:C,
    SMALL(球员数据库!$O:$O, ROWS($A$10:A38))
  ),
"")</f>
        <v/>
      </c>
      <c r="D38" s="19" t="str">
        <f t="array" ref="D38">IFERROR(
  INDEX(球员数据库!E:E,
    SMALL(球员数据库!$O:$O, ROWS($A$10:A38))
  ),
"")</f>
        <v/>
      </c>
      <c r="E38" s="20" t="str">
        <f t="array" ref="E38">IFERROR(
  INDEX(球员数据库!D:D,
    SMALL(球员数据库!$O:$O, ROWS($A$10:A38))
  ),
"")</f>
        <v/>
      </c>
      <c r="F38" s="19" t="str">
        <f t="array" ref="F38">IFERROR(
  INDEX(球员数据库!F:F,
    SMALL(球员数据库!$O:$O, ROWS($A$10:A38))
  ),
"")</f>
        <v/>
      </c>
      <c r="G38" s="19" t="str">
        <f t="array" ref="G38">IFERROR(
  INDEX(球员数据库!G:G,
    SMALL(球员数据库!$O:$O, ROWS($A$10:A38))
  ),
"")</f>
        <v/>
      </c>
      <c r="H38" s="19" t="str">
        <f>IFERROR(
  INDEX(球员数据库!H:H,
    SMALL(球员数据库!$O:$O, ROWS($A$10:H38))
  ),
"")</f>
        <v/>
      </c>
      <c r="I38" s="19" t="str">
        <f>IFERROR(
  INDEX(球员数据库!I:I,
    SMALL(球员数据库!$O:$O, ROWS($A$10:H38))
  ),
"")</f>
        <v/>
      </c>
      <c r="J38" s="19" t="str">
        <f>IFERROR(
  INDEX(球员数据库!J:J,
    SMALL(球员数据库!$O:$O, ROWS($A$10:J38))
  ),
"")</f>
        <v/>
      </c>
      <c r="K38" s="19" t="str">
        <f>IFERROR(
  INDEX(球员数据库!K:K,
    SMALL(球员数据库!$O:$O, ROWS($A$10:J38))
  ),
"")</f>
        <v/>
      </c>
      <c r="L38" s="19" t="str">
        <f>IFERROR(
  INDEX(球员数据库!L:L,
    SMALL(球员数据库!$O:$O, ROWS($A$10:J38))
  ),
"")</f>
        <v/>
      </c>
      <c r="M38" s="19" t="str">
        <f>IFERROR(
  INDEX(球员数据库!M:M,
    SMALL(球员数据库!$O:$O, ROWS($A$10:M38))
  ),
"")</f>
        <v/>
      </c>
      <c r="N38" s="19" t="str">
        <f>IFERROR(
  INDEX(球员数据库!N:N,
    SMALL(球员数据库!$O:$O, ROWS($A$10:M38))
  ),
"")</f>
        <v/>
      </c>
      <c r="O38" s="9"/>
      <c r="X38" s="11" t="s">
        <v>1687</v>
      </c>
    </row>
    <row r="39" spans="1:24" ht="14" customHeight="1" x14ac:dyDescent="0.3">
      <c r="A39" s="16" t="str">
        <f t="array" ref="A39">IFERROR(
  INDEX(球员数据库!A:A,
    SMALL(球员数据库!$O:$O, ROWS($A$10:A39))
  ),
"")</f>
        <v/>
      </c>
      <c r="B39" s="19" t="str">
        <f t="array" ref="B39">IFERROR(
  INDEX(球员数据库!B:B,
    SMALL(球员数据库!$O:$O, ROWS($A$10:A39))
  ),
"")</f>
        <v/>
      </c>
      <c r="C39" s="19" t="str">
        <f t="array" ref="C39">IFERROR(
  INDEX(球员数据库!C:C,
    SMALL(球员数据库!$O:$O, ROWS($A$10:A39))
  ),
"")</f>
        <v/>
      </c>
      <c r="D39" s="19" t="str">
        <f t="array" ref="D39">IFERROR(
  INDEX(球员数据库!E:E,
    SMALL(球员数据库!$O:$O, ROWS($A$10:A39))
  ),
"")</f>
        <v/>
      </c>
      <c r="E39" s="20" t="str">
        <f t="array" ref="E39">IFERROR(
  INDEX(球员数据库!D:D,
    SMALL(球员数据库!$O:$O, ROWS($A$10:A39))
  ),
"")</f>
        <v/>
      </c>
      <c r="F39" s="19" t="str">
        <f t="array" ref="F39">IFERROR(
  INDEX(球员数据库!F:F,
    SMALL(球员数据库!$O:$O, ROWS($A$10:A39))
  ),
"")</f>
        <v/>
      </c>
      <c r="G39" s="19" t="str">
        <f t="array" ref="G39">IFERROR(
  INDEX(球员数据库!G:G,
    SMALL(球员数据库!$O:$O, ROWS($A$10:A39))
  ),
"")</f>
        <v/>
      </c>
      <c r="H39" s="19" t="str">
        <f>IFERROR(
  INDEX(球员数据库!H:H,
    SMALL(球员数据库!$O:$O, ROWS($A$10:H39))
  ),
"")</f>
        <v/>
      </c>
      <c r="I39" s="19" t="str">
        <f>IFERROR(
  INDEX(球员数据库!I:I,
    SMALL(球员数据库!$O:$O, ROWS($A$10:H39))
  ),
"")</f>
        <v/>
      </c>
      <c r="J39" s="19" t="str">
        <f>IFERROR(
  INDEX(球员数据库!J:J,
    SMALL(球员数据库!$O:$O, ROWS($A$10:J39))
  ),
"")</f>
        <v/>
      </c>
      <c r="K39" s="19" t="str">
        <f>IFERROR(
  INDEX(球员数据库!K:K,
    SMALL(球员数据库!$O:$O, ROWS($A$10:J39))
  ),
"")</f>
        <v/>
      </c>
      <c r="L39" s="19" t="str">
        <f>IFERROR(
  INDEX(球员数据库!L:L,
    SMALL(球员数据库!$O:$O, ROWS($A$10:J39))
  ),
"")</f>
        <v/>
      </c>
      <c r="M39" s="19" t="str">
        <f>IFERROR(
  INDEX(球员数据库!M:M,
    SMALL(球员数据库!$O:$O, ROWS($A$10:M39))
  ),
"")</f>
        <v/>
      </c>
      <c r="N39" s="19" t="str">
        <f>IFERROR(
  INDEX(球员数据库!N:N,
    SMALL(球员数据库!$O:$O, ROWS($A$10:M39))
  ),
"")</f>
        <v/>
      </c>
      <c r="O39" s="9"/>
      <c r="X39" s="10" t="s">
        <v>561</v>
      </c>
    </row>
    <row r="40" spans="1:24" ht="14" customHeight="1" x14ac:dyDescent="0.3">
      <c r="A40" s="16" t="str">
        <f t="array" ref="A40">IFERROR(
  INDEX(球员数据库!A:A,
    SMALL(球员数据库!$O:$O, ROWS($A$10:A40))
  ),
"")</f>
        <v/>
      </c>
      <c r="B40" s="19" t="str">
        <f t="array" ref="B40">IFERROR(
  INDEX(球员数据库!B:B,
    SMALL(球员数据库!$O:$O, ROWS($A$10:A40))
  ),
"")</f>
        <v/>
      </c>
      <c r="C40" s="19" t="str">
        <f t="array" ref="C40">IFERROR(
  INDEX(球员数据库!C:C,
    SMALL(球员数据库!$O:$O, ROWS($A$10:A40))
  ),
"")</f>
        <v/>
      </c>
      <c r="D40" s="19" t="str">
        <f t="array" ref="D40">IFERROR(
  INDEX(球员数据库!E:E,
    SMALL(球员数据库!$O:$O, ROWS($A$10:A40))
  ),
"")</f>
        <v/>
      </c>
      <c r="E40" s="20" t="str">
        <f t="array" ref="E40">IFERROR(
  INDEX(球员数据库!D:D,
    SMALL(球员数据库!$O:$O, ROWS($A$10:A40))
  ),
"")</f>
        <v/>
      </c>
      <c r="F40" s="19" t="str">
        <f t="array" ref="F40">IFERROR(
  INDEX(球员数据库!F:F,
    SMALL(球员数据库!$O:$O, ROWS($A$10:A40))
  ),
"")</f>
        <v/>
      </c>
      <c r="G40" s="19" t="str">
        <f t="array" ref="G40">IFERROR(
  INDEX(球员数据库!G:G,
    SMALL(球员数据库!$O:$O, ROWS($A$10:A40))
  ),
"")</f>
        <v/>
      </c>
      <c r="H40" s="19" t="str">
        <f>IFERROR(
  INDEX(球员数据库!H:H,
    SMALL(球员数据库!$O:$O, ROWS($A$10:H40))
  ),
"")</f>
        <v/>
      </c>
      <c r="I40" s="19" t="str">
        <f>IFERROR(
  INDEX(球员数据库!I:I,
    SMALL(球员数据库!$O:$O, ROWS($A$10:H40))
  ),
"")</f>
        <v/>
      </c>
      <c r="J40" s="19" t="str">
        <f>IFERROR(
  INDEX(球员数据库!J:J,
    SMALL(球员数据库!$O:$O, ROWS($A$10:J40))
  ),
"")</f>
        <v/>
      </c>
      <c r="K40" s="19" t="str">
        <f>IFERROR(
  INDEX(球员数据库!K:K,
    SMALL(球员数据库!$O:$O, ROWS($A$10:J40))
  ),
"")</f>
        <v/>
      </c>
      <c r="L40" s="19" t="str">
        <f>IFERROR(
  INDEX(球员数据库!L:L,
    SMALL(球员数据库!$O:$O, ROWS($A$10:J40))
  ),
"")</f>
        <v/>
      </c>
      <c r="M40" s="19" t="str">
        <f>IFERROR(
  INDEX(球员数据库!M:M,
    SMALL(球员数据库!$O:$O, ROWS($A$10:M40))
  ),
"")</f>
        <v/>
      </c>
      <c r="N40" s="19" t="str">
        <f>IFERROR(
  INDEX(球员数据库!N:N,
    SMALL(球员数据库!$O:$O, ROWS($A$10:M40))
  ),
"")</f>
        <v/>
      </c>
      <c r="X40" s="11" t="s">
        <v>1156</v>
      </c>
    </row>
    <row r="41" spans="1:24" ht="14" customHeight="1" x14ac:dyDescent="0.3">
      <c r="A41" s="16" t="str">
        <f t="array" ref="A41">IFERROR(
  INDEX(球员数据库!A:A,
    SMALL(球员数据库!$O:$O, ROWS($A$10:A41))
  ),
"")</f>
        <v/>
      </c>
      <c r="B41" s="19" t="str">
        <f t="array" ref="B41">IFERROR(
  INDEX(球员数据库!B:B,
    SMALL(球员数据库!$O:$O, ROWS($A$10:A41))
  ),
"")</f>
        <v/>
      </c>
      <c r="C41" s="19" t="str">
        <f t="array" ref="C41">IFERROR(
  INDEX(球员数据库!C:C,
    SMALL(球员数据库!$O:$O, ROWS($A$10:A41))
  ),
"")</f>
        <v/>
      </c>
      <c r="D41" s="19" t="str">
        <f t="array" ref="D41">IFERROR(
  INDEX(球员数据库!E:E,
    SMALL(球员数据库!$O:$O, ROWS($A$10:A41))
  ),
"")</f>
        <v/>
      </c>
      <c r="E41" s="20" t="str">
        <f t="array" ref="E41">IFERROR(
  INDEX(球员数据库!D:D,
    SMALL(球员数据库!$O:$O, ROWS($A$10:A41))
  ),
"")</f>
        <v/>
      </c>
      <c r="F41" s="19" t="str">
        <f t="array" ref="F41">IFERROR(
  INDEX(球员数据库!F:F,
    SMALL(球员数据库!$O:$O, ROWS($A$10:A41))
  ),
"")</f>
        <v/>
      </c>
      <c r="G41" s="19" t="str">
        <f t="array" ref="G41">IFERROR(
  INDEX(球员数据库!G:G,
    SMALL(球员数据库!$O:$O, ROWS($A$10:A41))
  ),
"")</f>
        <v/>
      </c>
      <c r="H41" s="19" t="str">
        <f>IFERROR(
  INDEX(球员数据库!H:H,
    SMALL(球员数据库!$O:$O, ROWS($A$10:H41))
  ),
"")</f>
        <v/>
      </c>
      <c r="I41" s="19" t="str">
        <f>IFERROR(
  INDEX(球员数据库!I:I,
    SMALL(球员数据库!$O:$O, ROWS($A$10:H41))
  ),
"")</f>
        <v/>
      </c>
      <c r="J41" s="19" t="str">
        <f>IFERROR(
  INDEX(球员数据库!J:J,
    SMALL(球员数据库!$O:$O, ROWS($A$10:J41))
  ),
"")</f>
        <v/>
      </c>
      <c r="K41" s="19" t="str">
        <f>IFERROR(
  INDEX(球员数据库!K:K,
    SMALL(球员数据库!$O:$O, ROWS($A$10:J41))
  ),
"")</f>
        <v/>
      </c>
      <c r="L41" s="19" t="str">
        <f>IFERROR(
  INDEX(球员数据库!L:L,
    SMALL(球员数据库!$O:$O, ROWS($A$10:J41))
  ),
"")</f>
        <v/>
      </c>
      <c r="M41" s="19" t="str">
        <f>IFERROR(
  INDEX(球员数据库!M:M,
    SMALL(球员数据库!$O:$O, ROWS($A$10:M41))
  ),
"")</f>
        <v/>
      </c>
      <c r="N41" s="19" t="str">
        <f>IFERROR(
  INDEX(球员数据库!N:N,
    SMALL(球员数据库!$O:$O, ROWS($A$10:M41))
  ),
"")</f>
        <v/>
      </c>
      <c r="X41" s="10" t="s">
        <v>225</v>
      </c>
    </row>
    <row r="42" spans="1:24" ht="14" customHeight="1" x14ac:dyDescent="0.3">
      <c r="A42" s="16" t="str">
        <f t="array" ref="A42">IFERROR(
  INDEX(球员数据库!A:A,
    SMALL(球员数据库!$O:$O, ROWS($A$10:A42))
  ),
"")</f>
        <v/>
      </c>
      <c r="B42" s="19" t="str">
        <f t="array" ref="B42">IFERROR(
  INDEX(球员数据库!B:B,
    SMALL(球员数据库!$O:$O, ROWS($A$10:A42))
  ),
"")</f>
        <v/>
      </c>
      <c r="C42" s="19" t="str">
        <f t="array" ref="C42">IFERROR(
  INDEX(球员数据库!C:C,
    SMALL(球员数据库!$O:$O, ROWS($A$10:A42))
  ),
"")</f>
        <v/>
      </c>
      <c r="D42" s="19" t="str">
        <f t="array" ref="D42">IFERROR(
  INDEX(球员数据库!E:E,
    SMALL(球员数据库!$O:$O, ROWS($A$10:A42))
  ),
"")</f>
        <v/>
      </c>
      <c r="E42" s="20" t="str">
        <f t="array" ref="E42">IFERROR(
  INDEX(球员数据库!D:D,
    SMALL(球员数据库!$O:$O, ROWS($A$10:A42))
  ),
"")</f>
        <v/>
      </c>
      <c r="F42" s="19" t="str">
        <f t="array" ref="F42">IFERROR(
  INDEX(球员数据库!F:F,
    SMALL(球员数据库!$O:$O, ROWS($A$10:A42))
  ),
"")</f>
        <v/>
      </c>
      <c r="G42" s="19" t="str">
        <f t="array" ref="G42">IFERROR(
  INDEX(球员数据库!G:G,
    SMALL(球员数据库!$O:$O, ROWS($A$10:A42))
  ),
"")</f>
        <v/>
      </c>
      <c r="H42" s="19" t="str">
        <f>IFERROR(
  INDEX(球员数据库!H:H,
    SMALL(球员数据库!$O:$O, ROWS($A$10:H42))
  ),
"")</f>
        <v/>
      </c>
      <c r="I42" s="19" t="str">
        <f>IFERROR(
  INDEX(球员数据库!I:I,
    SMALL(球员数据库!$O:$O, ROWS($A$10:H42))
  ),
"")</f>
        <v/>
      </c>
      <c r="J42" s="19" t="str">
        <f>IFERROR(
  INDEX(球员数据库!J:J,
    SMALL(球员数据库!$O:$O, ROWS($A$10:J42))
  ),
"")</f>
        <v/>
      </c>
      <c r="K42" s="19" t="str">
        <f>IFERROR(
  INDEX(球员数据库!K:K,
    SMALL(球员数据库!$O:$O, ROWS($A$10:J42))
  ),
"")</f>
        <v/>
      </c>
      <c r="L42" s="19" t="str">
        <f>IFERROR(
  INDEX(球员数据库!L:L,
    SMALL(球员数据库!$O:$O, ROWS($A$10:J42))
  ),
"")</f>
        <v/>
      </c>
      <c r="M42" s="19" t="str">
        <f>IFERROR(
  INDEX(球员数据库!M:M,
    SMALL(球员数据库!$O:$O, ROWS($A$10:M42))
  ),
"")</f>
        <v/>
      </c>
      <c r="N42" s="19" t="str">
        <f>IFERROR(
  INDEX(球员数据库!N:N,
    SMALL(球员数据库!$O:$O, ROWS($A$10:M42))
  ),
"")</f>
        <v/>
      </c>
      <c r="X42" s="11" t="s">
        <v>1291</v>
      </c>
    </row>
    <row r="43" spans="1:24" ht="14" customHeight="1" x14ac:dyDescent="0.3">
      <c r="A43" s="16" t="str">
        <f t="array" ref="A43">IFERROR(
  INDEX(球员数据库!A:A,
    SMALL(球员数据库!$O:$O, ROWS($A$10:A43))
  ),
"")</f>
        <v/>
      </c>
      <c r="B43" s="19" t="str">
        <f t="array" ref="B43">IFERROR(
  INDEX(球员数据库!B:B,
    SMALL(球员数据库!$O:$O, ROWS($A$10:A43))
  ),
"")</f>
        <v/>
      </c>
      <c r="C43" s="19" t="str">
        <f t="array" ref="C43">IFERROR(
  INDEX(球员数据库!C:C,
    SMALL(球员数据库!$O:$O, ROWS($A$10:A43))
  ),
"")</f>
        <v/>
      </c>
      <c r="D43" s="19" t="str">
        <f t="array" ref="D43">IFERROR(
  INDEX(球员数据库!E:E,
    SMALL(球员数据库!$O:$O, ROWS($A$10:A43))
  ),
"")</f>
        <v/>
      </c>
      <c r="E43" s="20" t="str">
        <f t="array" ref="E43">IFERROR(
  INDEX(球员数据库!D:D,
    SMALL(球员数据库!$O:$O, ROWS($A$10:A43))
  ),
"")</f>
        <v/>
      </c>
      <c r="F43" s="19" t="str">
        <f t="array" ref="F43">IFERROR(
  INDEX(球员数据库!F:F,
    SMALL(球员数据库!$O:$O, ROWS($A$10:A43))
  ),
"")</f>
        <v/>
      </c>
      <c r="G43" s="19" t="str">
        <f t="array" ref="G43">IFERROR(
  INDEX(球员数据库!G:G,
    SMALL(球员数据库!$O:$O, ROWS($A$10:A43))
  ),
"")</f>
        <v/>
      </c>
      <c r="H43" s="19" t="str">
        <f>IFERROR(
  INDEX(球员数据库!H:H,
    SMALL(球员数据库!$O:$O, ROWS($A$10:H43))
  ),
"")</f>
        <v/>
      </c>
      <c r="I43" s="19" t="str">
        <f>IFERROR(
  INDEX(球员数据库!I:I,
    SMALL(球员数据库!$O:$O, ROWS($A$10:H43))
  ),
"")</f>
        <v/>
      </c>
      <c r="J43" s="19" t="str">
        <f>IFERROR(
  INDEX(球员数据库!J:J,
    SMALL(球员数据库!$O:$O, ROWS($A$10:J43))
  ),
"")</f>
        <v/>
      </c>
      <c r="K43" s="19" t="str">
        <f>IFERROR(
  INDEX(球员数据库!K:K,
    SMALL(球员数据库!$O:$O, ROWS($A$10:J43))
  ),
"")</f>
        <v/>
      </c>
      <c r="L43" s="19" t="str">
        <f>IFERROR(
  INDEX(球员数据库!L:L,
    SMALL(球员数据库!$O:$O, ROWS($A$10:J43))
  ),
"")</f>
        <v/>
      </c>
      <c r="M43" s="19" t="str">
        <f>IFERROR(
  INDEX(球员数据库!M:M,
    SMALL(球员数据库!$O:$O, ROWS($A$10:M43))
  ),
"")</f>
        <v/>
      </c>
      <c r="N43" s="19" t="str">
        <f>IFERROR(
  INDEX(球员数据库!N:N,
    SMALL(球员数据库!$O:$O, ROWS($A$10:M43))
  ),
"")</f>
        <v/>
      </c>
      <c r="X43" s="10" t="s">
        <v>1444</v>
      </c>
    </row>
    <row r="44" spans="1:24" ht="14" customHeight="1" x14ac:dyDescent="0.3">
      <c r="E44" s="13"/>
      <c r="X44" s="11" t="s">
        <v>257</v>
      </c>
    </row>
    <row r="45" spans="1:24" ht="14" customHeight="1" x14ac:dyDescent="0.3">
      <c r="E45" s="13"/>
    </row>
    <row r="46" spans="1:24" ht="14" customHeight="1" x14ac:dyDescent="0.3">
      <c r="E46" s="13"/>
    </row>
    <row r="47" spans="1:24" ht="14" customHeight="1" x14ac:dyDescent="0.3">
      <c r="E47" s="13"/>
    </row>
    <row r="48" spans="1:24" ht="14" customHeight="1" x14ac:dyDescent="0.3">
      <c r="E48" s="13"/>
    </row>
    <row r="49" spans="5:5" ht="14" customHeight="1" x14ac:dyDescent="0.3">
      <c r="E49" s="13"/>
    </row>
    <row r="50" spans="5:5" ht="14" customHeight="1" x14ac:dyDescent="0.3">
      <c r="E50" s="13"/>
    </row>
    <row r="51" spans="5:5" ht="14" customHeight="1" x14ac:dyDescent="0.3">
      <c r="E51" s="13"/>
    </row>
    <row r="52" spans="5:5" ht="14" customHeight="1" x14ac:dyDescent="0.3">
      <c r="E52" s="13"/>
    </row>
    <row r="53" spans="5:5" ht="14" customHeight="1" x14ac:dyDescent="0.3">
      <c r="E53" s="13"/>
    </row>
    <row r="54" spans="5:5" ht="14" customHeight="1" x14ac:dyDescent="0.3">
      <c r="E54" s="13"/>
    </row>
    <row r="55" spans="5:5" ht="14" customHeight="1" x14ac:dyDescent="0.3">
      <c r="E55" s="13"/>
    </row>
    <row r="56" spans="5:5" ht="14" customHeight="1" x14ac:dyDescent="0.3">
      <c r="E56" s="13"/>
    </row>
    <row r="57" spans="5:5" ht="14" customHeight="1" x14ac:dyDescent="0.3">
      <c r="E57" s="13"/>
    </row>
    <row r="58" spans="5:5" ht="14" customHeight="1" x14ac:dyDescent="0.3">
      <c r="E58" s="13"/>
    </row>
    <row r="59" spans="5:5" ht="14" customHeight="1" x14ac:dyDescent="0.3">
      <c r="E59" s="13"/>
    </row>
    <row r="60" spans="5:5" ht="14" customHeight="1" x14ac:dyDescent="0.3">
      <c r="E60" s="13"/>
    </row>
    <row r="61" spans="5:5" ht="14" customHeight="1" x14ac:dyDescent="0.3">
      <c r="E61" s="13"/>
    </row>
    <row r="62" spans="5:5" ht="14" customHeight="1" x14ac:dyDescent="0.3">
      <c r="E62" s="13"/>
    </row>
    <row r="63" spans="5:5" ht="14" customHeight="1" x14ac:dyDescent="0.3">
      <c r="E63" s="13"/>
    </row>
    <row r="64" spans="5:5" ht="14" customHeight="1" x14ac:dyDescent="0.3">
      <c r="E64" s="13"/>
    </row>
    <row r="65" spans="5:5" ht="14" customHeight="1" x14ac:dyDescent="0.3">
      <c r="E65" s="13"/>
    </row>
    <row r="66" spans="5:5" ht="14" customHeight="1" x14ac:dyDescent="0.3">
      <c r="E66" s="13"/>
    </row>
    <row r="67" spans="5:5" ht="14" customHeight="1" x14ac:dyDescent="0.3">
      <c r="E67" s="13"/>
    </row>
    <row r="68" spans="5:5" ht="14" customHeight="1" x14ac:dyDescent="0.3">
      <c r="E68" s="13"/>
    </row>
    <row r="69" spans="5:5" ht="14" customHeight="1" x14ac:dyDescent="0.3">
      <c r="E69" s="13"/>
    </row>
    <row r="70" spans="5:5" ht="14" customHeight="1" x14ac:dyDescent="0.3">
      <c r="E70" s="13"/>
    </row>
    <row r="71" spans="5:5" ht="14" customHeight="1" x14ac:dyDescent="0.3">
      <c r="E71" s="13"/>
    </row>
    <row r="72" spans="5:5" ht="14" customHeight="1" x14ac:dyDescent="0.3">
      <c r="E72" s="13"/>
    </row>
    <row r="73" spans="5:5" ht="14" customHeight="1" x14ac:dyDescent="0.3">
      <c r="E73" s="13"/>
    </row>
    <row r="74" spans="5:5" ht="14" customHeight="1" x14ac:dyDescent="0.3">
      <c r="E74" s="13"/>
    </row>
    <row r="75" spans="5:5" ht="14" customHeight="1" x14ac:dyDescent="0.3">
      <c r="E75" s="13"/>
    </row>
    <row r="76" spans="5:5" ht="14" customHeight="1" x14ac:dyDescent="0.3">
      <c r="E76" s="13"/>
    </row>
    <row r="77" spans="5:5" ht="14" customHeight="1" x14ac:dyDescent="0.3">
      <c r="E77" s="13"/>
    </row>
    <row r="78" spans="5:5" ht="14" customHeight="1" x14ac:dyDescent="0.3">
      <c r="E78" s="13"/>
    </row>
    <row r="79" spans="5:5" ht="14" customHeight="1" x14ac:dyDescent="0.3">
      <c r="E79" s="13"/>
    </row>
    <row r="80" spans="5:5" ht="14" customHeight="1" x14ac:dyDescent="0.3">
      <c r="E80" s="13"/>
    </row>
    <row r="81" spans="5:5" ht="14" customHeight="1" x14ac:dyDescent="0.3">
      <c r="E81" s="13"/>
    </row>
    <row r="82" spans="5:5" ht="14" customHeight="1" x14ac:dyDescent="0.3">
      <c r="E82" s="13"/>
    </row>
    <row r="83" spans="5:5" ht="14" customHeight="1" x14ac:dyDescent="0.3">
      <c r="E83" s="13"/>
    </row>
    <row r="84" spans="5:5" ht="14" customHeight="1" x14ac:dyDescent="0.3">
      <c r="E84" s="13"/>
    </row>
    <row r="85" spans="5:5" ht="14" customHeight="1" x14ac:dyDescent="0.3">
      <c r="E85" s="13"/>
    </row>
    <row r="86" spans="5:5" ht="14" customHeight="1" x14ac:dyDescent="0.3">
      <c r="E86" s="13"/>
    </row>
    <row r="87" spans="5:5" ht="14" customHeight="1" x14ac:dyDescent="0.3">
      <c r="E87" s="13"/>
    </row>
    <row r="88" spans="5:5" ht="14" customHeight="1" x14ac:dyDescent="0.3">
      <c r="E88" s="13"/>
    </row>
    <row r="89" spans="5:5" ht="14" customHeight="1" x14ac:dyDescent="0.3">
      <c r="E89" s="13"/>
    </row>
    <row r="90" spans="5:5" ht="14" customHeight="1" x14ac:dyDescent="0.3">
      <c r="E90" s="13"/>
    </row>
    <row r="91" spans="5:5" ht="14" customHeight="1" x14ac:dyDescent="0.3">
      <c r="E91" s="13"/>
    </row>
    <row r="92" spans="5:5" ht="14" customHeight="1" x14ac:dyDescent="0.3">
      <c r="E92" s="13"/>
    </row>
    <row r="93" spans="5:5" ht="14" customHeight="1" x14ac:dyDescent="0.3">
      <c r="E93" s="13"/>
    </row>
    <row r="94" spans="5:5" ht="14" customHeight="1" x14ac:dyDescent="0.3">
      <c r="E94" s="13"/>
    </row>
    <row r="95" spans="5:5" ht="14" customHeight="1" x14ac:dyDescent="0.3">
      <c r="E95" s="13"/>
    </row>
    <row r="96" spans="5:5" ht="14" customHeight="1" x14ac:dyDescent="0.3">
      <c r="E96" s="13"/>
    </row>
    <row r="97" spans="5:5" ht="14" customHeight="1" x14ac:dyDescent="0.3">
      <c r="E97" s="13"/>
    </row>
    <row r="98" spans="5:5" ht="14" customHeight="1" x14ac:dyDescent="0.3">
      <c r="E98" s="13"/>
    </row>
    <row r="99" spans="5:5" ht="14" customHeight="1" x14ac:dyDescent="0.3">
      <c r="E99" s="13"/>
    </row>
    <row r="100" spans="5:5" ht="14" customHeight="1" x14ac:dyDescent="0.3">
      <c r="E100" s="13"/>
    </row>
    <row r="101" spans="5:5" ht="14" customHeight="1" x14ac:dyDescent="0.3">
      <c r="E101" s="13"/>
    </row>
    <row r="102" spans="5:5" ht="14" customHeight="1" x14ac:dyDescent="0.3">
      <c r="E102" s="13"/>
    </row>
    <row r="103" spans="5:5" ht="14" customHeight="1" x14ac:dyDescent="0.3">
      <c r="E103" s="13"/>
    </row>
    <row r="104" spans="5:5" ht="14" customHeight="1" x14ac:dyDescent="0.3">
      <c r="E104" s="13"/>
    </row>
    <row r="105" spans="5:5" ht="14" customHeight="1" x14ac:dyDescent="0.3">
      <c r="E105" s="13"/>
    </row>
    <row r="106" spans="5:5" ht="14" customHeight="1" x14ac:dyDescent="0.3">
      <c r="E106" s="13"/>
    </row>
    <row r="107" spans="5:5" ht="14" customHeight="1" x14ac:dyDescent="0.3">
      <c r="E107" s="13"/>
    </row>
    <row r="108" spans="5:5" ht="14" customHeight="1" x14ac:dyDescent="0.3">
      <c r="E108" s="13"/>
    </row>
    <row r="109" spans="5:5" ht="14" customHeight="1" x14ac:dyDescent="0.3">
      <c r="E109" s="13"/>
    </row>
    <row r="110" spans="5:5" ht="14" customHeight="1" x14ac:dyDescent="0.3">
      <c r="E110" s="13"/>
    </row>
    <row r="111" spans="5:5" ht="14" customHeight="1" x14ac:dyDescent="0.3">
      <c r="E111" s="13"/>
    </row>
    <row r="112" spans="5:5" ht="14" customHeight="1" x14ac:dyDescent="0.3">
      <c r="E112" s="13"/>
    </row>
    <row r="113" spans="5:5" ht="14" customHeight="1" x14ac:dyDescent="0.3">
      <c r="E113" s="13"/>
    </row>
    <row r="114" spans="5:5" ht="14" customHeight="1" x14ac:dyDescent="0.3">
      <c r="E114" s="13"/>
    </row>
    <row r="115" spans="5:5" ht="14" customHeight="1" x14ac:dyDescent="0.3">
      <c r="E115" s="13"/>
    </row>
    <row r="116" spans="5:5" ht="14" customHeight="1" x14ac:dyDescent="0.3">
      <c r="E116" s="13"/>
    </row>
    <row r="117" spans="5:5" ht="14" customHeight="1" x14ac:dyDescent="0.3">
      <c r="E117" s="13"/>
    </row>
    <row r="118" spans="5:5" ht="14" customHeight="1" x14ac:dyDescent="0.3">
      <c r="E118" s="13"/>
    </row>
    <row r="119" spans="5:5" ht="14" customHeight="1" x14ac:dyDescent="0.3">
      <c r="E119" s="13"/>
    </row>
    <row r="120" spans="5:5" ht="14" customHeight="1" x14ac:dyDescent="0.3">
      <c r="E120" s="13"/>
    </row>
    <row r="121" spans="5:5" ht="14" customHeight="1" x14ac:dyDescent="0.3">
      <c r="E121" s="13"/>
    </row>
    <row r="122" spans="5:5" ht="14" customHeight="1" x14ac:dyDescent="0.3">
      <c r="E122" s="13"/>
    </row>
    <row r="123" spans="5:5" ht="14" customHeight="1" x14ac:dyDescent="0.3">
      <c r="E123" s="13"/>
    </row>
    <row r="124" spans="5:5" ht="14" customHeight="1" x14ac:dyDescent="0.3">
      <c r="E124" s="13"/>
    </row>
    <row r="125" spans="5:5" ht="14" customHeight="1" x14ac:dyDescent="0.3">
      <c r="E125" s="13"/>
    </row>
    <row r="126" spans="5:5" ht="14" customHeight="1" x14ac:dyDescent="0.3">
      <c r="E126" s="13"/>
    </row>
    <row r="127" spans="5:5" ht="14" customHeight="1" x14ac:dyDescent="0.3">
      <c r="E127" s="13"/>
    </row>
    <row r="128" spans="5:5" ht="14" customHeight="1" x14ac:dyDescent="0.3">
      <c r="E128" s="13"/>
    </row>
    <row r="129" spans="5:5" ht="14" customHeight="1" x14ac:dyDescent="0.3">
      <c r="E129" s="13"/>
    </row>
    <row r="130" spans="5:5" ht="14" customHeight="1" x14ac:dyDescent="0.3">
      <c r="E130" s="13"/>
    </row>
    <row r="131" spans="5:5" ht="14" customHeight="1" x14ac:dyDescent="0.3">
      <c r="E131" s="13"/>
    </row>
    <row r="132" spans="5:5" ht="14" customHeight="1" x14ac:dyDescent="0.3">
      <c r="E132" s="13"/>
    </row>
    <row r="133" spans="5:5" ht="14" customHeight="1" x14ac:dyDescent="0.3">
      <c r="E133" s="13"/>
    </row>
    <row r="134" spans="5:5" ht="14" customHeight="1" x14ac:dyDescent="0.3">
      <c r="E134" s="13"/>
    </row>
    <row r="135" spans="5:5" ht="14" customHeight="1" x14ac:dyDescent="0.3">
      <c r="E135" s="13"/>
    </row>
    <row r="136" spans="5:5" ht="14" customHeight="1" x14ac:dyDescent="0.3">
      <c r="E136" s="13"/>
    </row>
    <row r="137" spans="5:5" ht="14" customHeight="1" x14ac:dyDescent="0.3">
      <c r="E137" s="13"/>
    </row>
    <row r="138" spans="5:5" ht="14" customHeight="1" x14ac:dyDescent="0.3">
      <c r="E138" s="13"/>
    </row>
    <row r="139" spans="5:5" ht="14" customHeight="1" x14ac:dyDescent="0.3">
      <c r="E139" s="13"/>
    </row>
    <row r="140" spans="5:5" ht="14" customHeight="1" x14ac:dyDescent="0.3">
      <c r="E140" s="13"/>
    </row>
    <row r="141" spans="5:5" ht="14" customHeight="1" x14ac:dyDescent="0.3">
      <c r="E141" s="13"/>
    </row>
    <row r="142" spans="5:5" ht="14" customHeight="1" x14ac:dyDescent="0.3">
      <c r="E142" s="13"/>
    </row>
    <row r="143" spans="5:5" ht="14" customHeight="1" x14ac:dyDescent="0.3">
      <c r="E143" s="13"/>
    </row>
    <row r="144" spans="5:5" ht="14" customHeight="1" x14ac:dyDescent="0.3">
      <c r="E144" s="13"/>
    </row>
    <row r="145" spans="5:5" ht="14" customHeight="1" x14ac:dyDescent="0.3">
      <c r="E145" s="13"/>
    </row>
    <row r="146" spans="5:5" ht="14" customHeight="1" x14ac:dyDescent="0.3">
      <c r="E146" s="13"/>
    </row>
    <row r="147" spans="5:5" ht="14" customHeight="1" x14ac:dyDescent="0.3">
      <c r="E147" s="13"/>
    </row>
    <row r="148" spans="5:5" ht="14" customHeight="1" x14ac:dyDescent="0.3">
      <c r="E148" s="13"/>
    </row>
    <row r="149" spans="5:5" ht="14" customHeight="1" x14ac:dyDescent="0.3">
      <c r="E149" s="13"/>
    </row>
    <row r="150" spans="5:5" ht="14" customHeight="1" x14ac:dyDescent="0.3">
      <c r="E150" s="13"/>
    </row>
    <row r="151" spans="5:5" ht="14" customHeight="1" x14ac:dyDescent="0.3">
      <c r="E151" s="13"/>
    </row>
    <row r="152" spans="5:5" ht="14" customHeight="1" x14ac:dyDescent="0.3">
      <c r="E152" s="13"/>
    </row>
    <row r="153" spans="5:5" ht="14" customHeight="1" x14ac:dyDescent="0.3">
      <c r="E153" s="13"/>
    </row>
    <row r="154" spans="5:5" ht="14" customHeight="1" x14ac:dyDescent="0.3">
      <c r="E154" s="13"/>
    </row>
    <row r="155" spans="5:5" ht="14" customHeight="1" x14ac:dyDescent="0.3">
      <c r="E155" s="13"/>
    </row>
    <row r="156" spans="5:5" ht="14" customHeight="1" x14ac:dyDescent="0.3">
      <c r="E156" s="13"/>
    </row>
    <row r="157" spans="5:5" ht="14" customHeight="1" x14ac:dyDescent="0.3">
      <c r="E157" s="13"/>
    </row>
    <row r="158" spans="5:5" ht="14" customHeight="1" x14ac:dyDescent="0.3">
      <c r="E158" s="13"/>
    </row>
    <row r="159" spans="5:5" ht="14" customHeight="1" x14ac:dyDescent="0.3">
      <c r="E159" s="13"/>
    </row>
    <row r="160" spans="5:5" ht="14" customHeight="1" x14ac:dyDescent="0.3">
      <c r="E160" s="13"/>
    </row>
    <row r="161" spans="5:5" ht="14" customHeight="1" x14ac:dyDescent="0.3">
      <c r="E161" s="13"/>
    </row>
    <row r="162" spans="5:5" ht="14" customHeight="1" x14ac:dyDescent="0.3">
      <c r="E162" s="13"/>
    </row>
    <row r="163" spans="5:5" ht="14" customHeight="1" x14ac:dyDescent="0.3">
      <c r="E163" s="13"/>
    </row>
    <row r="164" spans="5:5" ht="14" customHeight="1" x14ac:dyDescent="0.3">
      <c r="E164" s="13"/>
    </row>
    <row r="165" spans="5:5" ht="14" customHeight="1" x14ac:dyDescent="0.3">
      <c r="E165" s="13"/>
    </row>
    <row r="166" spans="5:5" ht="14" customHeight="1" x14ac:dyDescent="0.3">
      <c r="E166" s="13"/>
    </row>
    <row r="167" spans="5:5" ht="14" customHeight="1" x14ac:dyDescent="0.3">
      <c r="E167" s="13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A2C4E19-22C1-4F19-B101-83671F2A3435}">
          <x14:formula1>
            <xm:f>球队表格!$A$2:$A$45</xm:f>
          </x14:formula1>
          <xm:sqref>A2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3</vt:i4>
      </vt:variant>
      <vt:variant>
        <vt:lpstr>命名范围</vt:lpstr>
      </vt:variant>
      <vt:variant>
        <vt:i4>2</vt:i4>
      </vt:variant>
    </vt:vector>
  </HeadingPairs>
  <TitlesOfParts>
    <vt:vector size="5" baseType="lpstr">
      <vt:lpstr>球员数据库</vt:lpstr>
      <vt:lpstr>球队表格</vt:lpstr>
      <vt:lpstr>Sheet2</vt:lpstr>
      <vt:lpstr>tblclub</vt:lpstr>
      <vt:lpstr>tblplayer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Glushenkov Andriy</cp:lastModifiedBy>
  <dcterms:created xsi:type="dcterms:W3CDTF">2015-06-05T18:19:34Z</dcterms:created>
  <dcterms:modified xsi:type="dcterms:W3CDTF">2026-02-15T15:31:04Z</dcterms:modified>
</cp:coreProperties>
</file>