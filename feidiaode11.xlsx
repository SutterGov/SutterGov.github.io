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66B315D4-59C7-4431-AF78-A1D0DD029F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16" i="1" l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<sst xmlns="http://schemas.openxmlformats.org/spreadsheetml/2006/main" count="7701" uniqueCount="3416">
  <si>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</si>
  <si>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</si>
  <si>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</si>
  <si>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</si>
  <si>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</si>
  <si>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</si>
  <si>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</si>
  <si>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</si>
  <si>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</si>
  <si>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</si>
  <si>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</si>
  <si>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</si>
  <si>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</si>
  <si>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</si>
  <si>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</si>
  <si>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</si>
  <si>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</si>
  <si>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</si>
  <si>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</si>
  <si>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</si>
  <si>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</si>
  <si>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</si>
  <si>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</si>
  <si>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</si>
  <si>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</si>
  <si>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</si>
  <si>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</si>
  <si>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</si>
  <si>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</si>
  <si>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</si>
  <si>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</si>
  <si>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</si>
  <si>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</si>
  <si>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</si>
  <si>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</si>
  <si>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</si>
  <si>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</si>
  <si>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</si>
  <si>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</si>
  <si>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</si>
  <si>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</si>
  <si>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</si>
  <si>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</si>
  <si>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</si>
  <si>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</si>
  <si>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</si>
  <si>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</si>
  <si>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</si>
  <si>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</si>
  <si>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</si>
  <si>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</si>
  <si>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</si>
  <si>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</si>
  <si>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</si>
  <si>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</si>
  <si>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</si>
  <si>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</si>
  <si>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</si>
  <si>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</si>
  <si>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</si>
  <si>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</si>
  <si>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</si>
  <si>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</si>
  <si>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</si>
  <si>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</si>
  <si>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</si>
  <si>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</si>
  <si>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</si>
  <si>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</si>
  <si>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</si>
  <si>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</si>
  <si>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</si>
  <si>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</si>
  <si>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</si>
  <si>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</si>
  <si>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</si>
  <si>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</si>
  <si>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</si>
  <si>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</si>
  <si>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</si>
  <si>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</si>
  <si>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</si>
  <si>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</si>
  <si>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</si>
  <si>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</si>
  <si>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</si>
  <si>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</si>
  <si>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</si>
  <si>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</si>
  <si>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</si>
  <si>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</si>
  <si>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</si>
  <si>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</si>
  <si>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</si>
  <si>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</si>
  <si>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</si>
  <si>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</si>
  <si>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</si>
  <si>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</si>
  <si>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</si>
  <si>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</si>
  <si>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</si>
  <si>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</si>
  <si>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</si>
  <si>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</si>
  <si>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</si>
  <si>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</si>
  <si>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</si>
  <si>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</si>
  <si>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</si>
  <si>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</si>
  <si>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</si>
  <si>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</si>
  <si>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</si>
  <si>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</si>
  <si>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</si>
  <si>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</si>
  <si>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</si>
  <si>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</si>
  <si>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</si>
  <si>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</si>
  <si>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</si>
  <si>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</si>
  <si>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</si>
  <si>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</si>
  <si>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</si>
  <si>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</si>
  <si>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</si>
  <si>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</si>
  <si>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</si>
  <si>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</si>
  <si>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</si>
  <si>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</si>
  <si>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</si>
  <si>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</si>
  <si>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</si>
  <si>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</si>
  <si>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</si>
  <si>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</si>
  <si>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</si>
  <si>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</si>
  <si>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</si>
  <si>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</si>
  <si>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</si>
  <si>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</si>
  <si>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</si>
  <si>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</si>
  <si>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</si>
  <si>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</si>
  <si>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</si>
  <si>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</si>
  <si>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</si>
  <si>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</si>
  <si>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</si>
  <si>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</si>
  <si>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</si>
  <si>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</si>
  <si>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</si>
  <si>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</si>
  <si>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</si>
  <si>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</si>
  <si>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</si>
  <si>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</si>
  <si>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</si>
  <si>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</si>
  <si>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</si>
  <si>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</si>
  <si>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</si>
  <si>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</si>
  <si>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</si>
  <si>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</si>
  <si>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</si>
  <si>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</si>
  <si>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</si>
  <si>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</si>
  <si>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</si>
  <si>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</si>
  <si>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</si>
  <si>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</si>
  <si>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</si>
  <si>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</si>
  <si>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</si>
  <si>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</si>
  <si>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</si>
  <si>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</si>
  <si>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</si>
  <si>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</si>
  <si>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</si>
  <si>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</si>
  <si>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</si>
  <si>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</si>
  <si>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</si>
  <si>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</si>
  <si>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</si>
  <si>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</si>
  <si>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</si>
  <si>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</si>
  <si>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</si>
  <si>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</si>
  <si>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</si>
  <si>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</si>
  <si>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</si>
  <si>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</si>
  <si>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</si>
  <si>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</si>
  <si>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</si>
  <si>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</si>
  <si>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</si>
  <si>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</si>
  <si>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</si>
  <si>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</si>
  <si>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</si>
  <si>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</si>
  <si>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</si>
  <si>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</si>
  <si>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</si>
  <si>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</si>
  <si>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</si>
  <si>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</si>
  <si>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</si>
  <si>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</si>
  <si>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</si>
  <si>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</si>
  <si>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</si>
  <si>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</si>
  <si>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</si>
  <si>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</si>
  <si>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</si>
  <si>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</si>
  <si>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</si>
  <si>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</si>
  <si>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</si>
  <si>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</si>
  <si>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</si>
  <si>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</si>
  <si>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</si>
  <si>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</si>
  <si>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</si>
  <si>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</si>
  <si>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</si>
  <si>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</si>
  <si>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</si>
  <si>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</si>
  <si>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</si>
  <si>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</si>
  <si>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</si>
  <si>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</si>
  <si>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</si>
  <si>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</si>
  <si>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</si>
  <si>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</si>
  <si>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</si>
  <si>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</si>
  <si>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</si>
  <si>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</si>
  <si>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</si>
  <si>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</si>
  <si>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</si>
  <si>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</si>
  <si>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</si>
  <si>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</si>
  <si>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</si>
  <si>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</si>
  <si>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</si>
  <si>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</si>
  <si>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</si>
  <si>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</si>
  <si>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</si>
  <si>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</si>
  <si>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</si>
  <si>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</si>
  <si>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</si>
  <si>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</si>
  <si>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</si>
  <si>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</si>
  <si>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</si>
  <si>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</si>
  <si>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</si>
  <si>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</si>
  <si>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</si>
  <si>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</si>
  <si>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</si>
  <si>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</si>
  <si>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</si>
  <si>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</si>
  <si>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</si>
  <si>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</si>
  <si>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</si>
  <si>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</si>
  <si>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</si>
  <si>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</si>
  <si>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</si>
  <si>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</si>
  <si>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</si>
  <si>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</si>
  <si>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</si>
  <si>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</si>
  <si>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</si>
  <si>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</si>
  <si>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</si>
  <si>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</si>
  <si>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</si>
  <si>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</si>
  <si>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</si>
  <si>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</si>
  <si>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</si>
  <si>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</si>
  <si>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</si>
  <si>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</si>
  <si>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</si>
  <si>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</si>
  <si>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</si>
  <si>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</si>
  <si>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</si>
  <si>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</si>
  <si>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</si>
  <si>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</si>
  <si>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</si>
  <si>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</si>
  <si>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</si>
  <si>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</si>
  <si>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</si>
  <si>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</si>
  <si>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</si>
  <si>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</si>
  <si>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</si>
  <si>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</si>
  <si>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</si>
  <si>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</si>
  <si>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</si>
  <si>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</si>
  <si>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</si>
  <si>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</si>
  <si>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</si>
  <si>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</si>
  <si>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</si>
  <si>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</si>
  <si>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</si>
  <si>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</si>
  <si>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</si>
  <si>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</si>
  <si>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</si>
  <si>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</si>
  <si>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</si>
  <si>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</si>
  <si>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</si>
  <si>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</si>
  <si>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</si>
  <si>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</si>
  <si>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</si>
  <si>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</si>
  <si>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</si>
  <si>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</si>
  <si>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</si>
  <si>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</si>
  <si>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</si>
  <si>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</si>
  <si>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</si>
  <si>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</si>
  <si>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</si>
  <si>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</si>
  <si>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</si>
  <si>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</si>
  <si>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</si>
  <si>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</si>
  <si>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</si>
  <si>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</si>
  <si>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</si>
  <si>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</si>
  <si>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</si>
  <si>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</si>
  <si>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</si>
  <si>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</si>
  <si>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</si>
  <si>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</si>
  <si>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</si>
  <si>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</si>
  <si>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</si>
  <si>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</si>
  <si>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</si>
  <si>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</si>
  <si>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</si>
  <si>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</si>
  <si>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</si>
  <si>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</si>
  <si>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</si>
  <si>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</si>
  <si>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</si>
  <si>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</si>
  <si>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</si>
  <si>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</si>
  <si>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</si>
  <si>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</si>
  <si>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</si>
  <si>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</si>
  <si>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</si>
  <si>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</si>
  <si>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</si>
  <si>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</si>
  <si>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</si>
  <si>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</si>
  <si>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</si>
  <si>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</si>
  <si>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</si>
  <si>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</si>
  <si>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</si>
  <si>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</si>
  <si>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</si>
  <si>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</si>
  <si>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</si>
  <si>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</si>
  <si>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</si>
  <si>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</si>
  <si>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</si>
  <si>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</si>
  <si>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</si>
  <si>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</si>
  <si>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</si>
  <si>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</si>
  <si>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</si>
  <si>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</si>
  <si>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</si>
  <si>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</si>
  <si>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</si>
  <si>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</si>
  <si>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</si>
  <si>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</si>
  <si>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</si>
  <si>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</si>
  <si>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</si>
  <si>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</si>
  <si>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</si>
  <si>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</si>
  <si>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</si>
  <si>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</si>
  <si>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</si>
  <si>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</si>
  <si>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</si>
  <si>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</si>
  <si>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</si>
  <si>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</si>
  <si>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</si>
  <si>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</si>
  <si>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</si>
  <si>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</si>
  <si>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</si>
  <si>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</si>
  <si>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</si>
  <si>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</si>
  <si>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</si>
  <si>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</si>
  <si>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</si>
  <si>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</si>
  <si>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</si>
  <si>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</si>
  <si>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</si>
  <si>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</si>
  <si>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</si>
  <si>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</si>
  <si>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</si>
  <si>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</si>
  <si>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</si>
  <si>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</si>
  <si>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</si>
  <si>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</si>
  <si>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</si>
  <si>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</si>
  <si>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</si>
  <si>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</si>
  <si>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</si>
  <si>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</si>
  <si>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</si>
  <si>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</si>
  <si>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</si>
  <si>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</si>
  <si>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</si>
  <si>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</si>
  <si>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</si>
  <si>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</si>
  <si>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</si>
  <si>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</si>
  <si>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</si>
  <si>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</si>
  <si>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</si>
  <si>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</si>
  <si>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</si>
  <si>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</si>
  <si>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</si>
  <si>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</si>
  <si>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</si>
  <si>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</si>
  <si>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</si>
  <si>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</si>
  <si>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</si>
  <si>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</si>
  <si>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</si>
  <si>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</si>
  <si>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</si>
  <si>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</si>
  <si>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</si>
  <si>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</si>
  <si>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</si>
  <si>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</si>
  <si>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</si>
  <si>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</si>
  <si>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</si>
  <si>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</si>
  <si>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</si>
  <si>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</si>
  <si>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</si>
  <si>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</si>
  <si>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</si>
  <si>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</si>
  <si>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</si>
  <si>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</si>
  <si>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</si>
  <si>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</si>
  <si>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</si>
  <si>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</si>
  <si>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</si>
  <si>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</si>
  <si>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</si>
  <si>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</si>
  <si>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</si>
  <si>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</si>
  <si>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</si>
  <si>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</si>
  <si>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</si>
  <si>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</si>
  <si>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</si>
  <si>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</si>
  <si>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</si>
  <si>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</si>
  <si>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</si>
  <si>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</si>
  <si>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</si>
  <si>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</si>
  <si>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</si>
  <si>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</si>
  <si>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</si>
  <si>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</si>
  <si>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</si>
  <si>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</si>
  <si>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</si>
  <si>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</si>
  <si>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</si>
  <si>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</si>
  <si>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</si>
  <si>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</si>
  <si>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</si>
  <si>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</si>
  <si>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</si>
  <si>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</si>
  <si>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</si>
  <si>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</si>
  <si>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</si>
  <si>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</si>
  <si>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</si>
  <si>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</si>
  <si>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</si>
  <si>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</si>
  <si>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</si>
  <si>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</si>
  <si>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</si>
  <si>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</si>
  <si>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</si>
  <si>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</si>
  <si>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</si>
  <si>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</si>
  <si>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</si>
  <si>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</si>
  <si>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</si>
  <si>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</si>
  <si>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</si>
  <si>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</si>
  <si>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</si>
  <si>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</si>
  <si>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</si>
  <si>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</si>
  <si>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</si>
  <si>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</si>
  <si>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</si>
  <si>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</si>
  <si>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</si>
  <si>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</si>
  <si>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</si>
  <si>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</si>
  <si>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</si>
  <si>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</si>
  <si>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</si>
  <si>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</si>
  <si>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</si>
  <si>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</si>
  <si>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</si>
  <si>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</si>
  <si>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</si>
  <si>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</si>
  <si>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</si>
  <si>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</si>
  <si>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</si>
  <si>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</si>
  <si>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</si>
  <si>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</si>
  <si>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</si>
  <si>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</si>
  <si>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</si>
  <si>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</si>
  <si>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</si>
  <si>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</si>
  <si>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</si>
  <si>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</si>
  <si>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</si>
  <si>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</si>
  <si>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</si>
  <si>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</si>
  <si>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</si>
  <si>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</si>
  <si>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</si>
  <si>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</si>
  <si>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</si>
  <si>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</si>
  <si>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</si>
  <si>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</si>
  <si>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</si>
  <si>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</si>
  <si>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</si>
  <si>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</si>
  <si>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</si>
  <si>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</si>
  <si>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</si>
  <si>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</si>
  <si>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</si>
  <si>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</si>
  <si>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</si>
  <si>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</si>
  <si>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</si>
  <si>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</si>
  <si>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</si>
  <si>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</si>
  <si>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</si>
  <si>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</si>
  <si>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</si>
  <si>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</si>
  <si>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</si>
  <si>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</si>
  <si>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</si>
  <si>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</si>
  <si>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</si>
  <si>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</si>
  <si>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</si>
  <si>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</si>
  <si>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</si>
  <si>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</si>
  <si>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</si>
  <si>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</si>
  <si>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</si>
  <si>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</si>
  <si>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</si>
  <si>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</si>
  <si>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</si>
  <si>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</si>
  <si>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</si>
  <si>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</si>
  <si>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</si>
  <si>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</si>
  <si>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</si>
  <si>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</si>
  <si>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</si>
  <si>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</si>
  <si>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</si>
  <si>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</si>
  <si>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</si>
  <si>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</si>
  <si>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</si>
  <si>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</si>
  <si>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</si>
  <si>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</si>
  <si>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</si>
  <si>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</si>
  <si>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</si>
  <si>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</si>
  <si>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</si>
  <si>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</si>
  <si>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</si>
  <si>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</si>
  <si>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</si>
  <si>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</si>
  <si>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</si>
  <si>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</si>
  <si>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</si>
  <si>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</si>
  <si>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</si>
  <si>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</si>
  <si>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</si>
  <si>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</si>
  <si>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</si>
  <si>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</si>
  <si>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</si>
  <si>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</si>
  <si>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</si>
  <si>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</si>
  <si>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</si>
  <si>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</si>
  <si>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</si>
  <si>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</si>
  <si>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</si>
  <si>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</si>
  <si>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</si>
  <si>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</si>
  <si>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</si>
  <si>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</si>
  <si>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</si>
  <si>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</si>
  <si>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</si>
  <si>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</si>
  <si>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</si>
  <si>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</si>
  <si>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</si>
  <si>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</si>
  <si>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</si>
  <si>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</si>
  <si>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</si>
  <si>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</si>
  <si>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</si>
  <si>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</si>
  <si>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</si>
  <si>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</si>
  <si>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</si>
  <si>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</si>
  <si>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</si>
  <si>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</si>
  <si>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</si>
  <si>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</si>
  <si>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</si>
  <si>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</si>
  <si>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</si>
  <si>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</si>
  <si>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</si>
  <si>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</si>
  <si>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</si>
  <si>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</si>
  <si>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</si>
  <si>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</si>
  <si>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</si>
  <si>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</si>
  <si>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</si>
  <si>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</si>
  <si>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</si>
  <si>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</si>
  <si>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</si>
  <si>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</si>
  <si>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</si>
  <si>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</si>
  <si>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</si>
  <si>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</si>
  <si>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</si>
  <si>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</si>
  <si>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</si>
  <si>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</si>
  <si>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</si>
  <si>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</si>
  <si>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</si>
  <si>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</si>
  <si>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</si>
  <si>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</si>
  <si>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</si>
  <si>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</si>
  <si>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</si>
  <si>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</si>
  <si>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</si>
  <si>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</si>
  <si>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</si>
  <si>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</si>
  <si>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</si>
  <si>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</si>
  <si>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</si>
  <si>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</si>
  <si>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</si>
  <si>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</si>
  <si>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</si>
  <si>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</si>
  <si>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</si>
  <si>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</si>
  <si>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</si>
  <si>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</si>
  <si>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</si>
  <si>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</si>
  <si>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</si>
  <si>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</si>
  <si>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</si>
  <si>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</si>
  <si>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</si>
  <si>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</si>
  <si>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</si>
  <si>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</si>
  <si>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</si>
  <si>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</si>
  <si>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</si>
  <si>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</si>
  <si>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</si>
  <si>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</si>
  <si>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</si>
  <si>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</si>
  <si>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</si>
  <si>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</si>
  <si>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</si>
  <si>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</si>
  <si>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</si>
  <si>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</si>
  <si>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</si>
  <si>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</si>
  <si>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</si>
  <si>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</si>
  <si>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</si>
  <si>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</si>
  <si>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</si>
  <si>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</si>
  <si>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</si>
  <si>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</si>
  <si>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</si>
  <si>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</si>
  <si>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</si>
  <si>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</si>
  <si>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</si>
  <si>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</si>
  <si>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</si>
  <si>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</si>
  <si>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</si>
  <si>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</si>
  <si>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</si>
  <si>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</si>
  <si>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</si>
  <si>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</si>
  <si>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</si>
  <si>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</si>
  <si>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</si>
  <si>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</si>
  <si>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</si>
  <si>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</si>
  <si>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</si>
  <si>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</si>
  <si>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</si>
  <si>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</si>
  <si>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</si>
  <si>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</si>
  <si>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</si>
  <si>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</si>
  <si>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</si>
  <si>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</si>
  <si>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</si>
  <si>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</si>
  <si>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</si>
  <si>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</si>
  <si>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</si>
  <si>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</si>
  <si>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</si>
  <si>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</si>
  <si>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</si>
  <si>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</si>
  <si>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</si>
  <si>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</si>
  <si>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</si>
  <si>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</si>
  <si>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</si>
  <si>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</si>
  <si>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</si>
  <si>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</si>
  <si>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</si>
  <si>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</si>
  <si>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</si>
  <si>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</si>
  <si>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</si>
  <si>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</si>
  <si>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</si>
  <si>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</si>
  <si>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</si>
  <si>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</si>
  <si>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</si>
  <si>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</si>
  <si>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</si>
  <si>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</si>
  <si>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</si>
  <si>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</si>
  <si>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</si>
  <si>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</si>
  <si>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</si>
  <si>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</si>
  <si>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</si>
  <si>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</si>
  <si>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</si>
  <si>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</si>
  <si>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</si>
  <si>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</si>
  <si>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</si>
  <si>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</si>
  <si>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</si>
  <si>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</si>
  <si>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</si>
  <si>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</si>
  <si>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</si>
  <si>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</si>
  <si>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</si>
  <si>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</si>
  <si>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</si>
  <si>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</si>
  <si>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</si>
  <si>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</si>
  <si>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</si>
  <si>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</si>
  <si>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</si>
  <si>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</si>
  <si>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</si>
  <si>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</si>
  <si>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</si>
  <si>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</si>
  <si>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</si>
  <si>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</si>
  <si>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</si>
  <si>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</si>
  <si>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</si>
  <si>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</si>
  <si>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</si>
  <si>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</si>
  <si>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</si>
  <si>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</si>
  <si>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</si>
  <si>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</si>
  <si>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</si>
  <si>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</si>
  <si>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</si>
  <si>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</si>
  <si>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</si>
  <si>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</si>
  <si>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</si>
  <si>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</si>
  <si>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</si>
  <si>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</si>
  <si>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</si>
  <si>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</si>
  <si>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</si>
  <si>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</si>
  <si>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</si>
  <si>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</si>
  <si>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</si>
  <si>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</si>
  <si>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</si>
  <si>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</si>
  <si>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</si>
  <si>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</si>
  <si>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</si>
  <si>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</si>
  <si>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</si>
  <si>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</si>
  <si>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</si>
  <si>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</si>
  <si>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</si>
  <si>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</si>
  <si>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</si>
  <si>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</si>
  <si>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</si>
  <si>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</si>
  <si>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</si>
  <si>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</si>
  <si>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</si>
  <si>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</si>
  <si>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</si>
  <si>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</si>
  <si>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</si>
  <si>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</si>
  <si>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</si>
  <si>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</si>
  <si>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</si>
  <si>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</si>
  <si>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</si>
  <si>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</si>
  <si>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</si>
  <si>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</si>
  <si>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</si>
  <si>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</si>
  <si>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</si>
  <si>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</si>
  <si>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</si>
  <si>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</si>
  <si>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</si>
  <si>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</si>
  <si>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</si>
  <si>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</si>
  <si>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</si>
  <si>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</si>
  <si>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</si>
  <si>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</si>
  <si>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</si>
  <si>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</si>
  <si>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</si>
  <si>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</si>
  <si>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</si>
  <si>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</si>
  <si>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</si>
  <si>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</si>
  <si>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</si>
  <si>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</si>
  <si>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</si>
  <si>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</si>
  <si>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</si>
  <si>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</si>
  <si>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</si>
  <si>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</si>
  <si>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</si>
  <si>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</si>
  <si>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</si>
  <si>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</si>
  <si>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</si>
  <si>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</si>
  <si>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</si>
  <si>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</si>
  <si>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</si>
  <si>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</si>
  <si>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</si>
  <si>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</si>
  <si>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</si>
  <si>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</si>
  <si>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</si>
  <si>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</si>
  <si>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</si>
  <si>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</si>
  <si>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</si>
  <si>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</si>
  <si>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</si>
  <si>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</si>
  <si>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</si>
  <si>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</si>
  <si>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</si>
  <si>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</si>
  <si>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</si>
  <si>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</si>
  <si>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</si>
  <si>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</si>
  <si>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</si>
  <si>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</si>
  <si>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</si>
  <si>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</si>
  <si>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</si>
  <si>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</si>
  <si>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</si>
  <si>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</si>
  <si>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</si>
  <si>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</si>
  <si>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</si>
  <si>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</si>
  <si>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</si>
  <si>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</si>
  <si>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</si>
  <si>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</si>
  <si>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</si>
  <si>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</si>
  <si>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</si>
  <si>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</si>
  <si>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</si>
  <si>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</si>
  <si>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</si>
  <si>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</si>
  <si>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</si>
  <si>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</si>
  <si>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</si>
  <si>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</si>
  <si>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</si>
  <si>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</si>
  <si>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</si>
  <si>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</si>
  <si>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</si>
  <si>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</si>
  <si>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</si>
  <si>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</si>
  <si>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</si>
  <si>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</si>
  <si>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</si>
  <si>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</si>
  <si>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</si>
  <si>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</si>
  <si>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</si>
  <si>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</si>
  <si>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</si>
  <si>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</si>
  <si>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</si>
  <si>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</si>
  <si>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</si>
  <si>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</si>
  <si>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</si>
  <si>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</si>
  <si>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</si>
  <si>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</si>
  <si>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</si>
  <si>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</si>
  <si>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</si>
  <si>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</si>
  <si>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</si>
  <si>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</si>
  <si>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</si>
  <si>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</si>
  <si>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</si>
  <si>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</si>
  <si>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</si>
  <si>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</si>
  <si>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</si>
  <si>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</si>
  <si>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</si>
  <si>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</si>
  <si>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</si>
  <si>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</si>
  <si>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</si>
  <si>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</si>
  <si>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</si>
  <si>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</si>
  <si>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</si>
  <si>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</si>
  <si>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</si>
  <si>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</si>
  <si>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</si>
  <si>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</si>
  <si>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</si>
  <si>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</si>
  <si>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</si>
  <si>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</si>
  <si>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</si>
  <si>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</si>
  <si>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</si>
  <si>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</si>
  <si>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</si>
  <si>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</si>
  <si>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</si>
  <si>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</si>
  <si>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</si>
  <si>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</si>
  <si>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</si>
  <si>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</si>
  <si>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</si>
  <si>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</si>
  <si>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</si>
  <si>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</si>
  <si>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</si>
  <si>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</si>
  <si>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</si>
  <si>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</si>
  <si>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</si>
  <si>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</si>
  <si>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</si>
  <si>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</si>
  <si>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</si>
  <si>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</si>
  <si>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</si>
  <si>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</si>
  <si>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</si>
  <si>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</si>
  <si>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</si>
  <si>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</si>
  <si>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</si>
  <si>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</si>
  <si>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</si>
  <si>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</si>
  <si>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</si>
  <si>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</si>
  <si>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</si>
  <si>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</si>
  <si>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</si>
  <si>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</si>
  <si>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</si>
  <si>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</si>
  <si>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</si>
  <si>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</si>
  <si>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</si>
  <si>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</si>
  <si>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</si>
  <si>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</si>
  <si>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</si>
  <si>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</si>
  <si>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</si>
  <si>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</si>
  <si>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</si>
  <si>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</si>
  <si>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</si>
  <si>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</si>
  <si>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</si>
  <si>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</si>
  <si>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</si>
  <si>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</si>
  <si>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</si>
  <si>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</si>
  <si>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</si>
  <si>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</si>
  <si>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</si>
  <si>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</si>
  <si>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</si>
  <si>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</si>
  <si>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</si>
  <si>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</si>
  <si>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</si>
  <si>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</si>
  <si>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</si>
  <si>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</si>
  <si>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</si>
  <si>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</si>
  <si>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</si>
  <si>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</si>
  <si>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</si>
  <si>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</si>
  <si>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</si>
  <si>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</si>
  <si>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</si>
  <si>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</si>
  <si>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</si>
  <si>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</si>
  <si>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</si>
  <si>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</si>
  <si>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</si>
  <si>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</si>
  <si>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</si>
  <si>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</si>
  <si>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</si>
  <si>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</si>
  <si>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</si>
  <si>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</si>
  <si>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</si>
  <si>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</si>
  <si>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</si>
  <si>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</si>
  <si>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</si>
  <si>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</si>
  <si>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</si>
  <si>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</si>
  <si>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</si>
  <si>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</si>
  <si>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</si>
  <si>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</si>
  <si>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</si>
  <si>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</si>
  <si>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</si>
  <si>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</si>
  <si>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</si>
  <si>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</si>
  <si>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</si>
  <si>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</si>
  <si>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</si>
  <si>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</si>
  <si>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</si>
  <si>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</si>
  <si>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</si>
  <si>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</si>
  <si>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</si>
  <si>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</si>
  <si>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</si>
  <si>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</si>
  <si>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</si>
  <si>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</si>
  <si>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</si>
  <si>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</si>
  <si>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</si>
  <si>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</si>
  <si>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</si>
  <si>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</si>
  <si>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</si>
  <si>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</si>
  <si>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</si>
  <si>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</si>
  <si>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</si>
  <si>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</si>
  <si>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</si>
  <si>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</si>
  <si>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</si>
  <si>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</si>
  <si>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</si>
  <si>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</si>
  <si>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</si>
  <si>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</si>
  <si>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</si>
  <si>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</si>
  <si>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</si>
  <si>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</si>
  <si>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</si>
  <si>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</si>
  <si>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</si>
  <si>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</si>
  <si>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</si>
  <si>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</si>
  <si>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</si>
  <si>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</si>
  <si>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</si>
  <si>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</si>
  <si>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</si>
  <si>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</si>
  <si>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</si>
  <si>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</si>
  <si>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</si>
  <si>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</si>
  <si>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</si>
  <si>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</si>
  <si>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</si>
  <si>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</si>
  <si>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</si>
  <si>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</si>
  <si>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</si>
  <si>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</si>
  <si>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</si>
  <si>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</si>
  <si>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</si>
  <si>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</si>
  <si>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</si>
  <si>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</si>
  <si>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</si>
  <si>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</si>
  <si>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</si>
  <si>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</si>
  <si>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</si>
  <si>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</si>
  <si>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</si>
  <si>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</si>
  <si>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</si>
  <si>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</si>
  <si>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</si>
  <si>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</si>
  <si>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</si>
  <si>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</si>
  <si>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</si>
  <si>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</si>
  <si>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</si>
  <si>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</si>
  <si>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</si>
  <si>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</si>
  <si>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</si>
  <si>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</si>
  <si>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</si>
  <si>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</si>
  <si>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</si>
  <si>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</si>
  <si>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</si>
  <si>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</si>
  <si>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</si>
  <si>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</si>
  <si>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</si>
  <si>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</si>
  <si>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</si>
  <si>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</si>
  <si>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</si>
  <si>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</si>
  <si>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</si>
  <si>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</si>
  <si>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</si>
  <si>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</si>
  <si>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</si>
  <si>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</si>
  <si>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</si>
  <si>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</si>
  <si>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</si>
  <si>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</si>
  <si>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</si>
  <si>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</si>
  <si>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</si>
  <si>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</si>
  <si>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</si>
  <si>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</si>
  <si>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</si>
  <si>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</si>
  <si>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</si>
  <si>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</si>
  <si>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</si>
  <si>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</si>
  <si>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</si>
  <si>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</si>
  <si>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</si>
  <si>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</si>
  <si>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</si>
  <si>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</si>
  <si>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</si>
  <si>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</si>
  <si>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</si>
  <si>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</si>
  <si>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</si>
  <si>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</si>
  <si>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</si>
  <si>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</si>
  <si>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</si>
  <si>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</si>
  <si>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</si>
  <si>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</si>
  <si>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</si>
  <si>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</si>
  <si>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</si>
  <si>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</si>
  <si>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</si>
  <si>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</si>
  <si>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</si>
  <si>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</si>
  <si>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</si>
  <si>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</si>
  <si>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</si>
  <si>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</si>
  <si>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</si>
  <si>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</si>
  <si>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</si>
  <si>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</si>
  <si>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</si>
  <si>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</si>
  <si>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</si>
  <si>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</si>
  <si>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</si>
  <si>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</si>
  <si>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</si>
  <si>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</si>
  <si>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</si>
  <si>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</si>
  <si>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</si>
  <si>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</si>
  <si>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</si>
  <si>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</si>
  <si>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</si>
  <si>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</si>
  <si>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</si>
  <si>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</si>
  <si>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</si>
  <si>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</si>
  <si>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</si>
  <si>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</si>
  <si>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</si>
  <si>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</si>
  <si>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</si>
  <si>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</si>
  <si>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</si>
  <si>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</si>
  <si>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</si>
  <si>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</si>
  <si>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</si>
  <si>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</si>
  <si>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</si>
  <si>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</si>
  <si>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</si>
  <si>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</si>
  <si>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</si>
  <si>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</si>
  <si>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</si>
  <si>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</si>
  <si>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</si>
  <si>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</si>
  <si>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</si>
  <si>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</si>
  <si>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</si>
  <si>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</si>
  <si>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</si>
  <si>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</si>
  <si>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</si>
  <si>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</si>
  <si>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</si>
  <si>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</si>
  <si>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</si>
  <si>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</si>
  <si>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</si>
  <si>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</si>
  <si>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</si>
  <si>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</si>
  <si>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</si>
  <si>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</si>
  <si>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</si>
  <si>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</si>
  <si>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</si>
  <si>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</si>
  <si>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</si>
  <si>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</si>
  <si>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</si>
  <si>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</si>
  <si>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</si>
  <si>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</si>
  <si>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</si>
  <si>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</si>
  <si>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</si>
  <si>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</si>
  <si>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</si>
  <si>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</si>
  <si>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</si>
  <si>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</si>
  <si>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</si>
  <si>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</si>
  <si>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</si>
  <si>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</si>
  <si>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</si>
  <si>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</si>
  <si>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</si>
  <si>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</si>
  <si>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</si>
  <si>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</si>
  <si>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</si>
  <si>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</si>
  <si>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</si>
  <si>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</si>
  <si>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</si>
  <si>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</si>
  <si>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</si>
  <si>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</si>
  <si>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</si>
  <si>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</si>
  <si>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</si>
  <si>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</si>
  <si>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</si>
  <si>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</si>
  <si>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</si>
  <si>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</si>
  <si>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</si>
  <si>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</si>
  <si>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</si>
  <si>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</si>
  <si>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</si>
  <si>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</si>
  <si>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</si>
  <si>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</si>
  <si>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</si>
  <si>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</si>
  <si>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</si>
  <si>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</si>
  <si>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</si>
  <si>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</si>
  <si>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</si>
  <si>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</si>
  <si>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</si>
  <si>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</si>
  <si>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</si>
  <si>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</si>
  <si>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</si>
  <si>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</si>
  <si>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</si>
  <si>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</si>
  <si>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</si>
  <si>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</si>
  <si>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</si>
  <si>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</si>
  <si>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</si>
  <si>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</si>
  <si>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</si>
  <si>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</si>
  <si>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</si>
  <si>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</si>
  <si>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</si>
  <si>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</si>
  <si>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</si>
  <si>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</si>
  <si>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</si>
  <si>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</si>
  <si>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</si>
  <si>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</si>
  <si>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</si>
  <si>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</si>
  <si>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</si>
  <si>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</si>
  <si>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</si>
  <si>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</si>
  <si>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</si>
  <si>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</si>
  <si>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</si>
  <si>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</si>
  <si>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</si>
  <si>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</si>
  <si>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</si>
  <si>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</si>
  <si>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</si>
  <si>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</si>
  <si>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</si>
  <si>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</si>
  <si>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</si>
  <si>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</si>
  <si>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</si>
  <si>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</si>
  <si>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</si>
  <si>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</si>
  <si>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</si>
  <si>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</si>
  <si>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</si>
  <si>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</si>
  <si>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</si>
  <si>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</si>
  <si>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</si>
  <si>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</si>
  <si>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</si>
  <si>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</si>
  <si>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</si>
  <si>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</si>
  <si>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</si>
  <si>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</si>
  <si>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</si>
  <si>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</si>
  <si>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</si>
  <si>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</si>
  <si>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</si>
  <si>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</si>
  <si>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</si>
  <si>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</si>
  <si>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</si>
  <si>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</si>
  <si>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</si>
  <si>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</si>
  <si>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</si>
  <si>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</si>
  <si>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</si>
  <si>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</si>
  <si>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</si>
  <si>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</si>
  <si>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</si>
  <si>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</si>
  <si>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</si>
  <si>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</si>
  <si>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</si>
  <si>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</si>
  <si>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</si>
  <si>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</si>
  <si>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</si>
  <si>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</si>
  <si>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</si>
  <si>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</si>
  <si>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</si>
  <si>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</si>
  <si>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</si>
  <si>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</si>
  <si>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</si>
  <si>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</si>
  <si>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</si>
  <si>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球探等级：10</t>
  </si>
  <si>
    <t>南太平洋大学</t>
  </si>
  <si>
    <t>玩家：你哈哥 黄教授</t>
  </si>
  <si>
    <t>新泰体育中心专业足球场</t>
  </si>
  <si>
    <t>可征战世大运</t>
  </si>
  <si>
    <t>新阿尔米利亚提公园球场</t>
  </si>
  <si>
    <t>里拉赫球场</t>
  </si>
  <si>
    <t>玩家: 阿古</t>
  </si>
  <si>
    <t>安倍萨足球场</t>
  </si>
  <si>
    <t>玩家：墩子</t>
  </si>
  <si>
    <t>哈贾丹橄榄球场</t>
  </si>
  <si>
    <t>玩家：抖音577842845</t>
  </si>
  <si>
    <t>总统国立竞技场</t>
  </si>
  <si>
    <t>玩家: 抖音@宾</t>
  </si>
  <si>
    <t>里卡多-罗德里格斯</t>
  </si>
  <si>
    <t>乌克斯布里德竞技场</t>
  </si>
  <si>
    <t>可征战法国杯第一圈</t>
  </si>
  <si>
    <t>玩家: 云龙</t>
  </si>
  <si>
    <t>瓦巴萨朱运动场</t>
  </si>
  <si>
    <t>球探等级：5</t>
  </si>
  <si>
    <t>玩家: 抖音春飘雨</t>
  </si>
  <si>
    <t>穆拉哈体育场</t>
  </si>
  <si>
    <t>玩家:抖音1.1595</t>
  </si>
  <si>
    <t>玩家: 鬼才</t>
  </si>
  <si>
    <t>沙波卢瓦球场</t>
  </si>
  <si>
    <t>英国足总杯预选赛阶段第一圈</t>
  </si>
  <si>
    <t>玩家: 慕尼黑二次元</t>
  </si>
  <si>
    <t>玩家: 雀狗蛋</t>
  </si>
  <si>
    <t>玩家: 陈志</t>
  </si>
  <si>
    <t>可征战荷兰杯第一圈</t>
  </si>
  <si>
    <t>玩家：抖音pedri</t>
  </si>
  <si>
    <t>玩家：抖音RMA</t>
  </si>
  <si>
    <t>史蒂夫·波茨</t>
  </si>
  <si>
    <t>泰克足球场</t>
  </si>
  <si>
    <t>玩家：抖音云中歌</t>
  </si>
  <si>
    <t>新泰市泰山区泰山体育场</t>
  </si>
  <si>
    <t>玩家：抖音港迷</t>
  </si>
  <si>
    <t>巴峰总统纪念球场</t>
  </si>
  <si>
    <t>朱马第一中学操场</t>
  </si>
  <si>
    <t>新利雅得新月</t>
  </si>
  <si>
    <t>抖音：79215334364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</si>
  <si>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</si>
  <si>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</si>
  <si>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</si>
  <si>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</si>
  <si>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</si>
  <si>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</si>
  <si>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</si>
  <si>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</si>
  <si>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</si>
  <si>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</si>
  <si>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</si>
  <si>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</si>
  <si>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</si>
  <si>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</si>
  <si>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</si>
  <si>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</si>
  <si>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</si>
  <si>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</si>
  <si>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</si>
  <si>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</si>
  <si>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</si>
  <si>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</si>
  <si>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</si>
  <si>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</si>
  <si>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</si>
  <si>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</si>
  <si>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</si>
  <si>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</si>
  <si>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</si>
  <si>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</si>
  <si>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</si>
  <si>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</si>
  <si>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</si>
  <si>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</si>
  <si>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</si>
  <si>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</si>
  <si>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</si>
  <si>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</si>
  <si>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</si>
  <si>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</si>
  <si>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</si>
  <si>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</si>
  <si>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</si>
  <si>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</si>
  <si>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</si>
  <si>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</si>
  <si>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</si>
  <si>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</si>
  <si>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</si>
  <si>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</si>
  <si>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</si>
  <si>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</si>
  <si>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</si>
  <si>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</si>
  <si>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</si>
  <si>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</si>
  <si>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东木市职业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</si>
  <si>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</si>
  <si>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</si>
  <si>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</si>
  <si>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</si>
  <si>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</si>
  <si>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</si>
  <si>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</si>
  <si>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</si>
  <si>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</si>
  <si>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</si>
  <si>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</si>
  <si>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</si>
  <si>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</si>
  <si>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</si>
  <si>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</si>
  <si>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</si>
  <si>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</si>
  <si>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</si>
  <si>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</si>
  <si>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</si>
  <si>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</si>
  <si>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</si>
  <si>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</si>
  <si>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</si>
  <si>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</si>
  <si>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</si>
  <si>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</si>
  <si>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</si>
  <si>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</si>
  <si>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</si>
  <si>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</si>
  <si>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</si>
  <si>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</si>
  <si>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</si>
  <si>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</si>
  <si>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</si>
  <si>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</si>
  <si>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</si>
  <si>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</si>
  <si>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</si>
  <si>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</si>
  <si>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</si>
  <si>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</si>
  <si>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</si>
  <si>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</si>
  <si>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</si>
  <si>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</si>
  <si>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</si>
  <si>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</si>
  <si>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</si>
  <si>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</si>
  <si>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</si>
  <si>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</si>
  <si>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</si>
  <si>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</si>
  <si>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</si>
  <si>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</si>
  <si>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</si>
  <si>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</si>
  <si>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</si>
  <si>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</si>
  <si>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</si>
  <si>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</si>
  <si>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</si>
  <si>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</si>
  <si>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</si>
  <si>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</si>
  <si>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</si>
  <si>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</si>
  <si>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</si>
  <si>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</si>
  <si>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</si>
  <si>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</si>
  <si>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</si>
  <si>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</si>
  <si>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</si>
  <si>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</si>
  <si>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</si>
  <si>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</si>
  <si>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</si>
  <si>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</si>
  <si>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</si>
  <si>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</si>
  <si>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</si>
  <si>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</si>
  <si>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</si>
  <si>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</si>
  <si>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</si>
  <si>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</si>
  <si>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</si>
  <si>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</si>
  <si>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</si>
  <si>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</si>
  <si>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</si>
  <si>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</si>
  <si>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</si>
  <si>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</si>
  <si>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</si>
  <si>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</si>
  <si>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</si>
  <si>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</si>
  <si>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</si>
  <si>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</si>
  <si>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</si>
  <si>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</si>
  <si>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</si>
  <si>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</si>
  <si>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</si>
  <si>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</si>
  <si>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</si>
  <si>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</si>
  <si>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</si>
  <si>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</si>
  <si>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</si>
  <si>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</si>
  <si>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</si>
  <si>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</si>
  <si>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</si>
  <si>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</si>
  <si>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</si>
  <si>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</si>
  <si>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</si>
  <si>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</si>
  <si>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</si>
  <si>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</si>
  <si>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</si>
  <si>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</si>
  <si>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</si>
  <si>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</si>
  <si>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</si>
  <si>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</si>
  <si>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</si>
  <si>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</si>
  <si>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</si>
  <si>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</si>
  <si>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</si>
  <si>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</si>
  <si>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</si>
  <si>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</si>
  <si>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</si>
  <si>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</si>
  <si>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</si>
  <si>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</si>
  <si>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</si>
  <si>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</si>
  <si>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</si>
  <si>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</si>
  <si>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</si>
  <si>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</si>
  <si>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</si>
  <si>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</si>
  <si>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</si>
  <si>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</si>
  <si>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</si>
  <si>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</si>
  <si>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</si>
  <si>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</si>
  <si>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</si>
  <si>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</si>
  <si>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</si>
  <si>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</si>
  <si>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</si>
  <si>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</si>
  <si>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</si>
  <si>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</si>
  <si>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</si>
  <si>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</si>
  <si>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</si>
  <si>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</si>
  <si>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</si>
  <si>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</si>
  <si>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</si>
  <si>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</si>
  <si>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</si>
  <si>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</si>
  <si>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</si>
  <si>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</si>
  <si>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</si>
  <si>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</si>
  <si>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</si>
  <si>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</si>
  <si>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</si>
  <si>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</si>
  <si>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</si>
  <si>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</si>
  <si>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</si>
  <si>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</si>
  <si>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</si>
  <si>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</si>
  <si>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</si>
  <si>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</si>
  <si>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</si>
  <si>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</si>
  <si>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</si>
  <si>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</si>
  <si>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</si>
  <si>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</si>
  <si>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</si>
  <si>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</si>
  <si>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</si>
  <si>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</si>
  <si>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</si>
  <si>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</si>
  <si>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</si>
  <si>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</si>
  <si>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</si>
  <si>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</si>
  <si>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</si>
  <si>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</si>
  <si>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</si>
  <si>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</si>
  <si>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</si>
  <si>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</si>
  <si>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</si>
  <si>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</si>
  <si>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</si>
  <si>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</si>
  <si>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</si>
  <si>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</si>
  <si>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</si>
  <si>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</si>
  <si>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</si>
  <si>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</si>
  <si>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</si>
  <si>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</si>
  <si>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</si>
  <si>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</si>
  <si>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</si>
  <si>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</si>
  <si>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</si>
  <si>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</si>
  <si>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</si>
  <si>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</si>
  <si>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</si>
  <si>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</si>
  <si>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</si>
  <si>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</si>
  <si>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</si>
  <si>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</si>
  <si>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</si>
  <si>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</si>
  <si>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</si>
  <si>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</si>
  <si>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</si>
  <si>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</si>
  <si>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</si>
  <si>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</si>
  <si>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</si>
  <si>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</si>
  <si>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</si>
  <si>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</si>
  <si>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</si>
  <si>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</si>
  <si>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</si>
  <si>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</si>
  <si>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哈克足球场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</si>
  <si>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</si>
  <si>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</si>
  <si>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</si>
  <si>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</si>
  <si>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</si>
  <si>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</si>
  <si>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</si>
  <si>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</si>
  <si>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</si>
  <si>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</si>
  <si>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</si>
  <si>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</si>
  <si>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</si>
  <si>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</si>
  <si>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</si>
  <si>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</si>
  <si>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</si>
  <si>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</si>
  <si>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</si>
  <si>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</si>
  <si>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</si>
  <si>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</si>
  <si>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</si>
  <si>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</si>
  <si>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</si>
  <si>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</si>
  <si>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</si>
  <si>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</si>
  <si>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</si>
  <si>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</si>
  <si>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</si>
  <si>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</si>
  <si>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</si>
  <si>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</si>
  <si>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</si>
  <si>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</si>
  <si>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</si>
  <si>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</si>
  <si>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</si>
  <si>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</si>
  <si>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</si>
  <si>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</si>
  <si>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</si>
  <si>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</si>
  <si>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</si>
  <si>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</si>
  <si>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</si>
  <si>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</si>
  <si>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</si>
  <si>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</si>
  <si>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</si>
  <si>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</si>
  <si>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</si>
  <si>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</si>
  <si>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</si>
  <si>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</si>
  <si>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</si>
  <si>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</si>
  <si>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</si>
  <si>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</si>
  <si>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</si>
  <si>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</si>
  <si>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</si>
  <si>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</si>
  <si>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</si>
  <si>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</si>
  <si>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</si>
  <si>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</si>
  <si>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</si>
  <si>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</si>
  <si>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</si>
  <si>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</si>
  <si>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</si>
  <si>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</si>
  <si>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</si>
  <si>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</si>
  <si>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</si>
  <si>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</si>
  <si>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</si>
  <si>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</si>
  <si>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</si>
  <si>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</si>
  <si>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</si>
  <si>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</si>
  <si>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</si>
  <si>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</si>
  <si>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</si>
  <si>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</si>
  <si>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</si>
  <si>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</si>
  <si>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</si>
  <si>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</si>
  <si>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</si>
  <si>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</si>
  <si>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</si>
  <si>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</si>
  <si>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</si>
  <si>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</si>
  <si>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</si>
  <si>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</si>
  <si>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</si>
  <si>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</si>
  <si>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</si>
  <si>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</si>
  <si>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</si>
  <si>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</si>
  <si>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</si>
  <si>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</si>
  <si>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</si>
  <si>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</si>
  <si>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</si>
  <si>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</si>
  <si>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</si>
  <si>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</si>
  <si>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</si>
  <si>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</si>
  <si>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</si>
  <si>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</si>
  <si>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</si>
  <si>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</si>
  <si>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</si>
  <si>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</si>
  <si>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</si>
  <si>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</si>
  <si>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</si>
  <si>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</si>
  <si>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</si>
  <si>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</si>
  <si>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</si>
  <si>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</si>
  <si>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</si>
  <si>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</si>
  <si>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</si>
  <si>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</si>
  <si>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</si>
  <si>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</si>
  <si>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</si>
  <si>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</si>
  <si>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</si>
  <si>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</si>
  <si>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</si>
  <si>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</si>
  <si>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</si>
  <si>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</si>
  <si>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</si>
  <si>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</si>
  <si>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</si>
  <si>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</si>
  <si>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</si>
  <si>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</si>
  <si>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</si>
  <si>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</si>
  <si>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</si>
  <si>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</si>
  <si>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</si>
  <si>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</si>
  <si>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</si>
  <si>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</si>
  <si>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</si>
  <si>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</si>
  <si>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</si>
  <si>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</si>
  <si>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</si>
  <si>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</si>
  <si>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</si>
  <si>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</si>
  <si>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</si>
  <si>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</si>
  <si>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</si>
  <si>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</si>
  <si>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</si>
  <si>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</si>
  <si>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</si>
  <si>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</si>
  <si>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</si>
  <si>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</si>
  <si>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</si>
  <si>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</si>
  <si>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</si>
  <si>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</si>
  <si>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</si>
  <si>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</si>
  <si>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</si>
  <si>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</si>
  <si>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</si>
  <si>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</si>
  <si>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</si>
  <si>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</si>
  <si>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</si>
  <si>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</si>
  <si>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</si>
  <si>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</si>
  <si>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</si>
  <si>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</si>
  <si>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</si>
  <si>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</si>
  <si>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</si>
  <si>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</si>
  <si>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</si>
  <si>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</si>
  <si>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</si>
  <si>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</si>
  <si>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</si>
  <si>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</si>
  <si>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</si>
  <si>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</si>
  <si>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</si>
  <si>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</si>
  <si>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</si>
  <si>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</si>
  <si>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</si>
  <si>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</si>
  <si>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</si>
  <si>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</si>
  <si>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</si>
  <si>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</si>
  <si>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</si>
  <si>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</si>
  <si>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</si>
  <si>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</si>
  <si>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</si>
  <si>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</si>
  <si>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</si>
  <si>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</si>
  <si>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</si>
  <si>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</si>
  <si>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</si>
  <si>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</si>
  <si>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</si>
  <si>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</si>
  <si>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</si>
  <si>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</si>
  <si>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</si>
  <si>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</si>
  <si>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</si>
  <si>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</si>
  <si>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</si>
  <si>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</si>
  <si>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</si>
  <si>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</si>
  <si>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</si>
  <si>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</si>
  <si>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</si>
  <si>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</si>
  <si>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</si>
  <si>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</si>
  <si>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</si>
  <si>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</si>
  <si>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</si>
  <si>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</si>
  <si>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</si>
  <si>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</si>
  <si>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</si>
  <si>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</si>
  <si>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</si>
  <si>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</si>
  <si>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</si>
  <si>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</si>
  <si>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</si>
  <si>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</si>
  <si>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</si>
  <si>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</si>
  <si>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</si>
  <si>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</si>
  <si>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</si>
  <si>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</si>
  <si>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</si>
  <si>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</si>
  <si>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</si>
  <si>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</si>
  <si>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</si>
  <si>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</si>
  <si>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</si>
  <si>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</si>
  <si>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</si>
  <si>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</si>
  <si>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</si>
  <si>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</si>
  <si>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</si>
  <si>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</si>
  <si>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</si>
  <si>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</si>
  <si>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</si>
  <si>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</si>
  <si>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</si>
  <si>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</si>
  <si>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</si>
  <si>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</si>
  <si>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</si>
  <si>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</si>
  <si>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</si>
  <si>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</si>
  <si>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</si>
  <si>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</si>
  <si>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</si>
  <si>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</si>
  <si>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</si>
  <si>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</si>
  <si>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</si>
  <si>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</si>
  <si>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</si>
  <si>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</si>
  <si>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</si>
  <si>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</si>
  <si>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</si>
  <si>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</si>
  <si>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</si>
  <si>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</si>
  <si>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</si>
  <si>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</si>
  <si>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</si>
  <si>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</si>
  <si>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</si>
  <si>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</si>
  <si>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</si>
  <si>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</si>
  <si>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</si>
  <si>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</si>
  <si>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</si>
  <si>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</si>
  <si>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</si>
  <si>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</si>
  <si>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</si>
  <si>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</si>
  <si>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</si>
  <si>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</si>
  <si>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</si>
  <si>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</si>
  <si>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</si>
  <si>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</si>
  <si>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</si>
  <si>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</si>
  <si>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</si>
  <si>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</si>
  <si>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</si>
  <si>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</si>
  <si>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</si>
  <si>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</si>
  <si>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</si>
  <si>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</si>
  <si>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</si>
  <si>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</si>
  <si>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</si>
  <si>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</si>
  <si>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</si>
  <si>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</si>
  <si>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</si>
  <si>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</si>
  <si>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</si>
  <si>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</si>
  <si>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</si>
  <si>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</si>
  <si>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</si>
  <si>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</si>
  <si>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</si>
  <si>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</si>
  <si>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</si>
  <si>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</si>
  <si>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</si>
  <si>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</si>
  <si>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</si>
  <si>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</si>
  <si>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</si>
  <si>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</si>
  <si>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</si>
  <si>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</si>
  <si>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</si>
  <si>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</si>
  <si>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</si>
  <si>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</si>
  <si>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</si>
  <si>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</si>
  <si>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</si>
  <si>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</si>
  <si>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</si>
  <si>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</si>
  <si>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</si>
  <si>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</si>
  <si>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</si>
  <si>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</si>
  <si>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</si>
  <si>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</si>
  <si>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</si>
  <si>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</si>
  <si>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</si>
  <si>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</si>
  <si>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</si>
  <si>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</si>
  <si>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</si>
  <si>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</si>
  <si>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</si>
  <si>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</si>
  <si>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</si>
  <si>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</si>
  <si>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</si>
  <si>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</si>
  <si>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</si>
  <si>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</si>
  <si>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</si>
  <si>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</si>
  <si>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</si>
  <si>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</si>
  <si>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</si>
  <si>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</si>
  <si>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</si>
  <si>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</si>
  <si>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</si>
  <si>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</si>
  <si>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</si>
  <si>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</si>
  <si>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</si>
  <si>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</si>
  <si>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</si>
  <si>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</si>
  <si>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</si>
  <si>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</si>
  <si>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</si>
  <si>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</si>
  <si>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</si>
  <si>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</si>
  <si>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</si>
  <si>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</si>
  <si>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</si>
  <si>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</si>
  <si>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</si>
  <si>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</si>
  <si>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</si>
  <si>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</si>
  <si>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</si>
  <si>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</si>
  <si>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</si>
  <si>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</si>
  <si>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</si>
  <si>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</si>
  <si>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</si>
  <si>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</si>
  <si>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</si>
  <si>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</si>
  <si>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</si>
  <si>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</si>
  <si>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</si>
  <si>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</si>
  <si>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</si>
  <si>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</si>
  <si>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</si>
  <si>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</si>
  <si>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</si>
  <si>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</si>
  <si>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</si>
  <si>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</si>
  <si>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</si>
  <si>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</si>
  <si>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</si>
  <si>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</si>
  <si>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</si>
  <si>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</si>
  <si>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</si>
  <si>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</si>
  <si>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</si>
  <si>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</si>
  <si>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</si>
  <si>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</si>
  <si>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</si>
  <si>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</si>
  <si>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</si>
  <si>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</si>
  <si>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</si>
  <si>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</si>
  <si>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</si>
  <si>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</si>
  <si>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</si>
  <si>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</si>
  <si>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</si>
  <si>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</si>
  <si>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</si>
  <si>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</si>
  <si>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</si>
  <si>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</si>
  <si>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</si>
  <si>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</si>
  <si>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</si>
  <si>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</si>
  <si>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</si>
  <si>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</si>
  <si>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</si>
  <si>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</si>
  <si>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</si>
  <si>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</si>
  <si>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</si>
  <si>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</si>
  <si>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</si>
  <si>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</si>
  <si>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</si>
  <si>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</si>
  <si>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</si>
  <si>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</si>
  <si>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</si>
  <si>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</si>
  <si>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</si>
  <si>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</si>
  <si>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</si>
  <si>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</si>
  <si>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</si>
  <si>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</si>
  <si>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</si>
  <si>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</si>
  <si>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</si>
  <si>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</si>
  <si>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</si>
  <si>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</si>
  <si>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</si>
  <si>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</si>
  <si>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</si>
  <si>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</si>
  <si>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</si>
  <si>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</si>
  <si>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</si>
  <si>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</si>
  <si>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</si>
  <si>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</si>
  <si>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</si>
  <si>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</si>
  <si>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</si>
  <si>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</si>
  <si>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</si>
  <si>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</si>
  <si>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</si>
  <si>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</si>
  <si>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</si>
  <si>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</si>
  <si>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</si>
  <si>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</si>
  <si>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</si>
  <si>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</si>
  <si>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</si>
  <si>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</si>
  <si>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</si>
  <si>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</si>
  <si>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</si>
  <si>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</si>
  <si>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</si>
  <si>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</si>
  <si>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</si>
  <si>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</si>
  <si>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</si>
  <si>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</si>
  <si>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</si>
  <si>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</si>
  <si>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</si>
  <si>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</si>
  <si>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</si>
  <si>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</si>
  <si>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</si>
  <si>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</si>
  <si>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</si>
  <si>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</si>
  <si>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</si>
  <si>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</si>
  <si>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</si>
  <si>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</si>
  <si>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</si>
  <si>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</si>
  <si>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</si>
  <si>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</si>
  <si>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</si>
  <si>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</si>
  <si>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</si>
  <si>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</si>
  <si>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</si>
  <si>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</si>
  <si>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</si>
  <si>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</si>
  <si>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</si>
  <si>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</si>
  <si>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</si>
  <si>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</si>
  <si>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</si>
  <si>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</si>
  <si>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</si>
  <si>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</si>
  <si>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</si>
  <si>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</si>
  <si>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</si>
  <si>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</si>
  <si>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</si>
  <si>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</si>
  <si>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</si>
  <si>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</si>
  <si>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</si>
  <si>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</si>
  <si>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</si>
  <si>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</si>
  <si>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</si>
  <si>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</si>
  <si>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</si>
  <si>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</si>
  <si>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</si>
  <si>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</si>
  <si>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</si>
  <si>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</si>
  <si>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</si>
  <si>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</si>
  <si>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</si>
  <si>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</si>
  <si>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</si>
  <si>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</si>
  <si>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</si>
  <si>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</si>
  <si>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</si>
  <si>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</si>
  <si>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</si>
  <si>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</si>
  <si>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</si>
  <si>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</si>
  <si>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</si>
  <si>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</si>
  <si>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</si>
  <si>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</si>
  <si>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</si>
  <si>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</si>
  <si>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</si>
  <si>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</si>
  <si>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</si>
  <si>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</si>
  <si>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</si>
  <si>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</si>
  <si>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</si>
  <si>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</si>
  <si>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</si>
  <si>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</si>
  <si>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</si>
  <si>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</si>
  <si>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</si>
  <si>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</si>
  <si>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</si>
  <si>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</si>
  <si>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</si>
  <si>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</si>
  <si>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</si>
  <si>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</si>
  <si>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</si>
  <si>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</si>
  <si>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</si>
  <si>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</si>
  <si>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</si>
  <si>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</si>
  <si>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</si>
  <si>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</si>
  <si>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</si>
  <si>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</si>
  <si>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</si>
  <si>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</si>
  <si>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</si>
  <si>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</si>
  <si>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</si>
  <si>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</si>
  <si>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</si>
  <si>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</si>
  <si>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</si>
  <si>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</si>
  <si>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</si>
  <si>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</si>
  <si>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</si>
  <si>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</si>
  <si>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</si>
  <si>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</si>
  <si>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</si>
  <si>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</si>
  <si>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</si>
  <si>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</si>
  <si>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</si>
  <si>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</si>
  <si>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</si>
  <si>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</si>
  <si>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</si>
  <si>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</si>
  <si>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</si>
  <si>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</si>
  <si>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</si>
  <si>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</si>
  <si>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</si>
  <si>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</si>
  <si>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</si>
  <si>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</si>
  <si>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</si>
  <si>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</si>
  <si>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</si>
  <si>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</si>
  <si>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</si>
  <si>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</si>
  <si>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</si>
  <si>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</si>
  <si>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</si>
  <si>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</si>
  <si>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</si>
  <si>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</si>
  <si>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</si>
  <si>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</si>
  <si>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</si>
  <si>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</si>
  <si>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</si>
  <si>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</si>
  <si>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</si>
  <si>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</si>
  <si>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</si>
  <si>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</si>
  <si>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</si>
  <si>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</si>
  <si>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</si>
  <si>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</si>
  <si>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</si>
  <si>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</si>
  <si>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</si>
  <si>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</si>
  <si>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</si>
  <si>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</si>
  <si>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</si>
  <si>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</si>
  <si>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</si>
  <si>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</si>
  <si>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</si>
  <si>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</si>
  <si>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</si>
  <si>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</si>
  <si>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</si>
  <si>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</si>
  <si>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</si>
  <si>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</si>
  <si>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</si>
  <si>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</si>
  <si>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</si>
  <si>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</si>
  <si>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</si>
  <si>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</si>
  <si>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</si>
  <si>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</si>
  <si>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</si>
  <si>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</si>
  <si>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</si>
  <si>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</si>
  <si>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</si>
  <si>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</si>
  <si>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</si>
  <si>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</si>
  <si>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</si>
  <si>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</si>
  <si>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</si>
  <si>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</si>
  <si>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</si>
  <si>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</si>
  <si>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</si>
  <si>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</si>
  <si>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</si>
  <si>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</si>
  <si>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</si>
  <si>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</si>
  <si>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</si>
  <si>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</si>
  <si>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</si>
  <si>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</si>
  <si>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</si>
  <si>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</si>
  <si>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</si>
  <si>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</si>
  <si>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</si>
  <si>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</si>
  <si>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</si>
  <si>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</si>
  <si>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</si>
  <si>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</si>
  <si>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</si>
  <si>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</si>
  <si>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</si>
  <si>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</si>
  <si>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</si>
  <si>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</si>
  <si>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</si>
  <si>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</si>
  <si>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</si>
  <si>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</si>
  <si>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</si>
  <si>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</si>
  <si>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</si>
  <si>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</si>
  <si>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</si>
  <si>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</si>
  <si>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</si>
  <si>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</si>
  <si>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</si>
  <si>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</si>
  <si>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</si>
  <si>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</si>
  <si>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</si>
  <si>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</si>
  <si>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</si>
  <si>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</si>
  <si>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</si>
  <si>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</si>
  <si>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</si>
  <si>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</si>
  <si>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</si>
  <si>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</si>
  <si>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</si>
  <si>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</si>
  <si>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</si>
  <si>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</si>
  <si>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</si>
  <si>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</si>
  <si>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</si>
  <si>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</si>
  <si>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</si>
  <si>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</si>
  <si>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</si>
  <si>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</si>
  <si>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</si>
  <si>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</si>
  <si>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</si>
  <si>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</si>
  <si>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</si>
  <si>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</si>
  <si>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</si>
  <si>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</si>
  <si>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</si>
  <si>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</si>
  <si>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</si>
  <si>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</si>
  <si>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</si>
  <si>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</si>
  <si>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</si>
  <si>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</si>
  <si>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</si>
  <si>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</si>
  <si>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</si>
  <si>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</si>
  <si>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</si>
  <si>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</si>
  <si>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</si>
  <si>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</si>
  <si>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</si>
  <si>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</si>
  <si>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</si>
  <si>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</si>
  <si>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</si>
  <si>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</si>
  <si>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</si>
  <si>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</si>
  <si>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</si>
  <si>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</si>
  <si>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</si>
  <si>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</si>
  <si>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</si>
  <si>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</si>
  <si>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</si>
  <si>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</si>
  <si>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</si>
  <si>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</si>
  <si>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</si>
  <si>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</si>
  <si>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</si>
  <si>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</si>
  <si>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</si>
  <si>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</si>
  <si>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</si>
  <si>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</si>
  <si>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</si>
  <si>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</si>
  <si>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</si>
  <si>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</si>
  <si>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</si>
  <si>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</si>
  <si>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</si>
  <si>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</si>
  <si>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</si>
  <si>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</si>
  <si>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</si>
  <si>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</si>
  <si>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</si>
  <si>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</si>
  <si>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</si>
  <si>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</si>
  <si>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</si>
  <si>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</si>
  <si>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</si>
  <si>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</si>
  <si>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</si>
  <si>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</si>
  <si>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</si>
  <si>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</si>
  <si>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</si>
  <si>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</si>
  <si>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</si>
  <si>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</si>
  <si>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</si>
  <si>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</si>
  <si>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</si>
  <si>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</si>
  <si>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</si>
  <si>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</si>
  <si>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</si>
  <si>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</si>
  <si>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</si>
  <si>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</si>
  <si>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</si>
  <si>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</si>
  <si>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</si>
  <si>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</si>
  <si>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</si>
  <si>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</si>
  <si>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</si>
  <si>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</si>
  <si>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</si>
  <si>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</si>
  <si>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</si>
  <si>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</si>
  <si>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</si>
  <si>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</si>
  <si>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</si>
  <si>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</si>
  <si>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</si>
  <si>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</si>
  <si>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</si>
  <si>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</si>
  <si>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</si>
  <si>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</si>
  <si>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</si>
  <si>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</si>
  <si>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</si>
  <si>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</si>
  <si>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</si>
  <si>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</si>
  <si>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</si>
  <si>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</si>
  <si>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</si>
  <si>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</si>
  <si>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</si>
  <si>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</si>
  <si>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</si>
  <si>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</si>
  <si>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</si>
  <si>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</si>
  <si>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</si>
  <si>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</si>
  <si>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</si>
  <si>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</si>
  <si>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</si>
  <si>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</si>
  <si>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</si>
  <si>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</si>
  <si>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</si>
  <si>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</si>
  <si>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</si>
  <si>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</si>
  <si>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</si>
  <si>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</si>
  <si>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</si>
  <si>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</si>
  <si>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</si>
  <si>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</si>
  <si>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</si>
  <si>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</si>
  <si>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</si>
  <si>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</si>
  <si>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</si>
  <si>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</si>
  <si>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</si>
  <si>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</si>
  <si>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</si>
  <si>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</si>
  <si>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</si>
  <si>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</si>
  <si>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</si>
  <si>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</si>
  <si>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</si>
  <si>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</si>
  <si>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</si>
  <si>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</si>
  <si>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</si>
  <si>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</si>
  <si>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</si>
  <si>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</si>
  <si>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</si>
  <si>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</si>
  <si>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</si>
  <si>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</si>
  <si>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</si>
  <si>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</si>
  <si>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</si>
  <si>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</si>
  <si>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</si>
  <si>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</si>
  <si>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</si>
  <si>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</si>
  <si>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</si>
  <si>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</si>
  <si>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</si>
  <si>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</si>
  <si>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</si>
  <si>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</si>
  <si>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</si>
  <si>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</si>
  <si>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</si>
  <si>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</si>
  <si>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</si>
  <si>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</si>
  <si>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</si>
  <si>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</si>
  <si>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</si>
  <si>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</si>
  <si>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</si>
  <si>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</si>
  <si>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</si>
  <si>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</si>
  <si>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</si>
  <si>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</si>
  <si>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</si>
  <si>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</si>
  <si>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</si>
  <si>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</si>
  <si>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</si>
  <si>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</si>
  <si>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</si>
  <si>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</si>
  <si>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</si>
  <si>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</si>
  <si>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</si>
  <si>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</si>
  <si>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</si>
  <si>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</si>
  <si>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</si>
  <si>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</si>
  <si>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</si>
  <si>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</si>
  <si>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</si>
  <si>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</si>
  <si>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</si>
  <si>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</si>
  <si>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</si>
  <si>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</si>
  <si>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</si>
  <si>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</si>
  <si>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</si>
  <si>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</si>
  <si>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</si>
  <si>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</si>
  <si>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</si>
  <si>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</si>
  <si>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</si>
  <si>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</si>
  <si>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</si>
  <si>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</si>
  <si>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</si>
  <si>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</si>
  <si>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</si>
  <si>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</si>
  <si>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</si>
  <si>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</si>
  <si>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</si>
  <si>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</si>
  <si>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</si>
  <si>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</si>
  <si>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</si>
  <si>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</si>
  <si>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</si>
  <si>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</si>
  <si>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</si>
  <si>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</si>
  <si>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</si>
  <si>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</si>
  <si>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</si>
  <si>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</si>
  <si>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</si>
  <si>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</si>
  <si>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</si>
  <si>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</si>
  <si>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</si>
  <si>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</si>
  <si>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</si>
  <si>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</si>
  <si>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</si>
  <si>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</si>
  <si>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</si>
  <si>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</si>
  <si>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</si>
  <si>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</si>
  <si>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</si>
  <si>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</si>
  <si>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</si>
  <si>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</si>
  <si>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</si>
  <si>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</si>
  <si>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</si>
  <si>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</si>
  <si>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</si>
  <si>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</si>
  <si>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</si>
  <si>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</si>
  <si>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</si>
  <si>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</si>
  <si>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</si>
  <si>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</si>
  <si>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</si>
  <si>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</si>
  <si>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</si>
  <si>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</si>
  <si>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</si>
  <si>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</si>
  <si>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</si>
  <si>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</si>
  <si>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</si>
  <si>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</si>
  <si>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</si>
  <si>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</si>
  <si>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</si>
  <si>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</si>
  <si>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</si>
  <si>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</si>
  <si>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</si>
  <si>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</si>
  <si>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</si>
  <si>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</si>
  <si>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</si>
  <si>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</si>
  <si>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</si>
  <si>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</si>
  <si>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</si>
  <si>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</si>
  <si>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</si>
  <si>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</si>
  <si>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</si>
  <si>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</si>
  <si>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</si>
  <si>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</si>
  <si>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</si>
  <si>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</si>
  <si>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</si>
  <si>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</si>
  <si>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</si>
  <si>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</si>
  <si>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</si>
  <si>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</si>
  <si>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</si>
  <si>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</si>
  <si>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</si>
  <si>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</si>
  <si>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</si>
  <si>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</si>
  <si>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</si>
  <si>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</si>
  <si>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</si>
  <si>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</si>
  <si>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</si>
  <si>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</si>
  <si>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</si>
  <si>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</si>
  <si>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</si>
  <si>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</si>
  <si>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</si>
  <si>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</si>
  <si>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</si>
  <si>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</si>
  <si>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</si>
  <si>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</si>
  <si>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</si>
  <si>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</si>
  <si>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</si>
  <si>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</si>
  <si>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</si>
  <si>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</si>
  <si>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</si>
  <si>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</si>
  <si>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</si>
  <si>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</si>
  <si>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</si>
  <si>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</si>
  <si>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</si>
  <si>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</si>
  <si>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</si>
  <si>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</si>
  <si>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</si>
  <si>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</si>
  <si>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</si>
  <si>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</si>
  <si>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</si>
  <si>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</si>
  <si>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</si>
  <si>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</si>
  <si>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</si>
  <si>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</si>
  <si>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</si>
  <si>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</si>
  <si>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</si>
  <si>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</si>
  <si>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</si>
  <si>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</si>
  <si>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</si>
  <si>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</si>
  <si>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</si>
  <si>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</si>
  <si>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</si>
  <si>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</si>
  <si>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</si>
  <si>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</si>
  <si>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米龙·穆斯利奇、伯格斯塔勒、赫韦德斯</t>
    <phoneticPr fontId="1" type="noConversion"/>
  </si>
  <si>
    <t>斯卢茨基、别列祖茨基</t>
    <phoneticPr fontId="1" type="noConversion"/>
  </si>
  <si>
    <t>麦克法兰 、杨戬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</si>
  <si>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</si>
  <si>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</si>
  <si>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</si>
  <si>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</si>
  <si>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测试、理疗师 测试、助教 R-测试、运动主管 A-测试室、领队 A-测测测测、助教 C-得得得饿</t>
    <phoneticPr fontId="1" type="noConversion"/>
  </si>
  <si>
    <t>马雷克商业银行 600</t>
    <phoneticPr fontId="1" type="noConversion"/>
  </si>
  <si>
    <t>马雷克省投控 600</t>
    <phoneticPr fontId="1" type="noConversion"/>
  </si>
  <si>
    <t>东平县金控集团 700</t>
    <phoneticPr fontId="1" type="noConversion"/>
  </si>
  <si>
    <t>加西亚华人商会 1300</t>
    <phoneticPr fontId="1" type="noConversion"/>
  </si>
  <si>
    <t>中海外 1300</t>
    <phoneticPr fontId="1" type="noConversion"/>
  </si>
  <si>
    <t>里拉赫县议会</t>
    <phoneticPr fontId="1" type="noConversion"/>
  </si>
  <si>
    <t>加西亚穆斯林商会 500</t>
    <phoneticPr fontId="1" type="noConversion"/>
  </si>
  <si>
    <t>国家糖业集团 1200</t>
    <phoneticPr fontId="1" type="noConversion"/>
  </si>
  <si>
    <t>国家能投 1200</t>
    <phoneticPr fontId="1" type="noConversion"/>
  </si>
  <si>
    <t>瓦巴萨朱市议会 600</t>
    <phoneticPr fontId="1" type="noConversion"/>
  </si>
  <si>
    <t>瓦巴萨朱大学 400</t>
    <phoneticPr fontId="1" type="noConversion"/>
  </si>
  <si>
    <t>穆拉哈啤酒 400</t>
    <phoneticPr fontId="1" type="noConversion"/>
  </si>
  <si>
    <t>穆拉哈省议会 300</t>
    <phoneticPr fontId="1" type="noConversion"/>
  </si>
  <si>
    <t>加西亚荷兰人商会 600</t>
    <phoneticPr fontId="1" type="noConversion"/>
  </si>
  <si>
    <t>阿拉尼亚省金控集团 500</t>
    <phoneticPr fontId="1" type="noConversion"/>
  </si>
  <si>
    <t>群岛省议会 700</t>
    <phoneticPr fontId="1" type="noConversion"/>
  </si>
  <si>
    <t>总统基金会 500</t>
    <phoneticPr fontId="1" type="noConversion"/>
  </si>
  <si>
    <t>南太平洋大学 400</t>
    <phoneticPr fontId="1" type="noConversion"/>
  </si>
  <si>
    <t>色温国立理工 400</t>
    <phoneticPr fontId="1" type="noConversion"/>
  </si>
  <si>
    <t>斯波托普集团 700</t>
    <phoneticPr fontId="1" type="noConversion"/>
  </si>
  <si>
    <t>Ikea Garcia 600</t>
    <phoneticPr fontId="1" type="noConversion"/>
  </si>
  <si>
    <t>加西亚荷兰人商会 500</t>
    <phoneticPr fontId="1" type="noConversion"/>
  </si>
  <si>
    <t>拉阿纳矿业集团 500</t>
    <phoneticPr fontId="1" type="noConversion"/>
  </si>
  <si>
    <t>东木市议会 1000</t>
    <phoneticPr fontId="1" type="noConversion"/>
  </si>
  <si>
    <t>东木国信金控 300</t>
    <phoneticPr fontId="1" type="noConversion"/>
  </si>
  <si>
    <t>色温省政府 400</t>
    <phoneticPr fontId="1" type="noConversion"/>
  </si>
  <si>
    <t>国内某财团 600</t>
    <phoneticPr fontId="1" type="noConversion"/>
  </si>
  <si>
    <t>加西亚华人商会 400</t>
    <phoneticPr fontId="1" type="noConversion"/>
  </si>
  <si>
    <t>云南白药 200</t>
    <phoneticPr fontId="1" type="noConversion"/>
  </si>
  <si>
    <t>PIF 1200</t>
    <phoneticPr fontId="1" type="noConversion"/>
  </si>
  <si>
    <t>ARAMCO 200</t>
    <phoneticPr fontId="1" type="noConversion"/>
  </si>
  <si>
    <t>拉阿纳银行 500</t>
    <phoneticPr fontId="1" type="noConversion"/>
  </si>
  <si>
    <t>拉阿纳城投 300</t>
    <phoneticPr fontId="1" type="noConversion"/>
  </si>
  <si>
    <t>女王镇议会 1000</t>
    <phoneticPr fontId="1" type="noConversion"/>
  </si>
  <si>
    <t>可喜安集团 600</t>
    <phoneticPr fontId="1" type="noConversion"/>
  </si>
  <si>
    <t>Hyundai Garcia 400</t>
    <phoneticPr fontId="1" type="noConversion"/>
  </si>
  <si>
    <t>加西亚国家能投 400</t>
    <phoneticPr fontId="1" type="noConversion"/>
  </si>
  <si>
    <t>东平县议会 300</t>
    <phoneticPr fontId="1" type="noConversion"/>
  </si>
  <si>
    <t>BYD Garcia 200</t>
    <phoneticPr fontId="1" type="noConversion"/>
  </si>
  <si>
    <t>马雷克农业银行 11</t>
    <phoneticPr fontId="1" type="noConversion"/>
  </si>
  <si>
    <t>Boeing 200</t>
    <phoneticPr fontId="1" type="noConversion"/>
  </si>
  <si>
    <t>洛马 100</t>
    <phoneticPr fontId="1" type="noConversion"/>
  </si>
  <si>
    <t>斯波托普集团 600</t>
    <phoneticPr fontId="1" type="noConversion"/>
  </si>
  <si>
    <t>斯波托普岛议会 300</t>
    <phoneticPr fontId="1" type="noConversion"/>
  </si>
  <si>
    <t>阿塔尔德</t>
    <phoneticPr fontId="1" type="noConversion"/>
  </si>
  <si>
    <t>瓦巴萨朱树鸦</t>
    <phoneticPr fontId="1" type="noConversion"/>
  </si>
  <si>
    <t>努尔兰·乌鲁</t>
    <phoneticPr fontId="1" type="noConversion"/>
  </si>
  <si>
    <t>中场，后腰，前腰</t>
    <phoneticPr fontId="1" type="noConversion"/>
  </si>
  <si>
    <t>萨拉塔·辛格</t>
    <phoneticPr fontId="1" type="noConversion"/>
  </si>
  <si>
    <t>渡边·克莱恩</t>
    <phoneticPr fontId="1" type="noConversion"/>
  </si>
  <si>
    <t>克哲夫斯基</t>
    <phoneticPr fontId="1" type="noConversion"/>
  </si>
  <si>
    <t>山口良</t>
    <phoneticPr fontId="1" type="noConversion"/>
  </si>
  <si>
    <t>远藤·卡彭塔</t>
    <phoneticPr fontId="1" type="noConversion"/>
  </si>
  <si>
    <t>约瑟夫·伦德</t>
    <phoneticPr fontId="1" type="noConversion"/>
  </si>
  <si>
    <t>阿代瓦尔德</t>
    <phoneticPr fontId="1" type="noConversion"/>
  </si>
  <si>
    <t>黎光静</t>
    <phoneticPr fontId="1" type="noConversion"/>
  </si>
  <si>
    <t>克劳迪奥·马泰</t>
    <phoneticPr fontId="1" type="noConversion"/>
  </si>
  <si>
    <t>穆鲁库阿·苏马雷</t>
    <phoneticPr fontId="1" type="noConversion"/>
  </si>
  <si>
    <t>左右边锋，左右边中场</t>
    <phoneticPr fontId="1" type="noConversion"/>
  </si>
  <si>
    <t>查瓦里奥</t>
    <phoneticPr fontId="1" type="noConversion"/>
  </si>
  <si>
    <t>已退役</t>
    <phoneticPr fontId="1" type="noConversion"/>
  </si>
  <si>
    <t>基利安·姆巴佩</t>
    <phoneticPr fontId="1" type="noConversion"/>
  </si>
  <si>
    <t>法国，阿尔及利亚</t>
    <phoneticPr fontId="1" type="noConversion"/>
  </si>
  <si>
    <t>左右边锋，前锋</t>
    <phoneticPr fontId="1" type="noConversion"/>
  </si>
  <si>
    <t>奥根塔勒</t>
    <phoneticPr fontId="1" type="noConversion"/>
  </si>
  <si>
    <t>戴维森</t>
    <phoneticPr fontId="1" type="noConversion"/>
  </si>
  <si>
    <t>左边锋，左边中场，前腰</t>
    <phoneticPr fontId="1" type="noConversion"/>
  </si>
  <si>
    <t>杰米·瓦尔迪</t>
    <phoneticPr fontId="1" type="noConversion"/>
  </si>
  <si>
    <t>乔治·贝斯特</t>
    <phoneticPr fontId="1" type="noConversion"/>
  </si>
  <si>
    <t>北爱尔兰</t>
    <phoneticPr fontId="1" type="noConversion"/>
  </si>
  <si>
    <t>史蒂文·杰拉德</t>
    <phoneticPr fontId="1" type="noConversion"/>
  </si>
  <si>
    <t>中场，后腰，前腰，右边中场</t>
    <phoneticPr fontId="1" type="noConversion"/>
  </si>
  <si>
    <t>维吉尔·范戴克</t>
    <phoneticPr fontId="1" type="noConversion"/>
  </si>
  <si>
    <t>马库斯·拉什福德</t>
    <phoneticPr fontId="1" type="noConversion"/>
  </si>
  <si>
    <t>博尔达拉斯、[助教]古伊萨、[助教]R-博达拉斯、[助教]H-维尔德斯、[体能]J-哈维尔、[门将]F-加兰、[青年]T-穆尼奥斯</t>
    <phoneticPr fontId="1" type="noConversion"/>
  </si>
  <si>
    <t>斯坦利·门佐、[助教]拉米罗、[助教]维奇戈、[助教]J-维米尔、[总监]托尔加汉、[体能]F-索托、[经理]N-德容</t>
    <phoneticPr fontId="1" type="noConversion"/>
  </si>
  <si>
    <t>伊塔里亚诺、[助教]罗塞蒂、[助教]尼克里诺、[分析师]德尔奥迪、[总监]J-萨托利、[体能]N-普兰德利、[经理]马洛塔</t>
    <phoneticPr fontId="1" type="noConversion"/>
  </si>
  <si>
    <t>卢塞斯库、[分析师]普拉托夫、[助教]V-戈麦斯、[助教]A-博斯、[门将]库扎莫夫、[体能]V-库列巴、[总监]卢日尼</t>
    <phoneticPr fontId="1" type="noConversion"/>
  </si>
  <si>
    <t>J-勒夫、[助教]克林斯曼、[助教]M-索尔格、[助教]布瓦茨、[门将]科普克、[队医]沃尔法特、[青训]萨莫尔</t>
    <phoneticPr fontId="1" type="noConversion"/>
  </si>
  <si>
    <t>D-黑金、[助教]D-施耐德、[助教]杰兰、[助教]莱曼、[助教]查普萨特、[青训]博雷尔、[队医]J-布劳</t>
    <phoneticPr fontId="1" type="noConversion"/>
  </si>
  <si>
    <t>A-图兰、[助教]巴尔塔、[助教]戈尔、[助教]亚金、[助教]C-罗里洪、[青训]阿尔廷托普、[队医]S-坎贝尔</t>
    <phoneticPr fontId="1" type="noConversion"/>
  </si>
  <si>
    <t>车范根、[领队]车杜里、[助教]曹贵裁、[助教]李云在、[助教]徐正源、[体能]洪明甫</t>
    <phoneticPr fontId="1" type="noConversion"/>
  </si>
  <si>
    <t>F-卡纳瓦罗、[助教]扬科维奇、[助教]郑智、[助教]P-卡纳瓦罗、[助教]阿巴雷拉、[助教]弗雷斯特、[队医]阿拉莫</t>
    <phoneticPr fontId="1" type="noConversion"/>
  </si>
  <si>
    <t>M-克洛泽、[助教]陆博飞、[助教]埃雷尔森、[助教]武磊、[助教]吉翔</t>
    <phoneticPr fontId="1" type="noConversion"/>
  </si>
  <si>
    <t>伊拉奥拉、[体能]劳埃德、[分析]雷斯、[青训]R-科雷亚、[助教]S-库珀、[定位]D-瓦利亚、[领队]巴洛特利</t>
    <phoneticPr fontId="1" type="noConversion"/>
  </si>
  <si>
    <t>凯克·塞蒂恩、[助教]F-佩德罗、[助教]陶伟、[助教]隋东亮、[助教]卡瓦略、[门将]D-奥里亚、[青训]徐云龙</t>
    <phoneticPr fontId="1" type="noConversion"/>
  </si>
  <si>
    <t>韩鹏、[助教]金铉敏、[助教]A-洛佩斯、[助教]唐田、[门将]塞古拉、[体能]文虎一、[领队]宿茂臻</t>
    <phoneticPr fontId="1" type="noConversion"/>
  </si>
  <si>
    <t>伊斯特伍德球场</t>
    <phoneticPr fontId="1" type="noConversion"/>
  </si>
  <si>
    <t>康宁汉姆、[进攻]R-富勒、[战术]J-利略、[门将]波纳伊迪、[防守]莫纳克、[体能]蒙特罗、[青训]罗斯科</t>
    <phoneticPr fontId="1" type="noConversion"/>
  </si>
  <si>
    <t>斯科特·帕克、[进攻]W-鲁尼、[防守]霍兰德、[定位球]菲尔德、[门将]库尔、[队医]M-祖耶夫、[分析]J-奥利维</t>
    <phoneticPr fontId="1" type="noConversion"/>
  </si>
  <si>
    <t>蔡德勒、[助教]金东进、[助教]李光宰、[体能]J-万德雷、[战术]李正孝、[门将]金贤拱、[总监]金城南</t>
    <phoneticPr fontId="1" type="noConversion"/>
  </si>
  <si>
    <t>扬加、[进攻]卡罗尔、[队医]A-舒斯特尔、[助教]N-冈萨罗、[防守]L-梅迪纳、[分析]G-利蒙杰罗、[门将]I-沃克</t>
    <phoneticPr fontId="1" type="noConversion"/>
  </si>
  <si>
    <t>拉尔斯·拉格贝克、[分析]M-图洛尼、[助教]A-拉尼、[门将]M-特拉维萨、[经理]西格伊尔松、[助教]达尔蒙特、[队医]D-阿维</t>
    <phoneticPr fontId="1" type="noConversion"/>
  </si>
  <si>
    <t>克努特森、[分析]E-科斯塔德、[助教]高特、[门将]J-科斯塔德、[队医]曼斯维克、[总监]哈瓦尔德</t>
    <phoneticPr fontId="1" type="noConversion"/>
  </si>
  <si>
    <t>H-丰特、[进攻]S-格伯特、[战术]毛雷尔、[门将]菲迪斯、[防守]R-布纳多、[队医]伊提西亚、[青训]D-卢卡雷利</t>
    <phoneticPr fontId="1" type="noConversion"/>
  </si>
  <si>
    <t>奥斯卡·霍伊隆</t>
    <phoneticPr fontId="1" type="noConversion"/>
  </si>
  <si>
    <t>丹麦</t>
    <phoneticPr fontId="1" type="noConversion"/>
  </si>
  <si>
    <t>普拉蒂尼</t>
    <phoneticPr fontId="1" type="noConversion"/>
  </si>
  <si>
    <t>莱特·阿德里亚诺</t>
    <phoneticPr fontId="1" type="noConversion"/>
  </si>
  <si>
    <t>罗曼·亚历山德里尼</t>
    <phoneticPr fontId="1" type="noConversion"/>
  </si>
  <si>
    <t>前腰，中场</t>
    <phoneticPr fontId="1" type="noConversion"/>
  </si>
  <si>
    <t>斯蒂尔松</t>
    <phoneticPr fontId="1" type="noConversion"/>
  </si>
  <si>
    <t>瑞典</t>
    <phoneticPr fontId="1" type="noConversion"/>
  </si>
  <si>
    <t>武磊</t>
    <phoneticPr fontId="1" type="noConversion"/>
  </si>
  <si>
    <t>艾丁森·卡瓦尼</t>
    <phoneticPr fontId="1" type="noConversion"/>
  </si>
  <si>
    <t>乔治·曼库尔</t>
    <phoneticPr fontId="1" type="noConversion"/>
  </si>
  <si>
    <t>谢晖</t>
    <phoneticPr fontId="1" type="noConversion"/>
  </si>
  <si>
    <t>赵松源</t>
    <phoneticPr fontId="1" type="noConversion"/>
  </si>
  <si>
    <t>克莱因</t>
    <phoneticPr fontId="1" type="noConversion"/>
  </si>
  <si>
    <t>右边卫，中卫，后腰，右边飞翼，中场，右中场</t>
    <phoneticPr fontId="1" type="noConversion"/>
  </si>
  <si>
    <t>杰米·麦克拉伦</t>
    <phoneticPr fontId="1" type="noConversion"/>
  </si>
  <si>
    <t>罗尼·巴尔德吉</t>
    <phoneticPr fontId="1" type="noConversion"/>
  </si>
  <si>
    <t>瑞典、阿富汗</t>
    <phoneticPr fontId="1" type="noConversion"/>
  </si>
  <si>
    <t>右边锋</t>
    <phoneticPr fontId="1" type="noConversion"/>
  </si>
  <si>
    <t>斯克利尼亚尔</t>
    <phoneticPr fontId="1" type="noConversion"/>
  </si>
  <si>
    <t>斯洛文尼亚</t>
    <phoneticPr fontId="1" type="noConversion"/>
  </si>
  <si>
    <t>里杰卡尔德</t>
    <phoneticPr fontId="1" type="noConversion"/>
  </si>
  <si>
    <t>荷兰、苏里南</t>
    <phoneticPr fontId="1" type="noConversion"/>
  </si>
  <si>
    <t>魏群</t>
    <phoneticPr fontId="1" type="noConversion"/>
  </si>
  <si>
    <t>右边卫，右边中场</t>
    <phoneticPr fontId="1" type="noConversion"/>
  </si>
  <si>
    <t>保利尼奥</t>
    <phoneticPr fontId="1" type="noConversion"/>
  </si>
  <si>
    <t>三浦飒太</t>
    <phoneticPr fontId="1" type="noConversion"/>
  </si>
  <si>
    <t>塞尔吉奥·阿圭罗</t>
    <phoneticPr fontId="1" type="noConversion"/>
  </si>
  <si>
    <t>范志毅</t>
    <phoneticPr fontId="1" type="noConversion"/>
  </si>
  <si>
    <t>中卫，前锋，后腰</t>
    <phoneticPr fontId="1" type="noConversion"/>
  </si>
  <si>
    <t>曾诚</t>
    <phoneticPr fontId="1" type="noConversion"/>
  </si>
  <si>
    <t>于根伟、[助教]埃斯特万、[助教]哈维尔、[体能]J-加维兰、[门将]王略、[门将]昆戴、[分析]J-赫塞</t>
    <phoneticPr fontId="1" type="noConversion"/>
  </si>
  <si>
    <t>新达华哈海岸</t>
    <phoneticPr fontId="1" type="noConversion"/>
  </si>
  <si>
    <t>劳尔·吉梅内斯</t>
    <phoneticPr fontId="1" type="noConversion"/>
  </si>
  <si>
    <t>马尔科·罗伊斯</t>
    <phoneticPr fontId="1" type="noConversion"/>
  </si>
  <si>
    <t>前腰，左边锋，中场</t>
    <phoneticPr fontId="1" type="noConversion"/>
  </si>
  <si>
    <t>克里斯·伍德</t>
    <phoneticPr fontId="1" type="noConversion"/>
  </si>
  <si>
    <t>亚当·史密斯</t>
    <phoneticPr fontId="1" type="noConversion"/>
  </si>
  <si>
    <t>左右边后卫，右边飞翼</t>
    <phoneticPr fontId="1" type="noConversion"/>
  </si>
  <si>
    <t>安特·布季米尔</t>
    <phoneticPr fontId="1" type="noConversion"/>
  </si>
  <si>
    <t>克罗地亚、波黑</t>
    <phoneticPr fontId="1" type="noConversion"/>
  </si>
  <si>
    <t>优素福·贝拉伊利</t>
    <phoneticPr fontId="1" type="noConversion"/>
  </si>
  <si>
    <t>埃丁·哲科</t>
    <phoneticPr fontId="1" type="noConversion"/>
  </si>
  <si>
    <t>丹·伯恩</t>
    <phoneticPr fontId="1" type="noConversion"/>
  </si>
  <si>
    <t>中卫，左边卫</t>
    <phoneticPr fontId="1" type="noConversion"/>
  </si>
  <si>
    <t>安格尔·迪马利亚</t>
    <phoneticPr fontId="1" type="noConversion"/>
  </si>
  <si>
    <t>罗文·威廉姆斯</t>
    <phoneticPr fontId="1" type="noConversion"/>
  </si>
  <si>
    <t>左右边锋，左边中场</t>
    <phoneticPr fontId="1" type="noConversion"/>
  </si>
  <si>
    <t>郑好渊</t>
    <phoneticPr fontId="1" type="noConversion"/>
  </si>
  <si>
    <t>伊布拉辛·马萨</t>
    <phoneticPr fontId="1" type="noConversion"/>
  </si>
  <si>
    <t>中场，前腰，左边锋</t>
    <phoneticPr fontId="1" type="noConversion"/>
  </si>
  <si>
    <t>萨默德·巴扎尔</t>
    <phoneticPr fontId="1" type="noConversion"/>
  </si>
  <si>
    <t>埃唐·姆巴佩</t>
    <phoneticPr fontId="1" type="noConversion"/>
  </si>
  <si>
    <t>右边锋，右边中场，中场，前腰</t>
    <phoneticPr fontId="1" type="noConversion"/>
  </si>
  <si>
    <t>后腰</t>
    <phoneticPr fontId="1" type="noConversion"/>
  </si>
  <si>
    <t>乔丹·博斯</t>
    <phoneticPr fontId="1" type="noConversion"/>
  </si>
  <si>
    <t>杨斯·卡斯特罗普</t>
    <phoneticPr fontId="1" type="noConversion"/>
  </si>
  <si>
    <t>克里斯蒂安·谢潘迪</t>
    <phoneticPr fontId="1" type="noConversion"/>
  </si>
  <si>
    <t>阿尔巴尼亚</t>
    <phoneticPr fontId="1" type="noConversion"/>
  </si>
  <si>
    <t>吉尔伯托·莫拉</t>
    <phoneticPr fontId="1" type="noConversion"/>
  </si>
  <si>
    <t>穆罕默德·贝鲁米</t>
    <phoneticPr fontId="1" type="noConversion"/>
  </si>
  <si>
    <t>中场，右边锋</t>
    <phoneticPr fontId="1" type="noConversion"/>
  </si>
  <si>
    <t>马特克·米列维奇</t>
    <phoneticPr fontId="1" type="noConversion"/>
  </si>
  <si>
    <t>美国、波黑</t>
    <phoneticPr fontId="1" type="noConversion"/>
  </si>
  <si>
    <t>中场，左边锋，前腰</t>
    <phoneticPr fontId="1" type="noConversion"/>
  </si>
  <si>
    <t>周敏圭</t>
    <phoneticPr fontId="1" type="noConversion"/>
  </si>
  <si>
    <t>穆哈默德·图盖</t>
    <phoneticPr fontId="1" type="noConversion"/>
  </si>
  <si>
    <t>亚欣·蒂特鲁西</t>
    <phoneticPr fontId="1" type="noConversion"/>
  </si>
  <si>
    <t>阿明·吉格维奇</t>
    <phoneticPr fontId="1" type="noConversion"/>
  </si>
  <si>
    <t>里贝拉托·卡卡切</t>
    <phoneticPr fontId="1" type="noConversion"/>
  </si>
  <si>
    <t>帕特里克·牙孜别克</t>
    <phoneticPr fontId="1" type="noConversion"/>
  </si>
  <si>
    <t>佩德罗</t>
    <phoneticPr fontId="1" type="noConversion"/>
  </si>
  <si>
    <t>安迪尔·奥希切</t>
    <phoneticPr fontId="1" type="noConversion"/>
  </si>
  <si>
    <t>法国、阿尔及利亚</t>
    <phoneticPr fontId="1" type="noConversion"/>
  </si>
  <si>
    <t>安迪尔·布尔比纳</t>
    <phoneticPr fontId="1" type="noConversion"/>
  </si>
  <si>
    <t>藤田让留奇玛</t>
    <phoneticPr fontId="1" type="noConversion"/>
  </si>
  <si>
    <t>安杰洛·布吕克纳</t>
    <phoneticPr fontId="1" type="noConversion"/>
  </si>
  <si>
    <t>德国、菲律宾</t>
    <phoneticPr fontId="1" type="noConversion"/>
  </si>
  <si>
    <t>左右边后卫，后腰</t>
    <phoneticPr fontId="1" type="noConversion"/>
  </si>
  <si>
    <t>德尼斯·胡塞因巴希奇</t>
    <phoneticPr fontId="1" type="noConversion"/>
  </si>
  <si>
    <t>卡米埃尔·内格里</t>
    <phoneticPr fontId="1" type="noConversion"/>
  </si>
  <si>
    <t>李日成</t>
    <phoneticPr fontId="1" type="noConversion"/>
  </si>
  <si>
    <t>朝鲜</t>
    <phoneticPr fontId="1" type="noConversion"/>
  </si>
  <si>
    <t>阿莱克斯·保尔森</t>
    <phoneticPr fontId="1" type="noConversion"/>
  </si>
  <si>
    <t>新西兰、南非、纳米比亚</t>
    <phoneticPr fontId="1" type="noConversion"/>
  </si>
  <si>
    <t>阿尔内·恩格尔斯</t>
    <phoneticPr fontId="1" type="noConversion"/>
  </si>
  <si>
    <t>阿德里安·瑟格西奇</t>
    <phoneticPr fontId="1" type="noConversion"/>
  </si>
  <si>
    <t>澳大利亚、克罗地亚</t>
    <phoneticPr fontId="1" type="noConversion"/>
  </si>
  <si>
    <t>维尼修斯·托比亚斯</t>
    <phoneticPr fontId="1" type="noConversion"/>
  </si>
  <si>
    <t>右边卫，右边飞翼</t>
    <phoneticPr fontId="1" type="noConversion"/>
  </si>
  <si>
    <t>克里斯蒂安·沃尔帕托</t>
    <phoneticPr fontId="1" type="noConversion"/>
  </si>
  <si>
    <t>澳大利亚、意大利</t>
    <phoneticPr fontId="1" type="noConversion"/>
  </si>
  <si>
    <t>戴恩·卡库里</t>
    <phoneticPr fontId="1" type="noConversion"/>
  </si>
  <si>
    <t>瑞士、阿尔巴尼亚、科索沃</t>
    <phoneticPr fontId="1" type="noConversion"/>
  </si>
  <si>
    <t>亚历山德雷·乌吉加</t>
    <phoneticPr fontId="1" type="noConversion"/>
  </si>
  <si>
    <t>艾萨·曼迪</t>
    <phoneticPr fontId="1" type="noConversion"/>
  </si>
  <si>
    <t>穆罕默德·图雷</t>
    <phoneticPr fontId="1" type="noConversion"/>
  </si>
  <si>
    <t>谢尔盖·皮尼亚耶夫</t>
    <phoneticPr fontId="1" type="noConversion"/>
  </si>
  <si>
    <t>路易斯·哈萨</t>
    <phoneticPr fontId="1" type="noConversion"/>
  </si>
  <si>
    <t>意大利、阿尔巴尼亚</t>
    <phoneticPr fontId="1" type="noConversion"/>
  </si>
  <si>
    <t>埃德温·库尔图卢斯</t>
    <phoneticPr fontId="1" type="noConversion"/>
  </si>
  <si>
    <t>科索沃、意大利、阿尔巴尼亚</t>
    <phoneticPr fontId="1" type="noConversion"/>
  </si>
  <si>
    <t>右边后卫，中卫</t>
    <phoneticPr fontId="1" type="noConversion"/>
  </si>
  <si>
    <t>优素福·穆科科</t>
    <phoneticPr fontId="1" type="noConversion"/>
  </si>
  <si>
    <t>纳伊尔·奥梅洛维奇</t>
    <phoneticPr fontId="1" type="noConversion"/>
  </si>
  <si>
    <t>左边锋</t>
    <phoneticPr fontId="1" type="noConversion"/>
  </si>
  <si>
    <t>托马斯·格罗威尔</t>
    <phoneticPr fontId="1" type="noConversion"/>
  </si>
  <si>
    <t>雷·马纳伊</t>
    <phoneticPr fontId="1" type="noConversion"/>
  </si>
  <si>
    <t>罗马诺·墨索里尼</t>
    <phoneticPr fontId="1" type="noConversion"/>
  </si>
  <si>
    <t>右边卫，右边飞翼，右中场</t>
    <phoneticPr fontId="1" type="noConversion"/>
  </si>
  <si>
    <t>白佳音</t>
    <phoneticPr fontId="1" type="noConversion"/>
  </si>
  <si>
    <t>恩加德乌·恩加德久</t>
    <phoneticPr fontId="1" type="noConversion"/>
  </si>
  <si>
    <t>埃托尔·科尔多瓦</t>
    <phoneticPr fontId="1" type="noConversion"/>
  </si>
  <si>
    <t>马特乌斯·维塔尔</t>
    <phoneticPr fontId="1" type="noConversion"/>
  </si>
  <si>
    <t>前腰，中场，前锋</t>
    <phoneticPr fontId="1" type="noConversion"/>
  </si>
  <si>
    <t>雅各·迈达纳</t>
    <phoneticPr fontId="1" type="noConversion"/>
  </si>
  <si>
    <t>马尔康</t>
    <phoneticPr fontId="1" type="noConversion"/>
  </si>
  <si>
    <t>马蒂亚斯·巴尔加斯</t>
    <phoneticPr fontId="1" type="noConversion"/>
  </si>
  <si>
    <t>诺贝尔·门迪</t>
    <phoneticPr fontId="1" type="noConversion"/>
  </si>
  <si>
    <t>塞内加尔</t>
    <phoneticPr fontId="1" type="noConversion"/>
  </si>
  <si>
    <t>左边卫，中卫</t>
    <phoneticPr fontId="1" type="noConversion"/>
  </si>
  <si>
    <t>朱塞佩·博瓦利纳</t>
    <phoneticPr fontId="1" type="noConversion"/>
  </si>
  <si>
    <t>丹尼尔·约翰·斯卡鲁德</t>
    <phoneticPr fontId="1" type="noConversion"/>
  </si>
  <si>
    <t>泰国、挪威</t>
    <phoneticPr fontId="1" type="noConversion"/>
  </si>
  <si>
    <t>若纳斯·乌尔比格</t>
    <phoneticPr fontId="1" type="noConversion"/>
  </si>
  <si>
    <t>东木市租借到</t>
    <phoneticPr fontId="1" type="noConversion"/>
  </si>
  <si>
    <t>杰雷米·孟加</t>
    <phoneticPr fontId="1" type="noConversion"/>
  </si>
  <si>
    <t>被取消的球员</t>
    <phoneticPr fontId="1" type="noConversion"/>
  </si>
  <si>
    <t>前锋，左右边锋</t>
    <phoneticPr fontId="1" type="noConversion"/>
  </si>
  <si>
    <t>艾哈迈德·图巴</t>
    <phoneticPr fontId="1" type="noConversion"/>
  </si>
  <si>
    <t>奥斯卡·施瓦陶</t>
    <phoneticPr fontId="1" type="noConversion"/>
  </si>
  <si>
    <t>中场，右边锋，前腰</t>
    <phoneticPr fontId="1" type="noConversion"/>
  </si>
  <si>
    <t>坎布尔新吕伐登B</t>
  </si>
  <si>
    <t>坎布尔新吕伐登B</t>
    <phoneticPr fontId="1" type="noConversion"/>
  </si>
  <si>
    <t>奥顿兰富力</t>
  </si>
  <si>
    <t>奥顿兰富力</t>
    <phoneticPr fontId="1" type="noConversion"/>
  </si>
  <si>
    <t>穆罕默德·法尔希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</si>
</sst>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338" totalsRowShown="0" headerRowDxfId="31" dataDxfId="30">
  <autoFilter ref="A1:O1338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Row],[场均上座]]*95*20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8"/>
  <sheetViews>
    <sheetView tabSelected="1" topLeftCell="A1274" workbookViewId="0">
      <selection activeCell="L1305" sqref="L1305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1604</v>
      </c>
      <c r="B1" s="4" t="s">
        <v>1605</v>
      </c>
      <c r="C1" s="4" t="s">
        <v>1606</v>
      </c>
      <c r="D1" s="4" t="s">
        <v>1607</v>
      </c>
      <c r="E1" s="4" t="s">
        <v>1608</v>
      </c>
      <c r="F1" s="4" t="s">
        <v>1609</v>
      </c>
      <c r="G1" s="4" t="s">
        <v>1610</v>
      </c>
      <c r="H1" s="4" t="s">
        <v>1613</v>
      </c>
      <c r="I1" s="4" t="s">
        <v>1614</v>
      </c>
      <c r="J1" s="4" t="s">
        <v>1615</v>
      </c>
      <c r="K1" s="4" t="s">
        <v>1611</v>
      </c>
      <c r="L1" s="4" t="s">
        <v>1612</v>
      </c>
      <c r="M1" s="4" t="s">
        <v>1616</v>
      </c>
      <c r="N1" s="4" t="s">
        <v>1617</v>
      </c>
      <c r="O1" s="4" t="s">
        <v>1724</v>
      </c>
      <c r="Q1" s="4" t="s">
        <v>1979</v>
      </c>
      <c r="R1" s="4" t="s">
        <v>1980</v>
      </c>
      <c r="S1" s="4" t="s">
        <v>3174</v>
      </c>
    </row>
    <row r="2" spans="1:19" ht="14" customHeight="1" x14ac:dyDescent="0.3">
      <c r="A2" s="1" t="s">
        <v>1722</v>
      </c>
      <c r="B2" s="1">
        <v>32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 t="shared" ref="L2:L65" si="0"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1981</v>
      </c>
      <c r="S2" s="23" t="s">
        <v>3175</v>
      </c>
    </row>
    <row r="3" spans="1:19" ht="14" customHeight="1" x14ac:dyDescent="0.3">
      <c r="A3" s="1" t="s">
        <v>3</v>
      </c>
      <c r="B3" s="1">
        <v>36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si="0"/>
        <v>135</v>
      </c>
      <c r="M3" s="1"/>
      <c r="N3" s="1"/>
      <c r="O3" s="12" t="str">
        <f>IF($J3=Sheet2!$A$2, ROW(), "")</f>
        <v/>
      </c>
      <c r="Q3" s="23" t="s">
        <v>1982</v>
      </c>
    </row>
    <row r="4" spans="1:19" ht="14" customHeight="1" x14ac:dyDescent="0.3">
      <c r="A4" s="1" t="s">
        <v>4</v>
      </c>
      <c r="B4" s="1">
        <v>30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1983</v>
      </c>
    </row>
    <row r="5" spans="1:19" ht="14" customHeight="1" x14ac:dyDescent="0.3">
      <c r="A5" s="1" t="s">
        <v>6</v>
      </c>
      <c r="B5" s="1">
        <v>33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1984</v>
      </c>
    </row>
    <row r="6" spans="1:19" ht="14" customHeight="1" x14ac:dyDescent="0.3">
      <c r="A6" s="1" t="s">
        <v>7</v>
      </c>
      <c r="B6" s="1">
        <v>29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1985</v>
      </c>
    </row>
    <row r="7" spans="1:19" ht="14" customHeight="1" x14ac:dyDescent="0.3">
      <c r="A7" s="1" t="s">
        <v>9</v>
      </c>
      <c r="B7" s="1">
        <v>31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1986</v>
      </c>
    </row>
    <row r="8" spans="1:19" ht="14" customHeight="1" x14ac:dyDescent="0.3">
      <c r="A8" s="1" t="s">
        <v>12</v>
      </c>
      <c r="B8" s="1">
        <v>34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1987</v>
      </c>
    </row>
    <row r="9" spans="1:19" ht="14" customHeight="1" x14ac:dyDescent="0.3">
      <c r="A9" s="1" t="s">
        <v>13</v>
      </c>
      <c r="B9" s="1">
        <v>28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1988</v>
      </c>
    </row>
    <row r="10" spans="1:19" ht="14" customHeight="1" x14ac:dyDescent="0.3">
      <c r="A10" s="1" t="s">
        <v>14</v>
      </c>
      <c r="B10" s="1">
        <v>32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1989</v>
      </c>
    </row>
    <row r="11" spans="1:19" ht="14" customHeight="1" x14ac:dyDescent="0.3">
      <c r="A11" s="1" t="s">
        <v>16</v>
      </c>
      <c r="B11" s="1">
        <v>35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1990</v>
      </c>
    </row>
    <row r="12" spans="1:19" ht="14" customHeight="1" x14ac:dyDescent="0.3">
      <c r="A12" s="1" t="s">
        <v>18</v>
      </c>
      <c r="B12" s="1">
        <v>30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1991</v>
      </c>
    </row>
    <row r="13" spans="1:19" ht="14" customHeight="1" x14ac:dyDescent="0.3">
      <c r="A13" s="1" t="s">
        <v>20</v>
      </c>
      <c r="B13" s="1">
        <v>33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1992</v>
      </c>
    </row>
    <row r="14" spans="1:19" ht="14" customHeight="1" x14ac:dyDescent="0.3">
      <c r="A14" s="1" t="s">
        <v>22</v>
      </c>
      <c r="B14" s="1">
        <v>29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1993</v>
      </c>
    </row>
    <row r="15" spans="1:19" ht="14" customHeight="1" x14ac:dyDescent="0.3">
      <c r="A15" s="1" t="s">
        <v>24</v>
      </c>
      <c r="B15" s="1">
        <v>26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1994</v>
      </c>
    </row>
    <row r="16" spans="1:19" ht="14" customHeight="1" x14ac:dyDescent="0.3">
      <c r="A16" s="1" t="s">
        <v>25</v>
      </c>
      <c r="B16" s="1">
        <v>32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1995</v>
      </c>
    </row>
    <row r="17" spans="1:17" ht="14" customHeight="1" x14ac:dyDescent="0.3">
      <c r="A17" s="1" t="s">
        <v>26</v>
      </c>
      <c r="B17" s="1">
        <v>35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1996</v>
      </c>
    </row>
    <row r="18" spans="1:17" ht="14" customHeight="1" x14ac:dyDescent="0.3">
      <c r="A18" s="1" t="s">
        <v>27</v>
      </c>
      <c r="B18" s="1">
        <v>33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1997</v>
      </c>
    </row>
    <row r="19" spans="1:17" ht="14" customHeight="1" x14ac:dyDescent="0.3">
      <c r="A19" s="1" t="s">
        <v>29</v>
      </c>
      <c r="B19" s="1">
        <v>31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1998</v>
      </c>
    </row>
    <row r="20" spans="1:17" ht="14" customHeight="1" x14ac:dyDescent="0.3">
      <c r="A20" s="1" t="s">
        <v>30</v>
      </c>
      <c r="B20" s="1">
        <v>29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1999</v>
      </c>
    </row>
    <row r="21" spans="1:17" ht="14" customHeight="1" x14ac:dyDescent="0.3">
      <c r="A21" s="1" t="s">
        <v>31</v>
      </c>
      <c r="B21" s="1">
        <v>28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2000</v>
      </c>
    </row>
    <row r="22" spans="1:17" ht="14" customHeight="1" x14ac:dyDescent="0.3">
      <c r="A22" s="1" t="s">
        <v>32</v>
      </c>
      <c r="B22" s="1">
        <v>32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2001</v>
      </c>
    </row>
    <row r="23" spans="1:17" ht="14" customHeight="1" x14ac:dyDescent="0.3">
      <c r="A23" s="1" t="s">
        <v>33</v>
      </c>
      <c r="B23" s="1">
        <v>30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2002</v>
      </c>
    </row>
    <row r="24" spans="1:17" ht="14" customHeight="1" x14ac:dyDescent="0.3">
      <c r="A24" s="1" t="s">
        <v>35</v>
      </c>
      <c r="B24" s="1">
        <v>31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2003</v>
      </c>
    </row>
    <row r="25" spans="1:17" ht="14" customHeight="1" x14ac:dyDescent="0.3">
      <c r="A25" s="1" t="s">
        <v>36</v>
      </c>
      <c r="B25" s="1">
        <v>33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2004</v>
      </c>
    </row>
    <row r="26" spans="1:17" ht="14" customHeight="1" x14ac:dyDescent="0.3">
      <c r="A26" s="1" t="s">
        <v>39</v>
      </c>
      <c r="B26" s="1">
        <v>32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2005</v>
      </c>
    </row>
    <row r="27" spans="1:17" ht="14" customHeight="1" x14ac:dyDescent="0.3">
      <c r="A27" s="1" t="s">
        <v>41</v>
      </c>
      <c r="B27" s="1">
        <v>29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2006</v>
      </c>
    </row>
    <row r="28" spans="1:17" ht="14" customHeight="1" x14ac:dyDescent="0.3">
      <c r="A28" s="1" t="s">
        <v>42</v>
      </c>
      <c r="B28" s="1">
        <v>28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2007</v>
      </c>
    </row>
    <row r="29" spans="1:17" ht="14" customHeight="1" x14ac:dyDescent="0.3">
      <c r="A29" s="1" t="s">
        <v>43</v>
      </c>
      <c r="B29" s="1">
        <v>34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2008</v>
      </c>
    </row>
    <row r="30" spans="1:17" ht="14" customHeight="1" x14ac:dyDescent="0.3">
      <c r="A30" s="1" t="s">
        <v>44</v>
      </c>
      <c r="B30" s="1">
        <v>30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2009</v>
      </c>
    </row>
    <row r="31" spans="1:17" ht="14" customHeight="1" x14ac:dyDescent="0.3">
      <c r="A31" s="1" t="s">
        <v>45</v>
      </c>
      <c r="B31" s="1">
        <v>32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2010</v>
      </c>
    </row>
    <row r="32" spans="1:17" ht="14" customHeight="1" x14ac:dyDescent="0.3">
      <c r="A32" s="1" t="s">
        <v>46</v>
      </c>
      <c r="B32" s="1">
        <v>27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2011</v>
      </c>
    </row>
    <row r="33" spans="1:17" ht="14" customHeight="1" x14ac:dyDescent="0.3">
      <c r="A33" s="1" t="s">
        <v>47</v>
      </c>
      <c r="B33" s="1">
        <v>31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2012</v>
      </c>
    </row>
    <row r="34" spans="1:17" ht="14" customHeight="1" x14ac:dyDescent="0.3">
      <c r="A34" s="1" t="s">
        <v>48</v>
      </c>
      <c r="B34" s="1">
        <v>30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2013</v>
      </c>
    </row>
    <row r="35" spans="1:17" ht="14" customHeight="1" x14ac:dyDescent="0.3">
      <c r="A35" s="1" t="s">
        <v>49</v>
      </c>
      <c r="B35" s="1">
        <v>33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2014</v>
      </c>
    </row>
    <row r="36" spans="1:17" ht="14" customHeight="1" x14ac:dyDescent="0.3">
      <c r="A36" s="1" t="s">
        <v>50</v>
      </c>
      <c r="B36" s="1">
        <v>29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2015</v>
      </c>
    </row>
    <row r="37" spans="1:17" ht="14" customHeight="1" x14ac:dyDescent="0.3">
      <c r="A37" s="1" t="s">
        <v>52</v>
      </c>
      <c r="B37" s="1">
        <v>34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2016</v>
      </c>
    </row>
    <row r="38" spans="1:17" ht="14" customHeight="1" x14ac:dyDescent="0.3">
      <c r="A38" s="1" t="s">
        <v>53</v>
      </c>
      <c r="B38" s="1">
        <v>30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2017</v>
      </c>
    </row>
    <row r="39" spans="1:17" ht="14" customHeight="1" x14ac:dyDescent="0.3">
      <c r="A39" s="1" t="s">
        <v>54</v>
      </c>
      <c r="B39" s="1">
        <v>28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2018</v>
      </c>
    </row>
    <row r="40" spans="1:17" ht="14" customHeight="1" x14ac:dyDescent="0.3">
      <c r="A40" s="1" t="s">
        <v>55</v>
      </c>
      <c r="B40" s="1">
        <v>31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2019</v>
      </c>
    </row>
    <row r="41" spans="1:17" ht="14" customHeight="1" x14ac:dyDescent="0.3">
      <c r="A41" s="1" t="s">
        <v>56</v>
      </c>
      <c r="B41" s="1">
        <v>32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2020</v>
      </c>
    </row>
    <row r="42" spans="1:17" ht="14" customHeight="1" x14ac:dyDescent="0.3">
      <c r="A42" s="1" t="s">
        <v>57</v>
      </c>
      <c r="B42" s="1">
        <v>26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2021</v>
      </c>
    </row>
    <row r="43" spans="1:17" ht="14" customHeight="1" x14ac:dyDescent="0.3">
      <c r="A43" s="1" t="s">
        <v>58</v>
      </c>
      <c r="B43" s="1">
        <v>27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2022</v>
      </c>
    </row>
    <row r="44" spans="1:17" ht="14" customHeight="1" x14ac:dyDescent="0.3">
      <c r="A44" s="1" t="s">
        <v>59</v>
      </c>
      <c r="B44" s="1">
        <v>25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2023</v>
      </c>
    </row>
    <row r="45" spans="1:17" ht="14" customHeight="1" x14ac:dyDescent="0.3">
      <c r="A45" s="1" t="s">
        <v>60</v>
      </c>
      <c r="B45" s="1">
        <v>28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2024</v>
      </c>
    </row>
    <row r="46" spans="1:17" ht="14" customHeight="1" x14ac:dyDescent="0.3">
      <c r="A46" s="1" t="s">
        <v>61</v>
      </c>
      <c r="B46" s="1">
        <v>24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2025</v>
      </c>
    </row>
    <row r="47" spans="1:17" ht="14" customHeight="1" x14ac:dyDescent="0.3">
      <c r="A47" s="1" t="s">
        <v>62</v>
      </c>
      <c r="B47" s="1">
        <v>29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2026</v>
      </c>
    </row>
    <row r="48" spans="1:17" ht="14" customHeight="1" x14ac:dyDescent="0.3">
      <c r="A48" s="1" t="s">
        <v>63</v>
      </c>
      <c r="B48" s="1">
        <v>26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2027</v>
      </c>
    </row>
    <row r="49" spans="1:17" ht="14" customHeight="1" x14ac:dyDescent="0.3">
      <c r="A49" s="1" t="s">
        <v>64</v>
      </c>
      <c r="B49" s="1">
        <v>27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2028</v>
      </c>
    </row>
    <row r="50" spans="1:17" ht="14" customHeight="1" x14ac:dyDescent="0.3">
      <c r="A50" s="1" t="s">
        <v>65</v>
      </c>
      <c r="B50" s="1">
        <v>25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2029</v>
      </c>
    </row>
    <row r="51" spans="1:17" ht="14" customHeight="1" x14ac:dyDescent="0.3">
      <c r="A51" s="1" t="s">
        <v>66</v>
      </c>
      <c r="B51" s="1">
        <v>28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2030</v>
      </c>
    </row>
    <row r="52" spans="1:17" ht="14" customHeight="1" x14ac:dyDescent="0.3">
      <c r="A52" s="1" t="s">
        <v>67</v>
      </c>
      <c r="B52" s="1">
        <v>24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2031</v>
      </c>
    </row>
    <row r="53" spans="1:17" ht="14" customHeight="1" x14ac:dyDescent="0.3">
      <c r="A53" s="1" t="s">
        <v>68</v>
      </c>
      <c r="B53" s="1">
        <v>26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2032</v>
      </c>
    </row>
    <row r="54" spans="1:17" ht="14" customHeight="1" x14ac:dyDescent="0.3">
      <c r="A54" s="1" t="s">
        <v>69</v>
      </c>
      <c r="B54" s="1">
        <v>23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2033</v>
      </c>
    </row>
    <row r="55" spans="1:17" ht="14" customHeight="1" x14ac:dyDescent="0.3">
      <c r="A55" s="1" t="s">
        <v>70</v>
      </c>
      <c r="B55" s="1">
        <v>28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2034</v>
      </c>
    </row>
    <row r="56" spans="1:17" ht="14" customHeight="1" x14ac:dyDescent="0.3">
      <c r="A56" s="1" t="s">
        <v>71</v>
      </c>
      <c r="B56" s="1">
        <v>27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2035</v>
      </c>
    </row>
    <row r="57" spans="1:17" ht="14" customHeight="1" x14ac:dyDescent="0.3">
      <c r="A57" s="1" t="s">
        <v>72</v>
      </c>
      <c r="B57" s="1">
        <v>26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2036</v>
      </c>
    </row>
    <row r="58" spans="1:17" ht="14" customHeight="1" x14ac:dyDescent="0.3">
      <c r="A58" s="1" t="s">
        <v>73</v>
      </c>
      <c r="B58" s="1">
        <v>29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2037</v>
      </c>
    </row>
    <row r="59" spans="1:17" ht="14" customHeight="1" x14ac:dyDescent="0.3">
      <c r="A59" s="1" t="s">
        <v>74</v>
      </c>
      <c r="B59" s="1">
        <v>28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2038</v>
      </c>
    </row>
    <row r="60" spans="1:17" ht="14" customHeight="1" x14ac:dyDescent="0.3">
      <c r="A60" s="1" t="s">
        <v>75</v>
      </c>
      <c r="B60" s="1">
        <v>27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2039</v>
      </c>
    </row>
    <row r="61" spans="1:17" ht="14" customHeight="1" x14ac:dyDescent="0.3">
      <c r="A61" s="1" t="s">
        <v>76</v>
      </c>
      <c r="B61" s="1">
        <v>25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2040</v>
      </c>
    </row>
    <row r="62" spans="1:17" ht="14" customHeight="1" x14ac:dyDescent="0.3">
      <c r="A62" s="1" t="s">
        <v>77</v>
      </c>
      <c r="B62" s="1">
        <v>26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2041</v>
      </c>
    </row>
    <row r="63" spans="1:17" ht="14" customHeight="1" x14ac:dyDescent="0.3">
      <c r="A63" s="1" t="s">
        <v>78</v>
      </c>
      <c r="B63" s="1">
        <v>29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2042</v>
      </c>
    </row>
    <row r="64" spans="1:17" ht="14" customHeight="1" x14ac:dyDescent="0.3">
      <c r="A64" s="1" t="s">
        <v>79</v>
      </c>
      <c r="B64" s="1">
        <v>28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2043</v>
      </c>
    </row>
    <row r="65" spans="1:17" ht="14" customHeight="1" x14ac:dyDescent="0.3">
      <c r="A65" s="1" t="s">
        <v>80</v>
      </c>
      <c r="B65" s="1">
        <v>28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2044</v>
      </c>
    </row>
    <row r="66" spans="1:17" ht="14" customHeight="1" x14ac:dyDescent="0.3">
      <c r="A66" s="1" t="s">
        <v>81</v>
      </c>
      <c r="B66" s="1">
        <v>27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ref="L66:L129" si="1">I66*5</f>
        <v>230</v>
      </c>
      <c r="M66" s="1"/>
      <c r="N66" s="1"/>
      <c r="O66" s="12" t="str">
        <f>IF($J66=Sheet2!$A$2, ROW(), "")</f>
        <v/>
      </c>
      <c r="Q66" s="23" t="s">
        <v>2045</v>
      </c>
    </row>
    <row r="67" spans="1:17" ht="14" customHeight="1" x14ac:dyDescent="0.3">
      <c r="A67" s="1" t="s">
        <v>82</v>
      </c>
      <c r="B67" s="1">
        <v>23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si="1"/>
        <v>85</v>
      </c>
      <c r="M67" s="1"/>
      <c r="N67" s="1"/>
      <c r="O67" s="12" t="str">
        <f>IF($J67=Sheet2!$A$2, ROW(), "")</f>
        <v/>
      </c>
      <c r="Q67" s="23" t="s">
        <v>2046</v>
      </c>
    </row>
    <row r="68" spans="1:17" ht="14" customHeight="1" x14ac:dyDescent="0.3">
      <c r="A68" s="1" t="s">
        <v>84</v>
      </c>
      <c r="B68" s="1">
        <v>24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2047</v>
      </c>
    </row>
    <row r="69" spans="1:17" ht="14" customHeight="1" x14ac:dyDescent="0.3">
      <c r="A69" s="1" t="s">
        <v>85</v>
      </c>
      <c r="B69" s="1">
        <v>23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2048</v>
      </c>
    </row>
    <row r="70" spans="1:17" ht="14" customHeight="1" x14ac:dyDescent="0.3">
      <c r="A70" s="1" t="s">
        <v>86</v>
      </c>
      <c r="B70" s="1">
        <v>24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2049</v>
      </c>
    </row>
    <row r="71" spans="1:17" ht="14" customHeight="1" x14ac:dyDescent="0.3">
      <c r="A71" s="1" t="s">
        <v>87</v>
      </c>
      <c r="B71" s="1">
        <v>27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2050</v>
      </c>
    </row>
    <row r="72" spans="1:17" ht="14" customHeight="1" x14ac:dyDescent="0.3">
      <c r="A72" s="1" t="s">
        <v>88</v>
      </c>
      <c r="B72" s="1">
        <v>24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2051</v>
      </c>
    </row>
    <row r="73" spans="1:17" ht="14" customHeight="1" x14ac:dyDescent="0.3">
      <c r="A73" s="1" t="s">
        <v>89</v>
      </c>
      <c r="B73" s="1">
        <v>23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2052</v>
      </c>
    </row>
    <row r="74" spans="1:17" ht="14" customHeight="1" x14ac:dyDescent="0.3">
      <c r="A74" s="1" t="s">
        <v>90</v>
      </c>
      <c r="B74" s="1">
        <v>28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2053</v>
      </c>
    </row>
    <row r="75" spans="1:17" ht="14" customHeight="1" x14ac:dyDescent="0.3">
      <c r="A75" s="1" t="s">
        <v>92</v>
      </c>
      <c r="B75" s="1">
        <v>27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2054</v>
      </c>
    </row>
    <row r="76" spans="1:17" ht="14" customHeight="1" x14ac:dyDescent="0.3">
      <c r="A76" s="1" t="s">
        <v>93</v>
      </c>
      <c r="B76" s="1">
        <v>27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2055</v>
      </c>
    </row>
    <row r="77" spans="1:17" ht="14" customHeight="1" x14ac:dyDescent="0.3">
      <c r="A77" s="1" t="s">
        <v>94</v>
      </c>
      <c r="B77" s="1">
        <v>32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2056</v>
      </c>
    </row>
    <row r="78" spans="1:17" ht="14" customHeight="1" x14ac:dyDescent="0.3">
      <c r="A78" s="1" t="s">
        <v>95</v>
      </c>
      <c r="B78" s="1">
        <v>28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2057</v>
      </c>
    </row>
    <row r="79" spans="1:17" ht="14" customHeight="1" x14ac:dyDescent="0.3">
      <c r="A79" s="1" t="s">
        <v>96</v>
      </c>
      <c r="B79" s="1">
        <v>31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2058</v>
      </c>
    </row>
    <row r="80" spans="1:17" ht="14" customHeight="1" x14ac:dyDescent="0.3">
      <c r="A80" s="1" t="s">
        <v>97</v>
      </c>
      <c r="B80" s="1">
        <v>30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2059</v>
      </c>
    </row>
    <row r="81" spans="1:17" ht="14" customHeight="1" x14ac:dyDescent="0.3">
      <c r="A81" s="1" t="s">
        <v>99</v>
      </c>
      <c r="B81" s="1">
        <v>33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2060</v>
      </c>
    </row>
    <row r="82" spans="1:17" ht="14" customHeight="1" x14ac:dyDescent="0.3">
      <c r="A82" s="1" t="s">
        <v>101</v>
      </c>
      <c r="B82" s="1">
        <v>34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2061</v>
      </c>
    </row>
    <row r="83" spans="1:17" ht="14" customHeight="1" x14ac:dyDescent="0.3">
      <c r="A83" s="1" t="s">
        <v>102</v>
      </c>
      <c r="B83" s="1">
        <v>33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2062</v>
      </c>
    </row>
    <row r="84" spans="1:17" ht="14" customHeight="1" x14ac:dyDescent="0.3">
      <c r="A84" s="1" t="s">
        <v>103</v>
      </c>
      <c r="B84" s="1">
        <v>34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2063</v>
      </c>
    </row>
    <row r="85" spans="1:17" ht="14" customHeight="1" x14ac:dyDescent="0.3">
      <c r="A85" s="1" t="s">
        <v>104</v>
      </c>
      <c r="B85" s="1">
        <v>37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2064</v>
      </c>
    </row>
    <row r="86" spans="1:17" ht="14" customHeight="1" x14ac:dyDescent="0.3">
      <c r="A86" s="1" t="s">
        <v>105</v>
      </c>
      <c r="B86" s="1">
        <v>32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2065</v>
      </c>
    </row>
    <row r="87" spans="1:17" ht="14" customHeight="1" x14ac:dyDescent="0.3">
      <c r="A87" s="1" t="s">
        <v>106</v>
      </c>
      <c r="B87" s="1">
        <v>37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2066</v>
      </c>
    </row>
    <row r="88" spans="1:17" ht="14" customHeight="1" x14ac:dyDescent="0.3">
      <c r="A88" s="1" t="s">
        <v>107</v>
      </c>
      <c r="B88" s="1">
        <v>39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2067</v>
      </c>
    </row>
    <row r="89" spans="1:17" ht="14" customHeight="1" x14ac:dyDescent="0.3">
      <c r="A89" s="1" t="s">
        <v>110</v>
      </c>
      <c r="B89" s="1">
        <v>31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1735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2068</v>
      </c>
    </row>
    <row r="90" spans="1:17" ht="14" customHeight="1" x14ac:dyDescent="0.3">
      <c r="A90" s="1" t="s">
        <v>112</v>
      </c>
      <c r="B90" s="1">
        <v>28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1735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2069</v>
      </c>
    </row>
    <row r="91" spans="1:17" ht="14" customHeight="1" x14ac:dyDescent="0.3">
      <c r="A91" s="1" t="s">
        <v>113</v>
      </c>
      <c r="B91" s="1">
        <v>30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1735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2070</v>
      </c>
    </row>
    <row r="92" spans="1:17" ht="14" customHeight="1" x14ac:dyDescent="0.3">
      <c r="A92" s="1" t="s">
        <v>114</v>
      </c>
      <c r="B92" s="1">
        <v>32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1735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2071</v>
      </c>
    </row>
    <row r="93" spans="1:17" ht="14" customHeight="1" x14ac:dyDescent="0.3">
      <c r="A93" s="1" t="s">
        <v>115</v>
      </c>
      <c r="B93" s="1">
        <v>29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1735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2072</v>
      </c>
    </row>
    <row r="94" spans="1:17" ht="14" customHeight="1" x14ac:dyDescent="0.3">
      <c r="A94" s="1" t="s">
        <v>116</v>
      </c>
      <c r="B94" s="1">
        <v>27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1735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2073</v>
      </c>
    </row>
    <row r="95" spans="1:17" ht="14" customHeight="1" x14ac:dyDescent="0.3">
      <c r="A95" s="1" t="s">
        <v>117</v>
      </c>
      <c r="B95" s="1">
        <v>33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1735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2074</v>
      </c>
    </row>
    <row r="96" spans="1:17" ht="14" customHeight="1" x14ac:dyDescent="0.3">
      <c r="A96" s="1" t="s">
        <v>118</v>
      </c>
      <c r="B96" s="1">
        <v>28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1735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2075</v>
      </c>
    </row>
    <row r="97" spans="1:17" ht="14" customHeight="1" x14ac:dyDescent="0.3">
      <c r="A97" s="1" t="s">
        <v>119</v>
      </c>
      <c r="B97" s="1">
        <v>30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1735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2076</v>
      </c>
    </row>
    <row r="98" spans="1:17" ht="14" customHeight="1" x14ac:dyDescent="0.3">
      <c r="A98" s="1" t="s">
        <v>120</v>
      </c>
      <c r="B98" s="1">
        <v>31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1735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2077</v>
      </c>
    </row>
    <row r="99" spans="1:17" ht="14" customHeight="1" x14ac:dyDescent="0.3">
      <c r="A99" s="1" t="s">
        <v>122</v>
      </c>
      <c r="B99" s="1">
        <v>28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2078</v>
      </c>
    </row>
    <row r="100" spans="1:17" ht="14" customHeight="1" x14ac:dyDescent="0.3">
      <c r="A100" s="1" t="s">
        <v>123</v>
      </c>
      <c r="B100" s="1">
        <v>25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1735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2079</v>
      </c>
    </row>
    <row r="101" spans="1:17" ht="14" customHeight="1" x14ac:dyDescent="0.3">
      <c r="A101" s="1" t="s">
        <v>125</v>
      </c>
      <c r="B101" s="1">
        <v>27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1735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2080</v>
      </c>
    </row>
    <row r="102" spans="1:17" ht="14" customHeight="1" x14ac:dyDescent="0.3">
      <c r="A102" s="1" t="s">
        <v>126</v>
      </c>
      <c r="B102" s="1">
        <v>30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2081</v>
      </c>
    </row>
    <row r="103" spans="1:17" ht="14" customHeight="1" x14ac:dyDescent="0.3">
      <c r="A103" s="1" t="s">
        <v>127</v>
      </c>
      <c r="B103" s="1">
        <v>29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1735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2082</v>
      </c>
    </row>
    <row r="104" spans="1:17" ht="14" customHeight="1" x14ac:dyDescent="0.3">
      <c r="A104" s="1" t="s">
        <v>128</v>
      </c>
      <c r="B104" s="1">
        <v>25</v>
      </c>
      <c r="C104" s="1" t="s">
        <v>121</v>
      </c>
      <c r="D104" s="1">
        <v>183</v>
      </c>
      <c r="E104" s="1">
        <v>82</v>
      </c>
      <c r="F104" s="1">
        <v>140</v>
      </c>
      <c r="G104" s="1">
        <v>140</v>
      </c>
      <c r="H104" s="1" t="s">
        <v>129</v>
      </c>
      <c r="I104" s="1">
        <v>250</v>
      </c>
      <c r="J104" s="1" t="s">
        <v>1762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2083</v>
      </c>
    </row>
    <row r="105" spans="1:17" ht="14" customHeight="1" x14ac:dyDescent="0.3">
      <c r="A105" s="1" t="s">
        <v>131</v>
      </c>
      <c r="B105" s="1">
        <v>31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1735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2084</v>
      </c>
    </row>
    <row r="106" spans="1:17" ht="14" customHeight="1" x14ac:dyDescent="0.3">
      <c r="A106" s="1" t="s">
        <v>132</v>
      </c>
      <c r="B106" s="1">
        <v>28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1735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2085</v>
      </c>
    </row>
    <row r="107" spans="1:17" ht="14" customHeight="1" x14ac:dyDescent="0.3">
      <c r="A107" s="1" t="s">
        <v>133</v>
      </c>
      <c r="B107" s="1">
        <v>27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1735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2086</v>
      </c>
    </row>
    <row r="108" spans="1:17" ht="14" customHeight="1" x14ac:dyDescent="0.3">
      <c r="A108" s="1" t="s">
        <v>134</v>
      </c>
      <c r="B108" s="1">
        <v>29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1735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2087</v>
      </c>
    </row>
    <row r="109" spans="1:17" ht="14" customHeight="1" x14ac:dyDescent="0.3">
      <c r="A109" s="1" t="s">
        <v>135</v>
      </c>
      <c r="B109" s="1">
        <v>30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2088</v>
      </c>
    </row>
    <row r="110" spans="1:17" ht="14" customHeight="1" x14ac:dyDescent="0.3">
      <c r="A110" s="1" t="s">
        <v>136</v>
      </c>
      <c r="B110" s="1">
        <v>32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2089</v>
      </c>
    </row>
    <row r="111" spans="1:17" ht="14" customHeight="1" x14ac:dyDescent="0.3">
      <c r="A111" s="1" t="s">
        <v>137</v>
      </c>
      <c r="B111" s="1">
        <v>28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2090</v>
      </c>
    </row>
    <row r="112" spans="1:17" ht="14" customHeight="1" x14ac:dyDescent="0.3">
      <c r="A112" s="1" t="s">
        <v>138</v>
      </c>
      <c r="B112" s="1">
        <v>31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1735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2091</v>
      </c>
    </row>
    <row r="113" spans="1:17" ht="14" customHeight="1" x14ac:dyDescent="0.3">
      <c r="A113" s="1" t="s">
        <v>139</v>
      </c>
      <c r="B113" s="1">
        <v>31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2092</v>
      </c>
    </row>
    <row r="114" spans="1:17" ht="14" customHeight="1" x14ac:dyDescent="0.3">
      <c r="A114" s="1" t="s">
        <v>140</v>
      </c>
      <c r="B114" s="1">
        <v>26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2093</v>
      </c>
    </row>
    <row r="115" spans="1:17" ht="14" customHeight="1" x14ac:dyDescent="0.3">
      <c r="A115" s="1" t="s">
        <v>141</v>
      </c>
      <c r="B115" s="1">
        <v>28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2094</v>
      </c>
    </row>
    <row r="116" spans="1:17" ht="14" customHeight="1" x14ac:dyDescent="0.3">
      <c r="A116" s="1" t="s">
        <v>142</v>
      </c>
      <c r="B116" s="1">
        <v>29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2095</v>
      </c>
    </row>
    <row r="117" spans="1:17" ht="14" customHeight="1" x14ac:dyDescent="0.3">
      <c r="A117" s="1" t="s">
        <v>143</v>
      </c>
      <c r="B117" s="1">
        <v>28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2096</v>
      </c>
    </row>
    <row r="118" spans="1:17" ht="14" customHeight="1" x14ac:dyDescent="0.3">
      <c r="A118" s="1" t="s">
        <v>144</v>
      </c>
      <c r="B118" s="1">
        <v>26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2097</v>
      </c>
    </row>
    <row r="119" spans="1:17" ht="14" customHeight="1" x14ac:dyDescent="0.3">
      <c r="A119" s="1" t="s">
        <v>145</v>
      </c>
      <c r="B119" s="1">
        <v>30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2098</v>
      </c>
    </row>
    <row r="120" spans="1:17" ht="14" customHeight="1" x14ac:dyDescent="0.3">
      <c r="A120" s="1" t="s">
        <v>146</v>
      </c>
      <c r="B120" s="1">
        <v>31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2099</v>
      </c>
    </row>
    <row r="121" spans="1:17" ht="14" customHeight="1" x14ac:dyDescent="0.3">
      <c r="A121" s="1" t="s">
        <v>147</v>
      </c>
      <c r="B121" s="1">
        <v>29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2100</v>
      </c>
    </row>
    <row r="122" spans="1:17" ht="14" customHeight="1" x14ac:dyDescent="0.3">
      <c r="A122" s="1" t="s">
        <v>148</v>
      </c>
      <c r="B122" s="1">
        <v>28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2101</v>
      </c>
    </row>
    <row r="123" spans="1:17" ht="14" customHeight="1" x14ac:dyDescent="0.3">
      <c r="A123" s="1" t="s">
        <v>149</v>
      </c>
      <c r="B123" s="1">
        <v>33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2102</v>
      </c>
    </row>
    <row r="124" spans="1:17" ht="14" customHeight="1" x14ac:dyDescent="0.3">
      <c r="A124" s="1" t="s">
        <v>150</v>
      </c>
      <c r="B124" s="1">
        <v>32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2103</v>
      </c>
    </row>
    <row r="125" spans="1:17" ht="14" customHeight="1" x14ac:dyDescent="0.3">
      <c r="A125" s="1" t="s">
        <v>151</v>
      </c>
      <c r="B125" s="1">
        <v>33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2104</v>
      </c>
    </row>
    <row r="126" spans="1:17" ht="14" customHeight="1" x14ac:dyDescent="0.3">
      <c r="A126" s="1" t="s">
        <v>152</v>
      </c>
      <c r="B126" s="1">
        <v>31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2105</v>
      </c>
    </row>
    <row r="127" spans="1:17" ht="14" customHeight="1" x14ac:dyDescent="0.3">
      <c r="A127" s="1" t="s">
        <v>153</v>
      </c>
      <c r="B127" s="1">
        <v>32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2106</v>
      </c>
    </row>
    <row r="128" spans="1:17" ht="14" customHeight="1" x14ac:dyDescent="0.3">
      <c r="A128" s="1" t="s">
        <v>154</v>
      </c>
      <c r="B128" s="1">
        <v>34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2107</v>
      </c>
    </row>
    <row r="129" spans="1:17" ht="14" customHeight="1" x14ac:dyDescent="0.3">
      <c r="A129" s="1" t="s">
        <v>155</v>
      </c>
      <c r="B129" s="1">
        <v>33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2108</v>
      </c>
    </row>
    <row r="130" spans="1:17" ht="14" customHeight="1" x14ac:dyDescent="0.3">
      <c r="A130" s="1" t="s">
        <v>156</v>
      </c>
      <c r="B130" s="1">
        <v>31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ref="L130:L193" si="2">I130*5</f>
        <v>335</v>
      </c>
      <c r="M130" s="1"/>
      <c r="N130" s="1"/>
      <c r="O130" s="12" t="str">
        <f>IF($J130=Sheet2!$A$2, ROW(), "")</f>
        <v/>
      </c>
      <c r="Q130" s="23" t="s">
        <v>2109</v>
      </c>
    </row>
    <row r="131" spans="1:17" ht="14" customHeight="1" x14ac:dyDescent="0.3">
      <c r="A131" s="1" t="s">
        <v>157</v>
      </c>
      <c r="B131" s="1">
        <v>32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si="2"/>
        <v>360</v>
      </c>
      <c r="M131" s="1"/>
      <c r="N131" s="1"/>
      <c r="O131" s="12" t="str">
        <f>IF($J131=Sheet2!$A$2, ROW(), "")</f>
        <v/>
      </c>
      <c r="Q131" s="23" t="s">
        <v>2110</v>
      </c>
    </row>
    <row r="132" spans="1:17" ht="14" customHeight="1" x14ac:dyDescent="0.3">
      <c r="A132" s="1" t="s">
        <v>158</v>
      </c>
      <c r="B132" s="1">
        <v>30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2111</v>
      </c>
    </row>
    <row r="133" spans="1:17" ht="14" customHeight="1" x14ac:dyDescent="0.3">
      <c r="A133" s="1" t="s">
        <v>159</v>
      </c>
      <c r="B133" s="1">
        <v>34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2112</v>
      </c>
    </row>
    <row r="134" spans="1:17" ht="14" customHeight="1" x14ac:dyDescent="0.3">
      <c r="A134" s="1" t="s">
        <v>160</v>
      </c>
      <c r="B134" s="1">
        <v>31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2113</v>
      </c>
    </row>
    <row r="135" spans="1:17" ht="14" customHeight="1" x14ac:dyDescent="0.3">
      <c r="A135" s="1" t="s">
        <v>161</v>
      </c>
      <c r="B135" s="1">
        <v>32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2114</v>
      </c>
    </row>
    <row r="136" spans="1:17" ht="14" customHeight="1" x14ac:dyDescent="0.3">
      <c r="A136" s="1" t="s">
        <v>162</v>
      </c>
      <c r="B136" s="1">
        <v>31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2115</v>
      </c>
    </row>
    <row r="137" spans="1:17" ht="14" customHeight="1" x14ac:dyDescent="0.3">
      <c r="A137" s="1" t="s">
        <v>163</v>
      </c>
      <c r="B137" s="1">
        <v>33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2116</v>
      </c>
    </row>
    <row r="138" spans="1:17" ht="14" customHeight="1" x14ac:dyDescent="0.3">
      <c r="A138" s="1" t="s">
        <v>164</v>
      </c>
      <c r="B138" s="1">
        <v>28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2117</v>
      </c>
    </row>
    <row r="139" spans="1:17" ht="14" customHeight="1" x14ac:dyDescent="0.3">
      <c r="A139" s="1" t="s">
        <v>165</v>
      </c>
      <c r="B139" s="1">
        <v>30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2118</v>
      </c>
    </row>
    <row r="140" spans="1:17" ht="14" customHeight="1" x14ac:dyDescent="0.3">
      <c r="A140" s="1" t="s">
        <v>166</v>
      </c>
      <c r="B140" s="1">
        <v>28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2119</v>
      </c>
    </row>
    <row r="141" spans="1:17" ht="14" customHeight="1" x14ac:dyDescent="0.3">
      <c r="A141" s="1" t="s">
        <v>70</v>
      </c>
      <c r="B141" s="1">
        <v>29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2120</v>
      </c>
    </row>
    <row r="142" spans="1:17" ht="14" customHeight="1" x14ac:dyDescent="0.3">
      <c r="A142" s="1" t="s">
        <v>167</v>
      </c>
      <c r="B142" s="1">
        <v>31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2121</v>
      </c>
    </row>
    <row r="143" spans="1:17" ht="14" customHeight="1" x14ac:dyDescent="0.3">
      <c r="A143" s="1" t="s">
        <v>168</v>
      </c>
      <c r="B143" s="1">
        <v>27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2122</v>
      </c>
    </row>
    <row r="144" spans="1:17" ht="14" customHeight="1" x14ac:dyDescent="0.3">
      <c r="A144" s="1" t="s">
        <v>71</v>
      </c>
      <c r="B144" s="1">
        <v>30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2123</v>
      </c>
    </row>
    <row r="145" spans="1:17" ht="14" customHeight="1" x14ac:dyDescent="0.3">
      <c r="A145" s="1" t="s">
        <v>72</v>
      </c>
      <c r="B145" s="1">
        <v>28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2124</v>
      </c>
    </row>
    <row r="146" spans="1:17" ht="14" customHeight="1" x14ac:dyDescent="0.3">
      <c r="A146" s="1" t="s">
        <v>170</v>
      </c>
      <c r="B146" s="1">
        <v>29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2125</v>
      </c>
    </row>
    <row r="147" spans="1:17" ht="14" customHeight="1" x14ac:dyDescent="0.3">
      <c r="A147" s="1" t="s">
        <v>171</v>
      </c>
      <c r="B147" s="1">
        <v>26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2126</v>
      </c>
    </row>
    <row r="148" spans="1:17" ht="14" customHeight="1" x14ac:dyDescent="0.3">
      <c r="A148" s="1" t="s">
        <v>172</v>
      </c>
      <c r="B148" s="1">
        <v>32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1735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2127</v>
      </c>
    </row>
    <row r="149" spans="1:17" ht="14" customHeight="1" x14ac:dyDescent="0.3">
      <c r="A149" s="1" t="s">
        <v>174</v>
      </c>
      <c r="B149" s="1">
        <v>30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1735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2128</v>
      </c>
    </row>
    <row r="150" spans="1:17" ht="14" customHeight="1" x14ac:dyDescent="0.3">
      <c r="A150" s="1" t="s">
        <v>175</v>
      </c>
      <c r="B150" s="1">
        <v>31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1735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2129</v>
      </c>
    </row>
    <row r="151" spans="1:17" ht="14" customHeight="1" x14ac:dyDescent="0.3">
      <c r="A151" s="1" t="s">
        <v>176</v>
      </c>
      <c r="B151" s="1">
        <v>33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1735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2130</v>
      </c>
    </row>
    <row r="152" spans="1:17" ht="14" customHeight="1" x14ac:dyDescent="0.3">
      <c r="A152" s="1" t="s">
        <v>177</v>
      </c>
      <c r="B152" s="1">
        <v>29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1735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2131</v>
      </c>
    </row>
    <row r="153" spans="1:17" ht="14" customHeight="1" x14ac:dyDescent="0.3">
      <c r="A153" s="1" t="s">
        <v>178</v>
      </c>
      <c r="B153" s="1">
        <v>28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1735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2132</v>
      </c>
    </row>
    <row r="154" spans="1:17" ht="14" customHeight="1" x14ac:dyDescent="0.3">
      <c r="A154" s="1" t="s">
        <v>179</v>
      </c>
      <c r="B154" s="1">
        <v>32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1735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2133</v>
      </c>
    </row>
    <row r="155" spans="1:17" ht="14" customHeight="1" x14ac:dyDescent="0.3">
      <c r="A155" s="1" t="s">
        <v>180</v>
      </c>
      <c r="B155" s="1">
        <v>27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1735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2134</v>
      </c>
    </row>
    <row r="156" spans="1:17" ht="14" customHeight="1" x14ac:dyDescent="0.3">
      <c r="A156" s="1" t="s">
        <v>181</v>
      </c>
      <c r="B156" s="1">
        <v>31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1735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2135</v>
      </c>
    </row>
    <row r="157" spans="1:17" ht="14" customHeight="1" x14ac:dyDescent="0.3">
      <c r="A157" s="1" t="s">
        <v>182</v>
      </c>
      <c r="B157" s="1">
        <v>30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1735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2136</v>
      </c>
    </row>
    <row r="158" spans="1:17" ht="14" customHeight="1" x14ac:dyDescent="0.3">
      <c r="A158" s="1" t="s">
        <v>183</v>
      </c>
      <c r="B158" s="1">
        <v>29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1735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2137</v>
      </c>
    </row>
    <row r="159" spans="1:17" ht="14" customHeight="1" x14ac:dyDescent="0.3">
      <c r="A159" s="1" t="s">
        <v>184</v>
      </c>
      <c r="B159" s="1">
        <v>28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1735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2138</v>
      </c>
    </row>
    <row r="160" spans="1:17" ht="14" customHeight="1" x14ac:dyDescent="0.3">
      <c r="A160" s="1" t="s">
        <v>185</v>
      </c>
      <c r="B160" s="1">
        <v>32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1735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2139</v>
      </c>
    </row>
    <row r="161" spans="1:17" ht="14" customHeight="1" x14ac:dyDescent="0.3">
      <c r="A161" s="1" t="s">
        <v>186</v>
      </c>
      <c r="B161" s="1">
        <v>30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1735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2140</v>
      </c>
    </row>
    <row r="162" spans="1:17" ht="14" customHeight="1" x14ac:dyDescent="0.3">
      <c r="A162" s="1" t="s">
        <v>187</v>
      </c>
      <c r="B162" s="1">
        <v>31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1735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2141</v>
      </c>
    </row>
    <row r="163" spans="1:17" ht="14" customHeight="1" x14ac:dyDescent="0.3">
      <c r="A163" s="1" t="s">
        <v>188</v>
      </c>
      <c r="B163" s="1">
        <v>29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1735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2142</v>
      </c>
    </row>
    <row r="164" spans="1:17" ht="14" customHeight="1" x14ac:dyDescent="0.3">
      <c r="A164" s="1" t="s">
        <v>189</v>
      </c>
      <c r="B164" s="1">
        <v>30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1735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2143</v>
      </c>
    </row>
    <row r="165" spans="1:17" ht="14" customHeight="1" x14ac:dyDescent="0.3">
      <c r="A165" s="1" t="s">
        <v>190</v>
      </c>
      <c r="B165" s="1">
        <v>28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1735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2144</v>
      </c>
    </row>
    <row r="166" spans="1:17" ht="14" customHeight="1" x14ac:dyDescent="0.3">
      <c r="A166" s="1" t="s">
        <v>191</v>
      </c>
      <c r="B166" s="1">
        <v>31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1735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2145</v>
      </c>
    </row>
    <row r="167" spans="1:17" ht="14" customHeight="1" x14ac:dyDescent="0.3">
      <c r="A167" s="1" t="s">
        <v>192</v>
      </c>
      <c r="B167" s="1">
        <v>29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1735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2146</v>
      </c>
    </row>
    <row r="168" spans="1:17" ht="14" customHeight="1" x14ac:dyDescent="0.3">
      <c r="A168" s="1" t="s">
        <v>193</v>
      </c>
      <c r="B168" s="1">
        <v>30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1735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2147</v>
      </c>
    </row>
    <row r="169" spans="1:17" ht="14" customHeight="1" x14ac:dyDescent="0.3">
      <c r="A169" s="1" t="s">
        <v>194</v>
      </c>
      <c r="B169" s="1">
        <v>32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1735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2148</v>
      </c>
    </row>
    <row r="170" spans="1:17" ht="14" customHeight="1" x14ac:dyDescent="0.3">
      <c r="A170" s="1" t="s">
        <v>195</v>
      </c>
      <c r="B170" s="1">
        <v>29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1735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2149</v>
      </c>
    </row>
    <row r="171" spans="1:17" ht="14" customHeight="1" x14ac:dyDescent="0.3">
      <c r="A171" s="1" t="s">
        <v>196</v>
      </c>
      <c r="B171" s="1">
        <v>28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1735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2150</v>
      </c>
    </row>
    <row r="172" spans="1:17" ht="14" customHeight="1" x14ac:dyDescent="0.3">
      <c r="A172" s="1" t="s">
        <v>197</v>
      </c>
      <c r="B172" s="1">
        <v>31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1735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2151</v>
      </c>
    </row>
    <row r="173" spans="1:17" ht="14" customHeight="1" x14ac:dyDescent="0.3">
      <c r="A173" s="1" t="s">
        <v>198</v>
      </c>
      <c r="B173" s="1">
        <v>32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2152</v>
      </c>
    </row>
    <row r="174" spans="1:17" ht="14" customHeight="1" x14ac:dyDescent="0.3">
      <c r="A174" s="1" t="s">
        <v>199</v>
      </c>
      <c r="B174" s="1">
        <v>30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2153</v>
      </c>
    </row>
    <row r="175" spans="1:17" ht="14" customHeight="1" x14ac:dyDescent="0.3">
      <c r="A175" s="1" t="s">
        <v>200</v>
      </c>
      <c r="B175" s="1">
        <v>28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2154</v>
      </c>
    </row>
    <row r="176" spans="1:17" ht="14" customHeight="1" x14ac:dyDescent="0.3">
      <c r="A176" s="1" t="s">
        <v>201</v>
      </c>
      <c r="B176" s="1">
        <v>31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2155</v>
      </c>
    </row>
    <row r="177" spans="1:17" ht="14" customHeight="1" x14ac:dyDescent="0.3">
      <c r="A177" s="1" t="s">
        <v>202</v>
      </c>
      <c r="B177" s="1">
        <v>29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2156</v>
      </c>
    </row>
    <row r="178" spans="1:17" ht="14" customHeight="1" x14ac:dyDescent="0.3">
      <c r="A178" s="1" t="s">
        <v>204</v>
      </c>
      <c r="B178" s="1">
        <v>31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2157</v>
      </c>
    </row>
    <row r="179" spans="1:17" ht="14" customHeight="1" x14ac:dyDescent="0.3">
      <c r="A179" s="1" t="s">
        <v>205</v>
      </c>
      <c r="B179" s="1">
        <v>29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2158</v>
      </c>
    </row>
    <row r="180" spans="1:17" ht="14" customHeight="1" x14ac:dyDescent="0.3">
      <c r="A180" s="1" t="s">
        <v>206</v>
      </c>
      <c r="B180" s="1">
        <v>30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2159</v>
      </c>
    </row>
    <row r="181" spans="1:17" ht="14" customHeight="1" x14ac:dyDescent="0.3">
      <c r="A181" s="1" t="s">
        <v>208</v>
      </c>
      <c r="B181" s="1">
        <v>22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1762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2160</v>
      </c>
    </row>
    <row r="182" spans="1:17" ht="14" customHeight="1" x14ac:dyDescent="0.3">
      <c r="A182" s="1" t="s">
        <v>209</v>
      </c>
      <c r="B182" s="1">
        <v>22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1762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2161</v>
      </c>
    </row>
    <row r="183" spans="1:17" ht="14" customHeight="1" x14ac:dyDescent="0.3">
      <c r="A183" s="1" t="s">
        <v>210</v>
      </c>
      <c r="B183" s="1">
        <v>23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1762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2162</v>
      </c>
    </row>
    <row r="184" spans="1:17" ht="14" customHeight="1" x14ac:dyDescent="0.3">
      <c r="A184" s="1" t="s">
        <v>211</v>
      </c>
      <c r="B184" s="1">
        <v>23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1762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2163</v>
      </c>
    </row>
    <row r="185" spans="1:17" ht="14" customHeight="1" x14ac:dyDescent="0.3">
      <c r="A185" s="1" t="s">
        <v>212</v>
      </c>
      <c r="B185" s="1">
        <v>22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1762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2164</v>
      </c>
    </row>
    <row r="186" spans="1:17" ht="14" customHeight="1" x14ac:dyDescent="0.3">
      <c r="A186" s="1" t="s">
        <v>213</v>
      </c>
      <c r="B186" s="1">
        <v>24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1762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2165</v>
      </c>
    </row>
    <row r="187" spans="1:17" ht="14" customHeight="1" x14ac:dyDescent="0.3">
      <c r="A187" s="1" t="s">
        <v>214</v>
      </c>
      <c r="B187" s="1">
        <v>23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1762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2166</v>
      </c>
    </row>
    <row r="188" spans="1:17" ht="14" customHeight="1" x14ac:dyDescent="0.3">
      <c r="A188" s="1" t="s">
        <v>215</v>
      </c>
      <c r="B188" s="1">
        <v>23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1762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2167</v>
      </c>
    </row>
    <row r="189" spans="1:17" ht="14" customHeight="1" x14ac:dyDescent="0.3">
      <c r="A189" s="1" t="s">
        <v>216</v>
      </c>
      <c r="B189" s="1">
        <v>22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2168</v>
      </c>
    </row>
    <row r="190" spans="1:17" ht="14" customHeight="1" x14ac:dyDescent="0.3">
      <c r="A190" s="1" t="s">
        <v>217</v>
      </c>
      <c r="B190" s="1">
        <v>23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1762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2169</v>
      </c>
    </row>
    <row r="191" spans="1:17" ht="14" customHeight="1" x14ac:dyDescent="0.3">
      <c r="A191" s="1" t="s">
        <v>218</v>
      </c>
      <c r="B191" s="1">
        <v>24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1762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2170</v>
      </c>
    </row>
    <row r="192" spans="1:17" ht="14" customHeight="1" x14ac:dyDescent="0.3">
      <c r="A192" s="1" t="s">
        <v>219</v>
      </c>
      <c r="B192" s="1">
        <v>22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2171</v>
      </c>
    </row>
    <row r="193" spans="1:17" ht="14" customHeight="1" x14ac:dyDescent="0.3">
      <c r="A193" s="1" t="s">
        <v>220</v>
      </c>
      <c r="B193" s="1">
        <v>26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1762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2172</v>
      </c>
    </row>
    <row r="194" spans="1:17" ht="14" customHeight="1" x14ac:dyDescent="0.3">
      <c r="A194" s="1" t="s">
        <v>221</v>
      </c>
      <c r="B194" s="1">
        <v>31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ref="L194:L257" si="3">I194*5</f>
        <v>225</v>
      </c>
      <c r="M194" s="1"/>
      <c r="N194" s="1"/>
      <c r="O194" s="12" t="str">
        <f>IF($J194=Sheet2!$A$2, ROW(), "")</f>
        <v/>
      </c>
      <c r="Q194" s="23" t="s">
        <v>2173</v>
      </c>
    </row>
    <row r="195" spans="1:17" ht="14" customHeight="1" x14ac:dyDescent="0.3">
      <c r="A195" s="1" t="s">
        <v>224</v>
      </c>
      <c r="B195" s="1">
        <v>31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1735</v>
      </c>
      <c r="K195" s="1">
        <v>4</v>
      </c>
      <c r="L195" s="1">
        <f t="shared" si="3"/>
        <v>225</v>
      </c>
      <c r="M195" s="1"/>
      <c r="N195" s="1"/>
      <c r="O195" s="12" t="str">
        <f>IF($J195=Sheet2!$A$2, ROW(), "")</f>
        <v/>
      </c>
      <c r="Q195" s="23" t="s">
        <v>2174</v>
      </c>
    </row>
    <row r="196" spans="1:17" ht="14" customHeight="1" x14ac:dyDescent="0.3">
      <c r="A196" s="1" t="s">
        <v>226</v>
      </c>
      <c r="B196" s="1">
        <v>31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2175</v>
      </c>
    </row>
    <row r="197" spans="1:17" ht="14" customHeight="1" x14ac:dyDescent="0.3">
      <c r="A197" s="1" t="s">
        <v>229</v>
      </c>
      <c r="B197" s="1">
        <v>34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2176</v>
      </c>
    </row>
    <row r="198" spans="1:17" ht="14" customHeight="1" x14ac:dyDescent="0.3">
      <c r="A198" s="1" t="s">
        <v>231</v>
      </c>
      <c r="B198" s="1">
        <v>30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1735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2177</v>
      </c>
    </row>
    <row r="199" spans="1:17" ht="14" customHeight="1" x14ac:dyDescent="0.3">
      <c r="A199" s="1" t="s">
        <v>234</v>
      </c>
      <c r="B199" s="1">
        <v>31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2178</v>
      </c>
    </row>
    <row r="200" spans="1:17" ht="14" customHeight="1" x14ac:dyDescent="0.3">
      <c r="A200" s="1" t="s">
        <v>236</v>
      </c>
      <c r="B200" s="1">
        <v>29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2179</v>
      </c>
    </row>
    <row r="201" spans="1:17" ht="14" customHeight="1" x14ac:dyDescent="0.3">
      <c r="A201" s="1" t="s">
        <v>239</v>
      </c>
      <c r="B201" s="1">
        <v>28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2180</v>
      </c>
    </row>
    <row r="202" spans="1:17" ht="14" customHeight="1" x14ac:dyDescent="0.3">
      <c r="A202" s="1" t="s">
        <v>240</v>
      </c>
      <c r="B202" s="1">
        <v>24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2181</v>
      </c>
    </row>
    <row r="203" spans="1:17" ht="14" customHeight="1" x14ac:dyDescent="0.3">
      <c r="A203" s="1" t="s">
        <v>242</v>
      </c>
      <c r="B203" s="1">
        <v>29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1735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2182</v>
      </c>
    </row>
    <row r="204" spans="1:17" ht="14" customHeight="1" x14ac:dyDescent="0.3">
      <c r="A204" s="1" t="s">
        <v>245</v>
      </c>
      <c r="B204" s="1">
        <v>24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1735</v>
      </c>
      <c r="K204" s="1">
        <v>6</v>
      </c>
      <c r="L204" s="1">
        <f t="shared" si="3"/>
        <v>225</v>
      </c>
      <c r="M204" s="1" t="s">
        <v>98</v>
      </c>
      <c r="N204" s="1"/>
      <c r="O204" s="12" t="str">
        <f>IF($J204=Sheet2!$A$2, ROW(), "")</f>
        <v/>
      </c>
      <c r="Q204" s="23" t="s">
        <v>2183</v>
      </c>
    </row>
    <row r="205" spans="1:17" ht="14" customHeight="1" x14ac:dyDescent="0.3">
      <c r="A205" s="1" t="s">
        <v>249</v>
      </c>
      <c r="B205" s="1">
        <v>28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2184</v>
      </c>
    </row>
    <row r="206" spans="1:17" ht="14" customHeight="1" x14ac:dyDescent="0.3">
      <c r="A206" s="1" t="s">
        <v>252</v>
      </c>
      <c r="B206" s="1">
        <v>28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2185</v>
      </c>
    </row>
    <row r="207" spans="1:17" ht="14" customHeight="1" x14ac:dyDescent="0.3">
      <c r="A207" s="1" t="s">
        <v>255</v>
      </c>
      <c r="B207" s="1">
        <v>28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3311</v>
      </c>
      <c r="K207" s="1">
        <v>5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2186</v>
      </c>
    </row>
    <row r="208" spans="1:17" ht="14" customHeight="1" x14ac:dyDescent="0.3">
      <c r="A208" s="1" t="s">
        <v>258</v>
      </c>
      <c r="B208" s="1">
        <v>30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2187</v>
      </c>
    </row>
    <row r="209" spans="1:17" ht="14" customHeight="1" x14ac:dyDescent="0.3">
      <c r="A209" s="1" t="s">
        <v>261</v>
      </c>
      <c r="B209" s="1">
        <v>26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2188</v>
      </c>
    </row>
    <row r="210" spans="1:17" ht="14" customHeight="1" x14ac:dyDescent="0.3">
      <c r="A210" s="1" t="s">
        <v>265</v>
      </c>
      <c r="B210" s="1">
        <v>32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1735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2189</v>
      </c>
    </row>
    <row r="211" spans="1:17" ht="14" customHeight="1" x14ac:dyDescent="0.3">
      <c r="A211" s="1" t="s">
        <v>269</v>
      </c>
      <c r="B211" s="1">
        <v>26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1735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2190</v>
      </c>
    </row>
    <row r="212" spans="1:17" ht="14" customHeight="1" x14ac:dyDescent="0.3">
      <c r="A212" s="1" t="s">
        <v>272</v>
      </c>
      <c r="B212" s="1">
        <v>26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 t="shared" si="3"/>
        <v>450</v>
      </c>
      <c r="M212" s="1" t="s">
        <v>98</v>
      </c>
      <c r="N212" s="1"/>
      <c r="O212" s="12" t="str">
        <f>IF($J212=Sheet2!$A$2, ROW(), "")</f>
        <v/>
      </c>
      <c r="Q212" s="23" t="s">
        <v>2191</v>
      </c>
    </row>
    <row r="213" spans="1:17" ht="14" customHeight="1" x14ac:dyDescent="0.3">
      <c r="A213" s="1" t="s">
        <v>275</v>
      </c>
      <c r="B213" s="1">
        <v>32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2192</v>
      </c>
    </row>
    <row r="214" spans="1:17" ht="14" customHeight="1" x14ac:dyDescent="0.3">
      <c r="A214" s="1" t="s">
        <v>279</v>
      </c>
      <c r="B214" s="1">
        <v>30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2193</v>
      </c>
    </row>
    <row r="215" spans="1:17" ht="14" customHeight="1" x14ac:dyDescent="0.3">
      <c r="A215" s="1" t="s">
        <v>282</v>
      </c>
      <c r="B215" s="1">
        <v>32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2194</v>
      </c>
    </row>
    <row r="216" spans="1:17" ht="14" customHeight="1" x14ac:dyDescent="0.3">
      <c r="A216" s="1" t="s">
        <v>284</v>
      </c>
      <c r="B216" s="1">
        <v>30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2195</v>
      </c>
    </row>
    <row r="217" spans="1:17" ht="14" customHeight="1" x14ac:dyDescent="0.3">
      <c r="A217" s="1" t="s">
        <v>286</v>
      </c>
      <c r="B217" s="1">
        <v>31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2196</v>
      </c>
    </row>
    <row r="218" spans="1:17" ht="14" customHeight="1" x14ac:dyDescent="0.3">
      <c r="A218" s="1" t="s">
        <v>289</v>
      </c>
      <c r="B218" s="1">
        <v>29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2197</v>
      </c>
    </row>
    <row r="219" spans="1:17" ht="14" customHeight="1" x14ac:dyDescent="0.3">
      <c r="A219" s="1" t="s">
        <v>291</v>
      </c>
      <c r="B219" s="1">
        <v>34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11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2198</v>
      </c>
    </row>
    <row r="220" spans="1:17" ht="14" customHeight="1" x14ac:dyDescent="0.3">
      <c r="A220" s="1" t="s">
        <v>294</v>
      </c>
      <c r="B220" s="1">
        <v>23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2199</v>
      </c>
    </row>
    <row r="221" spans="1:17" ht="14" customHeight="1" x14ac:dyDescent="0.3">
      <c r="A221" s="1" t="s">
        <v>297</v>
      </c>
      <c r="B221" s="1">
        <v>35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2200</v>
      </c>
    </row>
    <row r="222" spans="1:17" ht="14" customHeight="1" x14ac:dyDescent="0.3">
      <c r="A222" s="1" t="s">
        <v>300</v>
      </c>
      <c r="B222" s="1">
        <v>23</v>
      </c>
      <c r="C222" s="1" t="s">
        <v>285</v>
      </c>
      <c r="D222" s="1">
        <v>195</v>
      </c>
      <c r="E222" s="1">
        <v>74</v>
      </c>
      <c r="F222" s="1">
        <v>149</v>
      </c>
      <c r="G222" s="1">
        <v>158</v>
      </c>
      <c r="H222" s="1" t="s">
        <v>1</v>
      </c>
      <c r="I222" s="1">
        <v>700</v>
      </c>
      <c r="J222" s="1" t="s">
        <v>1762</v>
      </c>
      <c r="K222" s="1">
        <v>9</v>
      </c>
      <c r="L222" s="1">
        <f t="shared" si="3"/>
        <v>3500</v>
      </c>
      <c r="M222" s="1"/>
      <c r="N222" s="1"/>
      <c r="O222" s="12" t="str">
        <f>IF($J222=Sheet2!$A$2, ROW(), "")</f>
        <v/>
      </c>
      <c r="Q222" s="23" t="s">
        <v>2201</v>
      </c>
    </row>
    <row r="223" spans="1:17" ht="14" customHeight="1" x14ac:dyDescent="0.3">
      <c r="A223" s="1" t="s">
        <v>301</v>
      </c>
      <c r="B223" s="1">
        <v>30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11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2202</v>
      </c>
    </row>
    <row r="224" spans="1:17" ht="14" customHeight="1" x14ac:dyDescent="0.3">
      <c r="A224" s="1" t="s">
        <v>302</v>
      </c>
      <c r="B224" s="1">
        <v>33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2203</v>
      </c>
    </row>
    <row r="225" spans="1:17" ht="14" customHeight="1" x14ac:dyDescent="0.3">
      <c r="A225" s="1" t="s">
        <v>304</v>
      </c>
      <c r="B225" s="1">
        <v>37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2204</v>
      </c>
    </row>
    <row r="226" spans="1:17" ht="14" customHeight="1" x14ac:dyDescent="0.3">
      <c r="A226" s="1" t="s">
        <v>306</v>
      </c>
      <c r="B226" s="1">
        <v>27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1762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2205</v>
      </c>
    </row>
    <row r="227" spans="1:17" ht="14" customHeight="1" x14ac:dyDescent="0.3">
      <c r="A227" s="1" t="s">
        <v>309</v>
      </c>
      <c r="B227" s="1">
        <v>24</v>
      </c>
      <c r="C227" s="1" t="s">
        <v>285</v>
      </c>
      <c r="D227" s="1">
        <v>170</v>
      </c>
      <c r="E227" s="1">
        <v>74</v>
      </c>
      <c r="F227" s="1">
        <v>148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2206</v>
      </c>
    </row>
    <row r="228" spans="1:17" ht="14" customHeight="1" x14ac:dyDescent="0.3">
      <c r="A228" s="1" t="s">
        <v>311</v>
      </c>
      <c r="B228" s="1">
        <v>24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1736</v>
      </c>
      <c r="K228" s="1">
        <v>6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2207</v>
      </c>
    </row>
    <row r="229" spans="1:17" ht="14" customHeight="1" x14ac:dyDescent="0.3">
      <c r="A229" s="1" t="s">
        <v>313</v>
      </c>
      <c r="B229" s="1">
        <v>25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2208</v>
      </c>
    </row>
    <row r="230" spans="1:17" ht="14" customHeight="1" x14ac:dyDescent="0.3">
      <c r="A230" s="1" t="s">
        <v>316</v>
      </c>
      <c r="B230" s="1">
        <v>33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2209</v>
      </c>
    </row>
    <row r="231" spans="1:17" ht="14" customHeight="1" x14ac:dyDescent="0.3">
      <c r="A231" s="1" t="s">
        <v>318</v>
      </c>
      <c r="B231" s="1">
        <v>26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2210</v>
      </c>
    </row>
    <row r="232" spans="1:17" ht="14" customHeight="1" x14ac:dyDescent="0.3">
      <c r="A232" s="1" t="s">
        <v>319</v>
      </c>
      <c r="B232" s="1">
        <v>25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2211</v>
      </c>
    </row>
    <row r="233" spans="1:17" ht="14" customHeight="1" x14ac:dyDescent="0.3">
      <c r="A233" s="1" t="s">
        <v>321</v>
      </c>
      <c r="B233" s="1">
        <v>27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2212</v>
      </c>
    </row>
    <row r="234" spans="1:17" ht="14" customHeight="1" x14ac:dyDescent="0.3">
      <c r="A234" s="1" t="s">
        <v>323</v>
      </c>
      <c r="B234" s="1">
        <v>23</v>
      </c>
      <c r="C234" s="1" t="s">
        <v>285</v>
      </c>
      <c r="D234" s="1">
        <v>178</v>
      </c>
      <c r="E234" s="1">
        <v>75</v>
      </c>
      <c r="F234" s="1">
        <v>133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2213</v>
      </c>
    </row>
    <row r="235" spans="1:17" ht="14" customHeight="1" x14ac:dyDescent="0.3">
      <c r="A235" s="1" t="s">
        <v>325</v>
      </c>
      <c r="B235" s="1">
        <v>24</v>
      </c>
      <c r="C235" s="1" t="s">
        <v>285</v>
      </c>
      <c r="D235" s="1">
        <v>178</v>
      </c>
      <c r="E235" s="1">
        <v>75</v>
      </c>
      <c r="F235" s="1">
        <v>134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2214</v>
      </c>
    </row>
    <row r="236" spans="1:17" ht="14" customHeight="1" x14ac:dyDescent="0.3">
      <c r="A236" s="1" t="s">
        <v>328</v>
      </c>
      <c r="B236" s="1">
        <v>24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2215</v>
      </c>
    </row>
    <row r="237" spans="1:17" ht="14" customHeight="1" x14ac:dyDescent="0.3">
      <c r="A237" s="1" t="s">
        <v>330</v>
      </c>
      <c r="B237" s="1">
        <v>26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2216</v>
      </c>
    </row>
    <row r="238" spans="1:17" ht="14" customHeight="1" x14ac:dyDescent="0.3">
      <c r="A238" s="1" t="s">
        <v>331</v>
      </c>
      <c r="B238" s="1">
        <v>29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2217</v>
      </c>
    </row>
    <row r="239" spans="1:17" ht="14" customHeight="1" x14ac:dyDescent="0.3">
      <c r="A239" s="1" t="s">
        <v>333</v>
      </c>
      <c r="B239" s="1">
        <v>28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1735</v>
      </c>
      <c r="K239" s="1">
        <v>6</v>
      </c>
      <c r="L239" s="1">
        <f t="shared" si="3"/>
        <v>200</v>
      </c>
      <c r="M239" s="1" t="s">
        <v>98</v>
      </c>
      <c r="N239" s="1"/>
      <c r="O239" s="12" t="str">
        <f>IF($J239=Sheet2!$A$2, ROW(), "")</f>
        <v/>
      </c>
      <c r="Q239" s="23" t="s">
        <v>2218</v>
      </c>
    </row>
    <row r="240" spans="1:17" ht="14" customHeight="1" x14ac:dyDescent="0.3">
      <c r="A240" s="1" t="s">
        <v>336</v>
      </c>
      <c r="B240" s="1">
        <v>25</v>
      </c>
      <c r="C240" s="1" t="s">
        <v>256</v>
      </c>
      <c r="D240" s="1">
        <v>175</v>
      </c>
      <c r="E240" s="1">
        <v>75</v>
      </c>
      <c r="F240" s="1">
        <v>122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2219</v>
      </c>
    </row>
    <row r="241" spans="1:17" ht="14" customHeight="1" x14ac:dyDescent="0.3">
      <c r="A241" s="1" t="s">
        <v>338</v>
      </c>
      <c r="B241" s="1">
        <v>23</v>
      </c>
      <c r="C241" s="1" t="s">
        <v>339</v>
      </c>
      <c r="D241" s="1">
        <v>185</v>
      </c>
      <c r="E241" s="1">
        <v>75</v>
      </c>
      <c r="F241" s="1">
        <v>131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2220</v>
      </c>
    </row>
    <row r="242" spans="1:17" ht="14" customHeight="1" x14ac:dyDescent="0.3">
      <c r="A242" s="1" t="s">
        <v>341</v>
      </c>
      <c r="B242" s="1">
        <v>28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2221</v>
      </c>
    </row>
    <row r="243" spans="1:17" ht="14" customHeight="1" x14ac:dyDescent="0.3">
      <c r="A243" s="1" t="s">
        <v>343</v>
      </c>
      <c r="B243" s="1">
        <v>31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2222</v>
      </c>
    </row>
    <row r="244" spans="1:17" ht="14" customHeight="1" x14ac:dyDescent="0.3">
      <c r="A244" s="1" t="s">
        <v>345</v>
      </c>
      <c r="B244" s="1">
        <v>31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2223</v>
      </c>
    </row>
    <row r="245" spans="1:17" ht="14" customHeight="1" x14ac:dyDescent="0.3">
      <c r="A245" s="1" t="s">
        <v>346</v>
      </c>
      <c r="B245" s="1">
        <v>31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2224</v>
      </c>
    </row>
    <row r="246" spans="1:17" ht="14" customHeight="1" x14ac:dyDescent="0.3">
      <c r="A246" s="1" t="s">
        <v>347</v>
      </c>
      <c r="B246" s="1">
        <v>22</v>
      </c>
      <c r="C246" s="1" t="s">
        <v>348</v>
      </c>
      <c r="D246" s="1">
        <v>198</v>
      </c>
      <c r="E246" s="1">
        <v>75</v>
      </c>
      <c r="F246" s="1">
        <v>118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2225</v>
      </c>
    </row>
    <row r="247" spans="1:17" ht="14" customHeight="1" x14ac:dyDescent="0.3">
      <c r="A247" s="1" t="s">
        <v>349</v>
      </c>
      <c r="B247" s="1">
        <v>30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2226</v>
      </c>
    </row>
    <row r="248" spans="1:17" ht="14" customHeight="1" x14ac:dyDescent="0.3">
      <c r="A248" s="1" t="s">
        <v>351</v>
      </c>
      <c r="B248" s="1">
        <v>26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2227</v>
      </c>
    </row>
    <row r="249" spans="1:17" ht="14" customHeight="1" x14ac:dyDescent="0.3">
      <c r="A249" s="1" t="s">
        <v>354</v>
      </c>
      <c r="B249" s="1">
        <v>26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2228</v>
      </c>
    </row>
    <row r="250" spans="1:17" ht="14" customHeight="1" x14ac:dyDescent="0.3">
      <c r="A250" s="1" t="s">
        <v>356</v>
      </c>
      <c r="B250" s="1">
        <v>26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 t="shared" si="3"/>
        <v>1500</v>
      </c>
      <c r="M250" s="1"/>
      <c r="N250" s="1"/>
      <c r="O250" s="12" t="str">
        <f>IF($J250=Sheet2!$A$2, ROW(), "")</f>
        <v/>
      </c>
      <c r="Q250" s="23" t="s">
        <v>2229</v>
      </c>
    </row>
    <row r="251" spans="1:17" ht="14" customHeight="1" x14ac:dyDescent="0.3">
      <c r="A251" s="1" t="s">
        <v>358</v>
      </c>
      <c r="B251" s="1">
        <v>28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2230</v>
      </c>
    </row>
    <row r="252" spans="1:17" ht="14" customHeight="1" x14ac:dyDescent="0.3">
      <c r="A252" s="1" t="s">
        <v>359</v>
      </c>
      <c r="B252" s="1">
        <v>26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1735</v>
      </c>
      <c r="K252" s="1">
        <v>5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2231</v>
      </c>
    </row>
    <row r="253" spans="1:17" ht="14" customHeight="1" x14ac:dyDescent="0.3">
      <c r="A253" s="1" t="s">
        <v>361</v>
      </c>
      <c r="B253" s="1">
        <v>23</v>
      </c>
      <c r="C253" s="1" t="s">
        <v>285</v>
      </c>
      <c r="D253" s="1">
        <v>178</v>
      </c>
      <c r="E253" s="1">
        <v>75</v>
      </c>
      <c r="F253" s="1">
        <v>124</v>
      </c>
      <c r="G253" s="1">
        <v>150</v>
      </c>
      <c r="H253" s="1" t="s">
        <v>362</v>
      </c>
      <c r="I253" s="1">
        <v>200</v>
      </c>
      <c r="J253" s="1" t="s">
        <v>1887</v>
      </c>
      <c r="K253" s="1">
        <v>6</v>
      </c>
      <c r="L253" s="1">
        <f t="shared" si="3"/>
        <v>1000</v>
      </c>
      <c r="M253" s="1"/>
      <c r="N253" s="1"/>
      <c r="O253" s="12" t="str">
        <f>IF($J253=Sheet2!$A$2, ROW(), "")</f>
        <v/>
      </c>
      <c r="Q253" s="23" t="s">
        <v>2232</v>
      </c>
    </row>
    <row r="254" spans="1:17" ht="14" customHeight="1" x14ac:dyDescent="0.3">
      <c r="A254" s="1" t="s">
        <v>363</v>
      </c>
      <c r="B254" s="1">
        <v>23</v>
      </c>
      <c r="C254" s="1" t="s">
        <v>285</v>
      </c>
      <c r="D254" s="1">
        <v>178</v>
      </c>
      <c r="E254" s="1">
        <v>75</v>
      </c>
      <c r="F254" s="1">
        <v>126</v>
      </c>
      <c r="G254" s="1">
        <v>146</v>
      </c>
      <c r="H254" s="1" t="s">
        <v>364</v>
      </c>
      <c r="I254" s="1">
        <v>160</v>
      </c>
      <c r="J254" s="1" t="s">
        <v>1736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2233</v>
      </c>
    </row>
    <row r="255" spans="1:17" ht="14" customHeight="1" x14ac:dyDescent="0.3">
      <c r="A255" s="1" t="s">
        <v>365</v>
      </c>
      <c r="B255" s="1">
        <v>25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1164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2234</v>
      </c>
    </row>
    <row r="256" spans="1:17" ht="14" customHeight="1" x14ac:dyDescent="0.3">
      <c r="A256" s="1" t="s">
        <v>366</v>
      </c>
      <c r="B256" s="1">
        <v>27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2235</v>
      </c>
    </row>
    <row r="257" spans="1:17" ht="14" customHeight="1" x14ac:dyDescent="0.3">
      <c r="A257" s="1" t="s">
        <v>369</v>
      </c>
      <c r="B257" s="1">
        <v>23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1735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2236</v>
      </c>
    </row>
    <row r="258" spans="1:17" ht="14" customHeight="1" x14ac:dyDescent="0.3">
      <c r="A258" s="1" t="s">
        <v>370</v>
      </c>
      <c r="B258" s="1">
        <v>22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1735</v>
      </c>
      <c r="K258" s="1">
        <v>2</v>
      </c>
      <c r="L258" s="1">
        <f t="shared" ref="L258:L321" si="4">I258*5</f>
        <v>105</v>
      </c>
      <c r="M258" s="1"/>
      <c r="N258" s="1"/>
      <c r="O258" s="12" t="str">
        <f>IF($J258=Sheet2!$A$2, ROW(), "")</f>
        <v/>
      </c>
      <c r="Q258" s="23" t="s">
        <v>2237</v>
      </c>
    </row>
    <row r="259" spans="1:17" ht="14" customHeight="1" x14ac:dyDescent="0.3">
      <c r="A259" s="1" t="s">
        <v>371</v>
      </c>
      <c r="B259" s="1">
        <v>24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1735</v>
      </c>
      <c r="K259" s="1">
        <v>2</v>
      </c>
      <c r="L259" s="1">
        <f t="shared" si="4"/>
        <v>120</v>
      </c>
      <c r="M259" s="1"/>
      <c r="N259" s="1"/>
      <c r="O259" s="12" t="str">
        <f>IF($J259=Sheet2!$A$2, ROW(), "")</f>
        <v/>
      </c>
      <c r="Q259" s="23" t="s">
        <v>2238</v>
      </c>
    </row>
    <row r="260" spans="1:17" ht="14" customHeight="1" x14ac:dyDescent="0.3">
      <c r="A260" s="1" t="s">
        <v>372</v>
      </c>
      <c r="B260" s="1">
        <v>22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1735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2239</v>
      </c>
    </row>
    <row r="261" spans="1:17" ht="14" customHeight="1" x14ac:dyDescent="0.3">
      <c r="A261" s="1" t="s">
        <v>373</v>
      </c>
      <c r="B261" s="1">
        <v>24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1735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2240</v>
      </c>
    </row>
    <row r="262" spans="1:17" ht="14" customHeight="1" x14ac:dyDescent="0.3">
      <c r="A262" s="1" t="s">
        <v>374</v>
      </c>
      <c r="B262" s="1">
        <v>23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1735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2241</v>
      </c>
    </row>
    <row r="263" spans="1:17" ht="14" customHeight="1" x14ac:dyDescent="0.3">
      <c r="A263" s="1" t="s">
        <v>375</v>
      </c>
      <c r="B263" s="1">
        <v>22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1735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2242</v>
      </c>
    </row>
    <row r="264" spans="1:17" ht="14" customHeight="1" x14ac:dyDescent="0.3">
      <c r="A264" s="1" t="s">
        <v>376</v>
      </c>
      <c r="B264" s="1">
        <v>24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1735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2243</v>
      </c>
    </row>
    <row r="265" spans="1:17" ht="14" customHeight="1" x14ac:dyDescent="0.3">
      <c r="A265" s="1" t="s">
        <v>377</v>
      </c>
      <c r="B265" s="1">
        <v>22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1735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2244</v>
      </c>
    </row>
    <row r="266" spans="1:17" ht="14" customHeight="1" x14ac:dyDescent="0.3">
      <c r="A266" s="1" t="s">
        <v>378</v>
      </c>
      <c r="B266" s="1">
        <v>24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2245</v>
      </c>
    </row>
    <row r="267" spans="1:17" ht="14" customHeight="1" x14ac:dyDescent="0.3">
      <c r="A267" s="1" t="s">
        <v>379</v>
      </c>
      <c r="B267" s="1">
        <v>23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1735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2246</v>
      </c>
    </row>
    <row r="268" spans="1:17" ht="14" customHeight="1" x14ac:dyDescent="0.3">
      <c r="A268" s="1" t="s">
        <v>380</v>
      </c>
      <c r="B268" s="1">
        <v>23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2247</v>
      </c>
    </row>
    <row r="269" spans="1:17" ht="14" customHeight="1" x14ac:dyDescent="0.3">
      <c r="A269" s="1" t="s">
        <v>381</v>
      </c>
      <c r="B269" s="1">
        <v>22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2248</v>
      </c>
    </row>
    <row r="270" spans="1:17" ht="14" customHeight="1" x14ac:dyDescent="0.3">
      <c r="A270" s="1" t="s">
        <v>382</v>
      </c>
      <c r="B270" s="1">
        <v>23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2249</v>
      </c>
    </row>
    <row r="271" spans="1:17" ht="14" customHeight="1" x14ac:dyDescent="0.3">
      <c r="A271" s="1" t="s">
        <v>383</v>
      </c>
      <c r="B271" s="1">
        <v>23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2250</v>
      </c>
    </row>
    <row r="272" spans="1:17" ht="14" customHeight="1" x14ac:dyDescent="0.3">
      <c r="A272" s="1" t="s">
        <v>384</v>
      </c>
      <c r="B272" s="1">
        <v>24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2251</v>
      </c>
    </row>
    <row r="273" spans="1:17" ht="14" customHeight="1" x14ac:dyDescent="0.3">
      <c r="A273" s="1" t="s">
        <v>385</v>
      </c>
      <c r="B273" s="1">
        <v>24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2252</v>
      </c>
    </row>
    <row r="274" spans="1:17" ht="14" customHeight="1" x14ac:dyDescent="0.3">
      <c r="A274" s="1" t="s">
        <v>386</v>
      </c>
      <c r="B274" s="1">
        <v>23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2253</v>
      </c>
    </row>
    <row r="275" spans="1:17" ht="14" customHeight="1" x14ac:dyDescent="0.3">
      <c r="A275" s="1" t="s">
        <v>387</v>
      </c>
      <c r="B275" s="1">
        <v>23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1762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2254</v>
      </c>
    </row>
    <row r="276" spans="1:17" ht="14" customHeight="1" x14ac:dyDescent="0.3">
      <c r="A276" s="1" t="s">
        <v>389</v>
      </c>
      <c r="B276" s="1">
        <v>22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1762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2255</v>
      </c>
    </row>
    <row r="277" spans="1:17" ht="14" customHeight="1" x14ac:dyDescent="0.3">
      <c r="A277" s="1" t="s">
        <v>390</v>
      </c>
      <c r="B277" s="1">
        <v>24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1762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2256</v>
      </c>
    </row>
    <row r="278" spans="1:17" ht="14" customHeight="1" x14ac:dyDescent="0.3">
      <c r="A278" s="1" t="s">
        <v>391</v>
      </c>
      <c r="B278" s="1">
        <v>22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1762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2257</v>
      </c>
    </row>
    <row r="279" spans="1:17" ht="14" customHeight="1" x14ac:dyDescent="0.3">
      <c r="A279" s="1" t="s">
        <v>392</v>
      </c>
      <c r="B279" s="1">
        <v>23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1762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2258</v>
      </c>
    </row>
    <row r="280" spans="1:17" ht="14" customHeight="1" x14ac:dyDescent="0.3">
      <c r="A280" s="1" t="s">
        <v>393</v>
      </c>
      <c r="B280" s="1">
        <v>24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1762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2259</v>
      </c>
    </row>
    <row r="281" spans="1:17" ht="14" customHeight="1" x14ac:dyDescent="0.3">
      <c r="A281" s="1" t="s">
        <v>394</v>
      </c>
      <c r="B281" s="1">
        <v>22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1762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2260</v>
      </c>
    </row>
    <row r="282" spans="1:17" ht="14" customHeight="1" x14ac:dyDescent="0.3">
      <c r="A282" s="1" t="s">
        <v>395</v>
      </c>
      <c r="B282" s="1">
        <v>23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1762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2261</v>
      </c>
    </row>
    <row r="283" spans="1:17" ht="14" customHeight="1" x14ac:dyDescent="0.3">
      <c r="A283" s="1" t="s">
        <v>396</v>
      </c>
      <c r="B283" s="1">
        <v>22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1762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2262</v>
      </c>
    </row>
    <row r="284" spans="1:17" ht="14" customHeight="1" x14ac:dyDescent="0.3">
      <c r="A284" s="1" t="s">
        <v>397</v>
      </c>
      <c r="B284" s="1">
        <v>23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1762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2263</v>
      </c>
    </row>
    <row r="285" spans="1:17" ht="14" customHeight="1" x14ac:dyDescent="0.3">
      <c r="A285" s="1" t="s">
        <v>398</v>
      </c>
      <c r="B285" s="1">
        <v>24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1762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2264</v>
      </c>
    </row>
    <row r="286" spans="1:17" ht="14" customHeight="1" x14ac:dyDescent="0.3">
      <c r="A286" s="1" t="s">
        <v>399</v>
      </c>
      <c r="B286" s="1">
        <v>22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1762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2265</v>
      </c>
    </row>
    <row r="287" spans="1:17" ht="14" customHeight="1" x14ac:dyDescent="0.3">
      <c r="A287" s="1" t="s">
        <v>400</v>
      </c>
      <c r="B287" s="1">
        <v>24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1762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2266</v>
      </c>
    </row>
    <row r="288" spans="1:17" ht="14" customHeight="1" x14ac:dyDescent="0.3">
      <c r="A288" s="1" t="s">
        <v>401</v>
      </c>
      <c r="B288" s="1">
        <v>22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1762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2267</v>
      </c>
    </row>
    <row r="289" spans="1:17" ht="14" customHeight="1" x14ac:dyDescent="0.3">
      <c r="A289" s="1" t="s">
        <v>402</v>
      </c>
      <c r="B289" s="1">
        <v>23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1762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2268</v>
      </c>
    </row>
    <row r="290" spans="1:17" ht="14" customHeight="1" x14ac:dyDescent="0.3">
      <c r="A290" s="1" t="s">
        <v>403</v>
      </c>
      <c r="B290" s="1">
        <v>24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1762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2269</v>
      </c>
    </row>
    <row r="291" spans="1:17" ht="14" customHeight="1" x14ac:dyDescent="0.3">
      <c r="A291" s="1" t="s">
        <v>404</v>
      </c>
      <c r="B291" s="1">
        <v>22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1762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2270</v>
      </c>
    </row>
    <row r="292" spans="1:17" ht="14" customHeight="1" x14ac:dyDescent="0.3">
      <c r="A292" s="1" t="s">
        <v>405</v>
      </c>
      <c r="B292" s="1">
        <v>23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1762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2271</v>
      </c>
    </row>
    <row r="293" spans="1:17" ht="14" customHeight="1" x14ac:dyDescent="0.3">
      <c r="A293" s="1" t="s">
        <v>406</v>
      </c>
      <c r="B293" s="1">
        <v>22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1762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2272</v>
      </c>
    </row>
    <row r="294" spans="1:17" ht="14" customHeight="1" x14ac:dyDescent="0.3">
      <c r="A294" s="1" t="s">
        <v>407</v>
      </c>
      <c r="B294" s="1">
        <v>23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2273</v>
      </c>
    </row>
    <row r="295" spans="1:17" ht="14" customHeight="1" x14ac:dyDescent="0.3">
      <c r="A295" s="1" t="s">
        <v>408</v>
      </c>
      <c r="B295" s="1">
        <v>22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2274</v>
      </c>
    </row>
    <row r="296" spans="1:17" ht="14" customHeight="1" x14ac:dyDescent="0.3">
      <c r="A296" s="1" t="s">
        <v>409</v>
      </c>
      <c r="B296" s="1">
        <v>24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2275</v>
      </c>
    </row>
    <row r="297" spans="1:17" ht="14" customHeight="1" x14ac:dyDescent="0.3">
      <c r="A297" s="1" t="s">
        <v>410</v>
      </c>
      <c r="B297" s="1">
        <v>22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2276</v>
      </c>
    </row>
    <row r="298" spans="1:17" ht="14" customHeight="1" x14ac:dyDescent="0.3">
      <c r="A298" s="1" t="s">
        <v>411</v>
      </c>
      <c r="B298" s="1">
        <v>23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2277</v>
      </c>
    </row>
    <row r="299" spans="1:17" ht="14" customHeight="1" x14ac:dyDescent="0.3">
      <c r="A299" s="1" t="s">
        <v>412</v>
      </c>
      <c r="B299" s="1">
        <v>24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2278</v>
      </c>
    </row>
    <row r="300" spans="1:17" ht="14" customHeight="1" x14ac:dyDescent="0.3">
      <c r="A300" s="1" t="s">
        <v>413</v>
      </c>
      <c r="B300" s="1">
        <v>22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2279</v>
      </c>
    </row>
    <row r="301" spans="1:17" ht="14" customHeight="1" x14ac:dyDescent="0.3">
      <c r="A301" s="1" t="s">
        <v>414</v>
      </c>
      <c r="B301" s="1">
        <v>23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2280</v>
      </c>
    </row>
    <row r="302" spans="1:17" ht="14" customHeight="1" x14ac:dyDescent="0.3">
      <c r="A302" s="1" t="s">
        <v>415</v>
      </c>
      <c r="B302" s="1">
        <v>22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2281</v>
      </c>
    </row>
    <row r="303" spans="1:17" ht="14" customHeight="1" x14ac:dyDescent="0.3">
      <c r="A303" s="1" t="s">
        <v>416</v>
      </c>
      <c r="B303" s="1">
        <v>23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2282</v>
      </c>
    </row>
    <row r="304" spans="1:17" ht="14" customHeight="1" x14ac:dyDescent="0.3">
      <c r="A304" s="1" t="s">
        <v>417</v>
      </c>
      <c r="B304" s="1">
        <v>22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2283</v>
      </c>
    </row>
    <row r="305" spans="1:17" ht="14" customHeight="1" x14ac:dyDescent="0.3">
      <c r="A305" s="1" t="s">
        <v>418</v>
      </c>
      <c r="B305" s="1">
        <v>23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2284</v>
      </c>
    </row>
    <row r="306" spans="1:17" ht="14" customHeight="1" x14ac:dyDescent="0.3">
      <c r="A306" s="1" t="s">
        <v>419</v>
      </c>
      <c r="B306" s="1">
        <v>23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2285</v>
      </c>
    </row>
    <row r="307" spans="1:17" ht="14" customHeight="1" x14ac:dyDescent="0.3">
      <c r="A307" s="1" t="s">
        <v>420</v>
      </c>
      <c r="B307" s="1">
        <v>23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2286</v>
      </c>
    </row>
    <row r="308" spans="1:17" ht="14" customHeight="1" x14ac:dyDescent="0.3">
      <c r="A308" s="1" t="s">
        <v>421</v>
      </c>
      <c r="B308" s="1">
        <v>24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2287</v>
      </c>
    </row>
    <row r="309" spans="1:17" ht="14" customHeight="1" x14ac:dyDescent="0.3">
      <c r="A309" s="1" t="s">
        <v>422</v>
      </c>
      <c r="B309" s="1">
        <v>22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2288</v>
      </c>
    </row>
    <row r="310" spans="1:17" ht="14" customHeight="1" x14ac:dyDescent="0.3">
      <c r="A310" s="1" t="s">
        <v>423</v>
      </c>
      <c r="B310" s="1">
        <v>23</v>
      </c>
      <c r="C310" s="1" t="s">
        <v>0</v>
      </c>
      <c r="D310" s="1">
        <v>176</v>
      </c>
      <c r="E310" s="1">
        <v>73</v>
      </c>
      <c r="F310" s="1">
        <v>66</v>
      </c>
      <c r="G310" s="1">
        <v>66</v>
      </c>
      <c r="H310" s="1" t="s">
        <v>21</v>
      </c>
      <c r="I310" s="1">
        <v>17</v>
      </c>
      <c r="J310" s="1" t="s">
        <v>1735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2289</v>
      </c>
    </row>
    <row r="311" spans="1:17" ht="14" customHeight="1" x14ac:dyDescent="0.3">
      <c r="A311" s="1" t="s">
        <v>424</v>
      </c>
      <c r="B311" s="1">
        <v>22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2290</v>
      </c>
    </row>
    <row r="312" spans="1:17" ht="14" customHeight="1" x14ac:dyDescent="0.3">
      <c r="A312" s="1" t="s">
        <v>425</v>
      </c>
      <c r="B312" s="1">
        <v>23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2291</v>
      </c>
    </row>
    <row r="313" spans="1:17" ht="14" customHeight="1" x14ac:dyDescent="0.3">
      <c r="A313" s="1" t="s">
        <v>426</v>
      </c>
      <c r="B313" s="1">
        <v>23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2292</v>
      </c>
    </row>
    <row r="314" spans="1:17" ht="14" customHeight="1" x14ac:dyDescent="0.3">
      <c r="A314" s="1" t="s">
        <v>427</v>
      </c>
      <c r="B314" s="1">
        <v>22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2293</v>
      </c>
    </row>
    <row r="315" spans="1:17" ht="14" customHeight="1" x14ac:dyDescent="0.3">
      <c r="A315" s="1" t="s">
        <v>428</v>
      </c>
      <c r="B315" s="1">
        <v>24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2294</v>
      </c>
    </row>
    <row r="316" spans="1:17" ht="14" customHeight="1" x14ac:dyDescent="0.3">
      <c r="A316" s="1" t="s">
        <v>429</v>
      </c>
      <c r="B316" s="1">
        <v>22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2295</v>
      </c>
    </row>
    <row r="317" spans="1:17" ht="14" customHeight="1" x14ac:dyDescent="0.3">
      <c r="A317" s="1" t="s">
        <v>430</v>
      </c>
      <c r="B317" s="1">
        <v>23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2296</v>
      </c>
    </row>
    <row r="318" spans="1:17" ht="14" customHeight="1" x14ac:dyDescent="0.3">
      <c r="A318" s="1" t="s">
        <v>431</v>
      </c>
      <c r="B318" s="1">
        <v>24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2297</v>
      </c>
    </row>
    <row r="319" spans="1:17" ht="14" customHeight="1" x14ac:dyDescent="0.3">
      <c r="A319" s="1" t="s">
        <v>432</v>
      </c>
      <c r="B319" s="1">
        <v>22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2298</v>
      </c>
    </row>
    <row r="320" spans="1:17" ht="14" customHeight="1" x14ac:dyDescent="0.3">
      <c r="A320" s="1" t="s">
        <v>433</v>
      </c>
      <c r="B320" s="1">
        <v>23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2299</v>
      </c>
    </row>
    <row r="321" spans="1:17" ht="14" customHeight="1" x14ac:dyDescent="0.3">
      <c r="A321" s="1" t="s">
        <v>434</v>
      </c>
      <c r="B321" s="1">
        <v>22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2300</v>
      </c>
    </row>
    <row r="322" spans="1:17" ht="14" customHeight="1" x14ac:dyDescent="0.3">
      <c r="A322" s="1" t="s">
        <v>435</v>
      </c>
      <c r="B322" s="1">
        <v>23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ref="L322:L385" si="5">I322*5</f>
        <v>75</v>
      </c>
      <c r="M322" s="1"/>
      <c r="N322" s="1"/>
      <c r="O322" s="12" t="str">
        <f>IF($J322=Sheet2!$A$2, ROW(), "")</f>
        <v/>
      </c>
      <c r="Q322" s="23" t="s">
        <v>2301</v>
      </c>
    </row>
    <row r="323" spans="1:17" ht="14" customHeight="1" x14ac:dyDescent="0.3">
      <c r="A323" s="1" t="s">
        <v>436</v>
      </c>
      <c r="B323" s="1">
        <v>24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si="5"/>
        <v>80</v>
      </c>
      <c r="M323" s="1"/>
      <c r="N323" s="1"/>
      <c r="O323" s="12" t="str">
        <f>IF($J323=Sheet2!$A$2, ROW(), "")</f>
        <v/>
      </c>
      <c r="Q323" s="23" t="s">
        <v>2302</v>
      </c>
    </row>
    <row r="324" spans="1:17" ht="14" customHeight="1" x14ac:dyDescent="0.3">
      <c r="A324" s="1" t="s">
        <v>437</v>
      </c>
      <c r="B324" s="1">
        <v>22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2303</v>
      </c>
    </row>
    <row r="325" spans="1:17" ht="14" customHeight="1" x14ac:dyDescent="0.3">
      <c r="A325" s="1" t="s">
        <v>438</v>
      </c>
      <c r="B325" s="1">
        <v>24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2304</v>
      </c>
    </row>
    <row r="326" spans="1:17" ht="14" customHeight="1" x14ac:dyDescent="0.3">
      <c r="A326" s="1" t="s">
        <v>439</v>
      </c>
      <c r="B326" s="1">
        <v>22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2305</v>
      </c>
    </row>
    <row r="327" spans="1:17" ht="14" customHeight="1" x14ac:dyDescent="0.3">
      <c r="A327" s="1" t="s">
        <v>440</v>
      </c>
      <c r="B327" s="1">
        <v>22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2306</v>
      </c>
    </row>
    <row r="328" spans="1:17" ht="14" customHeight="1" x14ac:dyDescent="0.3">
      <c r="A328" s="1" t="s">
        <v>441</v>
      </c>
      <c r="B328" s="1">
        <v>23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2307</v>
      </c>
    </row>
    <row r="329" spans="1:17" ht="14" customHeight="1" x14ac:dyDescent="0.3">
      <c r="A329" s="1" t="s">
        <v>442</v>
      </c>
      <c r="B329" s="1">
        <v>24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2308</v>
      </c>
    </row>
    <row r="330" spans="1:17" ht="14" customHeight="1" x14ac:dyDescent="0.3">
      <c r="A330" s="1" t="s">
        <v>443</v>
      </c>
      <c r="B330" s="1">
        <v>22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2309</v>
      </c>
    </row>
    <row r="331" spans="1:17" ht="14" customHeight="1" x14ac:dyDescent="0.3">
      <c r="A331" s="1" t="s">
        <v>444</v>
      </c>
      <c r="B331" s="1">
        <v>24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2310</v>
      </c>
    </row>
    <row r="332" spans="1:17" ht="14" customHeight="1" x14ac:dyDescent="0.3">
      <c r="A332" s="1" t="s">
        <v>445</v>
      </c>
      <c r="B332" s="1">
        <v>23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1735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2311</v>
      </c>
    </row>
    <row r="333" spans="1:17" ht="14" customHeight="1" x14ac:dyDescent="0.3">
      <c r="A333" s="1" t="s">
        <v>447</v>
      </c>
      <c r="B333" s="1">
        <v>22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1735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2312</v>
      </c>
    </row>
    <row r="334" spans="1:17" ht="14" customHeight="1" x14ac:dyDescent="0.3">
      <c r="A334" s="1" t="s">
        <v>448</v>
      </c>
      <c r="B334" s="1">
        <v>24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1735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2313</v>
      </c>
    </row>
    <row r="335" spans="1:17" ht="14" customHeight="1" x14ac:dyDescent="0.3">
      <c r="A335" s="1" t="s">
        <v>449</v>
      </c>
      <c r="B335" s="1">
        <v>22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1735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2314</v>
      </c>
    </row>
    <row r="336" spans="1:17" ht="14" customHeight="1" x14ac:dyDescent="0.3">
      <c r="A336" s="1" t="s">
        <v>450</v>
      </c>
      <c r="B336" s="1">
        <v>23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1735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2315</v>
      </c>
    </row>
    <row r="337" spans="1:17" ht="14" customHeight="1" x14ac:dyDescent="0.3">
      <c r="A337" s="1" t="s">
        <v>451</v>
      </c>
      <c r="B337" s="1">
        <v>24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1735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2316</v>
      </c>
    </row>
    <row r="338" spans="1:17" ht="14" customHeight="1" x14ac:dyDescent="0.3">
      <c r="A338" s="1" t="s">
        <v>452</v>
      </c>
      <c r="B338" s="1">
        <v>22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1735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2317</v>
      </c>
    </row>
    <row r="339" spans="1:17" ht="14" customHeight="1" x14ac:dyDescent="0.3">
      <c r="A339" s="1" t="s">
        <v>453</v>
      </c>
      <c r="B339" s="1">
        <v>23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1735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2318</v>
      </c>
    </row>
    <row r="340" spans="1:17" ht="14" customHeight="1" x14ac:dyDescent="0.3">
      <c r="A340" s="1" t="s">
        <v>454</v>
      </c>
      <c r="B340" s="1">
        <v>22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1735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2319</v>
      </c>
    </row>
    <row r="341" spans="1:17" ht="14" customHeight="1" x14ac:dyDescent="0.3">
      <c r="A341" s="1" t="s">
        <v>455</v>
      </c>
      <c r="B341" s="1">
        <v>23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1735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2320</v>
      </c>
    </row>
    <row r="342" spans="1:17" ht="14" customHeight="1" x14ac:dyDescent="0.3">
      <c r="A342" s="1" t="s">
        <v>456</v>
      </c>
      <c r="B342" s="1">
        <v>24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1735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2321</v>
      </c>
    </row>
    <row r="343" spans="1:17" ht="14" customHeight="1" x14ac:dyDescent="0.3">
      <c r="A343" s="1" t="s">
        <v>457</v>
      </c>
      <c r="B343" s="1">
        <v>22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1735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2322</v>
      </c>
    </row>
    <row r="344" spans="1:17" ht="14" customHeight="1" x14ac:dyDescent="0.3">
      <c r="A344" s="1" t="s">
        <v>458</v>
      </c>
      <c r="B344" s="1">
        <v>24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1735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2323</v>
      </c>
    </row>
    <row r="345" spans="1:17" ht="14" customHeight="1" x14ac:dyDescent="0.3">
      <c r="A345" s="1" t="s">
        <v>459</v>
      </c>
      <c r="B345" s="1">
        <v>22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1735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2324</v>
      </c>
    </row>
    <row r="346" spans="1:17" ht="14" customHeight="1" x14ac:dyDescent="0.3">
      <c r="A346" s="1" t="s">
        <v>460</v>
      </c>
      <c r="B346" s="1">
        <v>24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1735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2325</v>
      </c>
    </row>
    <row r="347" spans="1:17" ht="14" customHeight="1" x14ac:dyDescent="0.3">
      <c r="A347" s="1" t="s">
        <v>461</v>
      </c>
      <c r="B347" s="1">
        <v>23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1735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2326</v>
      </c>
    </row>
    <row r="348" spans="1:17" ht="14" customHeight="1" x14ac:dyDescent="0.3">
      <c r="A348" s="1" t="s">
        <v>462</v>
      </c>
      <c r="B348" s="1">
        <v>22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1735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2327</v>
      </c>
    </row>
    <row r="349" spans="1:17" ht="14" customHeight="1" x14ac:dyDescent="0.3">
      <c r="A349" s="1" t="s">
        <v>463</v>
      </c>
      <c r="B349" s="1">
        <v>24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1735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2328</v>
      </c>
    </row>
    <row r="350" spans="1:17" ht="14" customHeight="1" x14ac:dyDescent="0.3">
      <c r="A350" s="1" t="s">
        <v>451</v>
      </c>
      <c r="B350" s="1">
        <v>22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1735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2329</v>
      </c>
    </row>
    <row r="351" spans="1:17" ht="14" customHeight="1" x14ac:dyDescent="0.3">
      <c r="A351" s="1" t="s">
        <v>464</v>
      </c>
      <c r="B351" s="1">
        <v>23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2330</v>
      </c>
    </row>
    <row r="352" spans="1:17" ht="14" customHeight="1" x14ac:dyDescent="0.3">
      <c r="A352" s="1" t="s">
        <v>465</v>
      </c>
      <c r="B352" s="1">
        <v>22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2331</v>
      </c>
    </row>
    <row r="353" spans="1:17" ht="14" customHeight="1" x14ac:dyDescent="0.3">
      <c r="A353" s="1" t="s">
        <v>466</v>
      </c>
      <c r="B353" s="1">
        <v>24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2332</v>
      </c>
    </row>
    <row r="354" spans="1:17" ht="14" customHeight="1" x14ac:dyDescent="0.3">
      <c r="A354" s="1" t="s">
        <v>467</v>
      </c>
      <c r="B354" s="1">
        <v>22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2333</v>
      </c>
    </row>
    <row r="355" spans="1:17" ht="14" customHeight="1" x14ac:dyDescent="0.3">
      <c r="A355" s="1" t="s">
        <v>468</v>
      </c>
      <c r="B355" s="1">
        <v>23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2334</v>
      </c>
    </row>
    <row r="356" spans="1:17" ht="14" customHeight="1" x14ac:dyDescent="0.3">
      <c r="A356" s="1" t="s">
        <v>470</v>
      </c>
      <c r="B356" s="1">
        <v>24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2335</v>
      </c>
    </row>
    <row r="357" spans="1:17" ht="14" customHeight="1" x14ac:dyDescent="0.3">
      <c r="A357" s="1" t="s">
        <v>471</v>
      </c>
      <c r="B357" s="1">
        <v>22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2336</v>
      </c>
    </row>
    <row r="358" spans="1:17" ht="14" customHeight="1" x14ac:dyDescent="0.3">
      <c r="A358" s="1" t="s">
        <v>472</v>
      </c>
      <c r="B358" s="1">
        <v>23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2337</v>
      </c>
    </row>
    <row r="359" spans="1:17" ht="14" customHeight="1" x14ac:dyDescent="0.3">
      <c r="A359" s="1" t="s">
        <v>473</v>
      </c>
      <c r="B359" s="1">
        <v>22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2338</v>
      </c>
    </row>
    <row r="360" spans="1:17" ht="14" customHeight="1" x14ac:dyDescent="0.3">
      <c r="A360" s="1" t="s">
        <v>474</v>
      </c>
      <c r="B360" s="1">
        <v>23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2339</v>
      </c>
    </row>
    <row r="361" spans="1:17" ht="14" customHeight="1" x14ac:dyDescent="0.3">
      <c r="A361" s="1" t="s">
        <v>475</v>
      </c>
      <c r="B361" s="1">
        <v>31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2340</v>
      </c>
    </row>
    <row r="362" spans="1:17" ht="14" customHeight="1" x14ac:dyDescent="0.3">
      <c r="A362" s="1" t="s">
        <v>477</v>
      </c>
      <c r="B362" s="1">
        <v>28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1762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2341</v>
      </c>
    </row>
    <row r="363" spans="1:17" ht="14" customHeight="1" x14ac:dyDescent="0.3">
      <c r="A363" s="1" t="s">
        <v>478</v>
      </c>
      <c r="B363" s="1">
        <v>31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/>
      <c r="O363" s="12" t="str">
        <f>IF($J363=Sheet2!$A$2, ROW(), "")</f>
        <v/>
      </c>
      <c r="Q363" s="23" t="s">
        <v>2342</v>
      </c>
    </row>
    <row r="364" spans="1:17" ht="14" customHeight="1" x14ac:dyDescent="0.3">
      <c r="A364" s="1" t="s">
        <v>480</v>
      </c>
      <c r="B364" s="1">
        <v>28</v>
      </c>
      <c r="C364" s="1" t="s">
        <v>481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2343</v>
      </c>
    </row>
    <row r="365" spans="1:17" ht="14" customHeight="1" x14ac:dyDescent="0.3">
      <c r="A365" s="1" t="s">
        <v>482</v>
      </c>
      <c r="B365" s="1">
        <v>31</v>
      </c>
      <c r="C365" s="1" t="s">
        <v>483</v>
      </c>
      <c r="D365" s="1">
        <v>181</v>
      </c>
      <c r="E365" s="1">
        <v>75</v>
      </c>
      <c r="F365" s="1">
        <v>102</v>
      </c>
      <c r="G365" s="1">
        <v>108</v>
      </c>
      <c r="H365" s="1" t="s">
        <v>484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2344</v>
      </c>
    </row>
    <row r="366" spans="1:17" ht="14" customHeight="1" x14ac:dyDescent="0.3">
      <c r="A366" s="1" t="s">
        <v>485</v>
      </c>
      <c r="B366" s="1">
        <v>29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2345</v>
      </c>
    </row>
    <row r="367" spans="1:17" ht="14" customHeight="1" x14ac:dyDescent="0.3">
      <c r="A367" s="1" t="s">
        <v>486</v>
      </c>
      <c r="B367" s="1">
        <v>30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2346</v>
      </c>
    </row>
    <row r="368" spans="1:17" ht="14" customHeight="1" x14ac:dyDescent="0.3">
      <c r="A368" s="1" t="s">
        <v>487</v>
      </c>
      <c r="B368" s="1">
        <v>26</v>
      </c>
      <c r="C368" s="1" t="s">
        <v>488</v>
      </c>
      <c r="D368" s="1">
        <v>172</v>
      </c>
      <c r="E368" s="1">
        <v>67</v>
      </c>
      <c r="F368" s="1">
        <v>120</v>
      </c>
      <c r="G368" s="1">
        <v>150</v>
      </c>
      <c r="H368" s="1" t="s">
        <v>489</v>
      </c>
      <c r="I368" s="1">
        <v>30</v>
      </c>
      <c r="J368" s="1" t="s">
        <v>1890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2347</v>
      </c>
    </row>
    <row r="369" spans="1:17" ht="14" customHeight="1" x14ac:dyDescent="0.3">
      <c r="A369" s="1" t="s">
        <v>491</v>
      </c>
      <c r="B369" s="1">
        <v>27</v>
      </c>
      <c r="C369" s="1" t="s">
        <v>492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2348</v>
      </c>
    </row>
    <row r="370" spans="1:17" ht="14" customHeight="1" x14ac:dyDescent="0.3">
      <c r="A370" s="1" t="s">
        <v>493</v>
      </c>
      <c r="B370" s="1">
        <v>26</v>
      </c>
      <c r="C370" s="1" t="s">
        <v>494</v>
      </c>
      <c r="D370" s="1">
        <v>188</v>
      </c>
      <c r="E370" s="1">
        <v>75</v>
      </c>
      <c r="F370" s="1">
        <v>115</v>
      </c>
      <c r="G370" s="1">
        <v>115</v>
      </c>
      <c r="H370" s="1" t="s">
        <v>495</v>
      </c>
      <c r="I370" s="1">
        <v>30</v>
      </c>
      <c r="J370" s="1" t="s">
        <v>111</v>
      </c>
      <c r="K370" s="1">
        <v>5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2349</v>
      </c>
    </row>
    <row r="371" spans="1:17" ht="14" customHeight="1" x14ac:dyDescent="0.3">
      <c r="A371" s="1" t="s">
        <v>496</v>
      </c>
      <c r="B371" s="1">
        <v>31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497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2350</v>
      </c>
    </row>
    <row r="372" spans="1:17" ht="14" customHeight="1" x14ac:dyDescent="0.3">
      <c r="A372" s="1" t="s">
        <v>498</v>
      </c>
      <c r="B372" s="1">
        <v>30</v>
      </c>
      <c r="C372" s="1" t="s">
        <v>499</v>
      </c>
      <c r="D372" s="1">
        <v>183</v>
      </c>
      <c r="E372" s="1">
        <v>75</v>
      </c>
      <c r="F372" s="1">
        <v>106</v>
      </c>
      <c r="G372" s="1">
        <v>120</v>
      </c>
      <c r="H372" s="1" t="s">
        <v>500</v>
      </c>
      <c r="I372" s="1">
        <v>200</v>
      </c>
      <c r="J372" s="1" t="s">
        <v>1762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2351</v>
      </c>
    </row>
    <row r="373" spans="1:17" ht="14" customHeight="1" x14ac:dyDescent="0.3">
      <c r="A373" s="1" t="s">
        <v>501</v>
      </c>
      <c r="B373" s="1">
        <v>29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502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2352</v>
      </c>
    </row>
    <row r="374" spans="1:17" ht="14" customHeight="1" x14ac:dyDescent="0.3">
      <c r="A374" s="1" t="s">
        <v>503</v>
      </c>
      <c r="B374" s="1">
        <v>27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504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2353</v>
      </c>
    </row>
    <row r="375" spans="1:17" ht="14" customHeight="1" x14ac:dyDescent="0.3">
      <c r="A375" s="1" t="s">
        <v>505</v>
      </c>
      <c r="B375" s="1">
        <v>37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2354</v>
      </c>
    </row>
    <row r="376" spans="1:17" ht="14" customHeight="1" x14ac:dyDescent="0.3">
      <c r="A376" s="1" t="s">
        <v>506</v>
      </c>
      <c r="B376" s="1">
        <v>23</v>
      </c>
      <c r="C376" s="1" t="s">
        <v>312</v>
      </c>
      <c r="D376" s="1">
        <v>188</v>
      </c>
      <c r="E376" s="1">
        <v>64</v>
      </c>
      <c r="F376" s="1">
        <v>135</v>
      </c>
      <c r="G376" s="1">
        <v>150</v>
      </c>
      <c r="H376" s="1" t="s">
        <v>353</v>
      </c>
      <c r="I376" s="1">
        <v>320</v>
      </c>
      <c r="J376" s="1" t="s">
        <v>1717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2355</v>
      </c>
    </row>
    <row r="377" spans="1:17" ht="14" customHeight="1" x14ac:dyDescent="0.3">
      <c r="A377" s="1" t="s">
        <v>507</v>
      </c>
      <c r="B377" s="1">
        <v>32</v>
      </c>
      <c r="C377" s="1" t="s">
        <v>508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2356</v>
      </c>
    </row>
    <row r="378" spans="1:17" ht="14" customHeight="1" x14ac:dyDescent="0.3">
      <c r="A378" s="1" t="s">
        <v>509</v>
      </c>
      <c r="B378" s="1">
        <v>22</v>
      </c>
      <c r="C378" s="1" t="s">
        <v>510</v>
      </c>
      <c r="D378" s="1">
        <v>185</v>
      </c>
      <c r="E378" s="1">
        <v>78</v>
      </c>
      <c r="F378" s="1">
        <v>128</v>
      </c>
      <c r="G378" s="1">
        <v>130</v>
      </c>
      <c r="H378" s="1" t="s">
        <v>353</v>
      </c>
      <c r="I378" s="1">
        <v>60</v>
      </c>
      <c r="J378" s="1" t="s">
        <v>1847</v>
      </c>
      <c r="K378" s="1" t="s">
        <v>511</v>
      </c>
      <c r="L378" s="1">
        <f t="shared" si="5"/>
        <v>300</v>
      </c>
      <c r="M378" s="1" t="s">
        <v>38</v>
      </c>
      <c r="N378" s="1"/>
      <c r="O378" s="12" t="str">
        <f>IF($J378=Sheet2!$A$2, ROW(), "")</f>
        <v/>
      </c>
      <c r="Q378" s="23" t="s">
        <v>2357</v>
      </c>
    </row>
    <row r="379" spans="1:17" ht="14" customHeight="1" x14ac:dyDescent="0.3">
      <c r="A379" s="1" t="s">
        <v>512</v>
      </c>
      <c r="B379" s="1">
        <v>21</v>
      </c>
      <c r="C379" s="1" t="s">
        <v>513</v>
      </c>
      <c r="D379" s="1">
        <v>183</v>
      </c>
      <c r="E379" s="1">
        <v>74</v>
      </c>
      <c r="F379" s="1">
        <v>135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2358</v>
      </c>
    </row>
    <row r="380" spans="1:17" ht="14" customHeight="1" x14ac:dyDescent="0.3">
      <c r="A380" s="1" t="s">
        <v>514</v>
      </c>
      <c r="B380" s="1">
        <v>22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515</v>
      </c>
      <c r="I380" s="1">
        <v>100</v>
      </c>
      <c r="J380" s="1" t="s">
        <v>1763</v>
      </c>
      <c r="K380" s="1">
        <v>6</v>
      </c>
      <c r="L380" s="1">
        <f t="shared" si="5"/>
        <v>500</v>
      </c>
      <c r="M380" s="1" t="s">
        <v>38</v>
      </c>
      <c r="N380" s="1"/>
      <c r="O380" s="12">
        <f>IF($J380=Sheet2!$A$2, ROW(), "")</f>
        <v>380</v>
      </c>
      <c r="Q380" s="23" t="s">
        <v>2359</v>
      </c>
    </row>
    <row r="381" spans="1:17" ht="14" customHeight="1" x14ac:dyDescent="0.3">
      <c r="A381" s="1" t="s">
        <v>516</v>
      </c>
      <c r="B381" s="1">
        <v>23</v>
      </c>
      <c r="C381" s="1" t="s">
        <v>517</v>
      </c>
      <c r="D381" s="1">
        <v>188</v>
      </c>
      <c r="E381" s="1">
        <v>70</v>
      </c>
      <c r="F381" s="1">
        <v>129</v>
      </c>
      <c r="G381" s="1">
        <v>140</v>
      </c>
      <c r="H381" s="1" t="s">
        <v>357</v>
      </c>
      <c r="I381" s="1">
        <v>150</v>
      </c>
      <c r="J381" s="1" t="s">
        <v>1847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2360</v>
      </c>
    </row>
    <row r="382" spans="1:17" ht="14" customHeight="1" x14ac:dyDescent="0.3">
      <c r="A382" s="1" t="s">
        <v>518</v>
      </c>
      <c r="B382" s="1">
        <v>31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519</v>
      </c>
      <c r="I382" s="1">
        <v>24</v>
      </c>
      <c r="J382" s="1" t="s">
        <v>1735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2361</v>
      </c>
    </row>
    <row r="383" spans="1:17" ht="14" customHeight="1" x14ac:dyDescent="0.3">
      <c r="A383" s="1" t="s">
        <v>521</v>
      </c>
      <c r="B383" s="1">
        <v>26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522</v>
      </c>
      <c r="I383" s="1">
        <v>24</v>
      </c>
      <c r="J383" s="1" t="s">
        <v>1735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2362</v>
      </c>
    </row>
    <row r="384" spans="1:17" ht="14" customHeight="1" x14ac:dyDescent="0.3">
      <c r="A384" s="1" t="s">
        <v>523</v>
      </c>
      <c r="B384" s="1">
        <v>29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524</v>
      </c>
      <c r="I384" s="1">
        <v>24</v>
      </c>
      <c r="J384" s="1" t="s">
        <v>1735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2363</v>
      </c>
    </row>
    <row r="385" spans="1:17" ht="14" customHeight="1" x14ac:dyDescent="0.3">
      <c r="A385" s="1" t="s">
        <v>525</v>
      </c>
      <c r="B385" s="1">
        <v>28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526</v>
      </c>
      <c r="I385" s="1">
        <v>24</v>
      </c>
      <c r="J385" s="1" t="s">
        <v>1735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2364</v>
      </c>
    </row>
    <row r="386" spans="1:17" ht="14" customHeight="1" x14ac:dyDescent="0.3">
      <c r="A386" s="1" t="s">
        <v>527</v>
      </c>
      <c r="B386" s="1">
        <v>29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1735</v>
      </c>
      <c r="K386" s="1">
        <v>2</v>
      </c>
      <c r="L386" s="1">
        <f t="shared" ref="L386:L449" si="6">I386*5</f>
        <v>120</v>
      </c>
      <c r="M386" s="1"/>
      <c r="N386" s="1"/>
      <c r="O386" s="12" t="str">
        <f>IF($J386=Sheet2!$A$2, ROW(), "")</f>
        <v/>
      </c>
      <c r="Q386" s="23" t="s">
        <v>2365</v>
      </c>
    </row>
    <row r="387" spans="1:17" ht="14" customHeight="1" x14ac:dyDescent="0.3">
      <c r="A387" s="1" t="s">
        <v>528</v>
      </c>
      <c r="B387" s="1">
        <v>32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529</v>
      </c>
      <c r="I387" s="1">
        <v>24</v>
      </c>
      <c r="J387" s="1" t="s">
        <v>1735</v>
      </c>
      <c r="K387" s="1">
        <v>2</v>
      </c>
      <c r="L387" s="1">
        <f t="shared" si="6"/>
        <v>120</v>
      </c>
      <c r="M387" s="1"/>
      <c r="N387" s="1"/>
      <c r="O387" s="12" t="str">
        <f>IF($J387=Sheet2!$A$2, ROW(), "")</f>
        <v/>
      </c>
      <c r="Q387" s="23" t="s">
        <v>2366</v>
      </c>
    </row>
    <row r="388" spans="1:17" ht="14" customHeight="1" x14ac:dyDescent="0.3">
      <c r="A388" s="1" t="s">
        <v>530</v>
      </c>
      <c r="B388" s="1">
        <v>31</v>
      </c>
      <c r="C388" s="1" t="s">
        <v>531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1735</v>
      </c>
      <c r="K388" s="1">
        <v>5</v>
      </c>
      <c r="L388" s="1">
        <f t="shared" si="6"/>
        <v>300</v>
      </c>
      <c r="M388" s="1" t="s">
        <v>38</v>
      </c>
      <c r="N388" s="1"/>
      <c r="O388" s="12" t="str">
        <f>IF($J388=Sheet2!$A$2, ROW(), "")</f>
        <v/>
      </c>
      <c r="Q388" s="23" t="s">
        <v>2367</v>
      </c>
    </row>
    <row r="389" spans="1:17" ht="14" customHeight="1" x14ac:dyDescent="0.3">
      <c r="A389" s="1" t="s">
        <v>532</v>
      </c>
      <c r="B389" s="1">
        <v>26</v>
      </c>
      <c r="C389" s="1" t="s">
        <v>488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1735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2368</v>
      </c>
    </row>
    <row r="390" spans="1:17" ht="14" customHeight="1" x14ac:dyDescent="0.3">
      <c r="A390" s="1" t="s">
        <v>533</v>
      </c>
      <c r="B390" s="1">
        <v>28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1762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2369</v>
      </c>
    </row>
    <row r="391" spans="1:17" ht="14" customHeight="1" x14ac:dyDescent="0.3">
      <c r="A391" s="1" t="s">
        <v>534</v>
      </c>
      <c r="B391" s="1">
        <v>28</v>
      </c>
      <c r="C391" s="1" t="s">
        <v>535</v>
      </c>
      <c r="D391" s="1">
        <v>177</v>
      </c>
      <c r="E391" s="1">
        <v>73</v>
      </c>
      <c r="F391" s="1">
        <v>99</v>
      </c>
      <c r="G391" s="1">
        <v>130</v>
      </c>
      <c r="H391" s="1" t="s">
        <v>536</v>
      </c>
      <c r="I391" s="1">
        <v>150</v>
      </c>
      <c r="J391" s="1" t="s">
        <v>1762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2370</v>
      </c>
    </row>
    <row r="392" spans="1:17" ht="14" customHeight="1" x14ac:dyDescent="0.3">
      <c r="A392" s="1" t="s">
        <v>537</v>
      </c>
      <c r="B392" s="1">
        <v>26</v>
      </c>
      <c r="C392" s="1" t="s">
        <v>538</v>
      </c>
      <c r="D392" s="1">
        <v>188</v>
      </c>
      <c r="E392" s="1">
        <v>81</v>
      </c>
      <c r="F392" s="1">
        <v>122</v>
      </c>
      <c r="G392" s="1">
        <v>140</v>
      </c>
      <c r="H392" s="1" t="s">
        <v>357</v>
      </c>
      <c r="I392" s="1">
        <v>40</v>
      </c>
      <c r="J392" s="1" t="s">
        <v>1833</v>
      </c>
      <c r="K392" s="1">
        <v>5</v>
      </c>
      <c r="L392" s="1">
        <f t="shared" si="6"/>
        <v>200</v>
      </c>
      <c r="M392" s="1" t="s">
        <v>98</v>
      </c>
      <c r="N392" s="1"/>
      <c r="O392" s="12" t="str">
        <f>IF($J392=Sheet2!$A$2, ROW(), "")</f>
        <v/>
      </c>
      <c r="Q392" s="23" t="s">
        <v>2371</v>
      </c>
    </row>
    <row r="393" spans="1:17" ht="14" customHeight="1" x14ac:dyDescent="0.3">
      <c r="A393" s="1" t="s">
        <v>539</v>
      </c>
      <c r="B393" s="1">
        <v>30</v>
      </c>
      <c r="C393" s="1" t="s">
        <v>510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1762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2372</v>
      </c>
    </row>
    <row r="394" spans="1:17" ht="14" customHeight="1" x14ac:dyDescent="0.3">
      <c r="A394" s="1" t="s">
        <v>540</v>
      </c>
      <c r="B394" s="1">
        <v>29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1762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2373</v>
      </c>
    </row>
    <row r="395" spans="1:17" ht="14" customHeight="1" x14ac:dyDescent="0.3">
      <c r="A395" s="1" t="s">
        <v>541</v>
      </c>
      <c r="B395" s="1">
        <v>30</v>
      </c>
      <c r="C395" s="1" t="s">
        <v>542</v>
      </c>
      <c r="D395" s="1">
        <v>183</v>
      </c>
      <c r="E395" s="1">
        <v>74</v>
      </c>
      <c r="F395" s="1">
        <v>100</v>
      </c>
      <c r="G395" s="1">
        <v>116</v>
      </c>
      <c r="H395" s="1" t="s">
        <v>543</v>
      </c>
      <c r="I395" s="1">
        <v>200</v>
      </c>
      <c r="J395" s="1" t="s">
        <v>1762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2374</v>
      </c>
    </row>
    <row r="396" spans="1:17" ht="14" customHeight="1" x14ac:dyDescent="0.3">
      <c r="A396" s="1" t="s">
        <v>544</v>
      </c>
      <c r="B396" s="1">
        <v>26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545</v>
      </c>
      <c r="I396" s="1">
        <v>24</v>
      </c>
      <c r="J396" s="1" t="s">
        <v>1762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2375</v>
      </c>
    </row>
    <row r="397" spans="1:17" ht="14" customHeight="1" x14ac:dyDescent="0.3">
      <c r="A397" s="1" t="s">
        <v>546</v>
      </c>
      <c r="B397" s="1">
        <v>33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1762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2376</v>
      </c>
    </row>
    <row r="398" spans="1:17" ht="14" customHeight="1" x14ac:dyDescent="0.3">
      <c r="A398" s="1" t="s">
        <v>547</v>
      </c>
      <c r="B398" s="1">
        <v>36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1762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2377</v>
      </c>
    </row>
    <row r="399" spans="1:17" ht="14" customHeight="1" x14ac:dyDescent="0.3">
      <c r="A399" s="1" t="s">
        <v>548</v>
      </c>
      <c r="B399" s="1">
        <v>32</v>
      </c>
      <c r="C399" s="1" t="s">
        <v>549</v>
      </c>
      <c r="D399" s="1">
        <v>170</v>
      </c>
      <c r="E399" s="1">
        <v>67</v>
      </c>
      <c r="F399" s="1">
        <v>66</v>
      </c>
      <c r="G399" s="1">
        <v>80</v>
      </c>
      <c r="H399" s="1" t="s">
        <v>550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2378</v>
      </c>
    </row>
    <row r="400" spans="1:17" ht="14" customHeight="1" x14ac:dyDescent="0.3">
      <c r="A400" s="1" t="s">
        <v>551</v>
      </c>
      <c r="B400" s="1">
        <v>40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2379</v>
      </c>
    </row>
    <row r="401" spans="1:17" ht="14" customHeight="1" x14ac:dyDescent="0.3">
      <c r="A401" s="1" t="s">
        <v>552</v>
      </c>
      <c r="B401" s="1">
        <v>32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553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2380</v>
      </c>
    </row>
    <row r="402" spans="1:17" ht="14" customHeight="1" x14ac:dyDescent="0.3">
      <c r="A402" s="1" t="s">
        <v>554</v>
      </c>
      <c r="B402" s="1">
        <v>27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2381</v>
      </c>
    </row>
    <row r="403" spans="1:17" ht="14" customHeight="1" x14ac:dyDescent="0.3">
      <c r="A403" s="1" t="s">
        <v>555</v>
      </c>
      <c r="B403" s="1">
        <v>33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556</v>
      </c>
      <c r="I403" s="1">
        <v>24</v>
      </c>
      <c r="J403" s="1" t="s">
        <v>1762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2382</v>
      </c>
    </row>
    <row r="404" spans="1:17" ht="14" customHeight="1" x14ac:dyDescent="0.3">
      <c r="A404" s="1" t="s">
        <v>557</v>
      </c>
      <c r="B404" s="1">
        <v>30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558</v>
      </c>
      <c r="I404" s="1">
        <v>24</v>
      </c>
      <c r="J404" s="1" t="s">
        <v>1762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2383</v>
      </c>
    </row>
    <row r="405" spans="1:17" ht="14" customHeight="1" x14ac:dyDescent="0.3">
      <c r="A405" s="1" t="s">
        <v>559</v>
      </c>
      <c r="B405" s="1">
        <v>27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1762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2384</v>
      </c>
    </row>
    <row r="406" spans="1:17" ht="14" customHeight="1" x14ac:dyDescent="0.3">
      <c r="A406" s="1" t="s">
        <v>560</v>
      </c>
      <c r="B406" s="1">
        <v>25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561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2385</v>
      </c>
    </row>
    <row r="407" spans="1:17" ht="14" customHeight="1" x14ac:dyDescent="0.3">
      <c r="A407" s="1" t="s">
        <v>562</v>
      </c>
      <c r="B407" s="1">
        <v>33</v>
      </c>
      <c r="C407" s="1" t="s">
        <v>563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2386</v>
      </c>
    </row>
    <row r="408" spans="1:17" ht="14" customHeight="1" x14ac:dyDescent="0.3">
      <c r="A408" s="1" t="s">
        <v>564</v>
      </c>
      <c r="B408" s="1">
        <v>33</v>
      </c>
      <c r="C408" s="1" t="s">
        <v>563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1735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2387</v>
      </c>
    </row>
    <row r="409" spans="1:17" ht="14" customHeight="1" x14ac:dyDescent="0.3">
      <c r="A409" s="1" t="s">
        <v>565</v>
      </c>
      <c r="B409" s="1">
        <v>34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566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2388</v>
      </c>
    </row>
    <row r="410" spans="1:17" ht="14" customHeight="1" x14ac:dyDescent="0.3">
      <c r="A410" s="1" t="s">
        <v>567</v>
      </c>
      <c r="B410" s="1">
        <v>29</v>
      </c>
      <c r="C410" s="1" t="s">
        <v>568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1762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2389</v>
      </c>
    </row>
    <row r="411" spans="1:17" ht="14" customHeight="1" x14ac:dyDescent="0.3">
      <c r="A411" s="1" t="s">
        <v>569</v>
      </c>
      <c r="B411" s="1">
        <v>26</v>
      </c>
      <c r="C411" s="1" t="s">
        <v>570</v>
      </c>
      <c r="D411" s="1">
        <v>178</v>
      </c>
      <c r="E411" s="1">
        <v>73</v>
      </c>
      <c r="F411" s="1">
        <v>100</v>
      </c>
      <c r="G411" s="1">
        <v>100</v>
      </c>
      <c r="H411" s="1" t="s">
        <v>571</v>
      </c>
      <c r="I411" s="1">
        <v>30</v>
      </c>
      <c r="J411" s="1" t="s">
        <v>1917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2390</v>
      </c>
    </row>
    <row r="412" spans="1:17" ht="14" customHeight="1" x14ac:dyDescent="0.3">
      <c r="A412" s="1" t="s">
        <v>573</v>
      </c>
      <c r="B412" s="1">
        <v>29</v>
      </c>
      <c r="C412" s="1" t="s">
        <v>574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/>
      <c r="O412" s="12" t="str">
        <f>IF($J412=Sheet2!$A$2, ROW(), "")</f>
        <v/>
      </c>
      <c r="Q412" s="23" t="s">
        <v>2391</v>
      </c>
    </row>
    <row r="413" spans="1:17" ht="14" customHeight="1" x14ac:dyDescent="0.3">
      <c r="A413" s="1" t="s">
        <v>575</v>
      </c>
      <c r="B413" s="1">
        <v>31</v>
      </c>
      <c r="C413" s="1" t="s">
        <v>576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1735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2392</v>
      </c>
    </row>
    <row r="414" spans="1:17" ht="14" customHeight="1" x14ac:dyDescent="0.3">
      <c r="A414" s="1" t="s">
        <v>577</v>
      </c>
      <c r="B414" s="1">
        <v>33</v>
      </c>
      <c r="C414" s="1" t="s">
        <v>578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579</v>
      </c>
      <c r="O414" s="12" t="str">
        <f>IF($J414=Sheet2!$A$2, ROW(), "")</f>
        <v/>
      </c>
      <c r="Q414" s="23" t="s">
        <v>2393</v>
      </c>
    </row>
    <row r="415" spans="1:17" ht="14" customHeight="1" x14ac:dyDescent="0.3">
      <c r="A415" s="1" t="s">
        <v>580</v>
      </c>
      <c r="B415" s="1">
        <v>27</v>
      </c>
      <c r="C415" s="1" t="s">
        <v>563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561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2394</v>
      </c>
    </row>
    <row r="416" spans="1:17" ht="14" customHeight="1" x14ac:dyDescent="0.3">
      <c r="A416" s="1" t="s">
        <v>581</v>
      </c>
      <c r="B416" s="1">
        <v>39</v>
      </c>
      <c r="C416" s="1" t="s">
        <v>582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2395</v>
      </c>
    </row>
    <row r="417" spans="1:17" ht="14" customHeight="1" x14ac:dyDescent="0.3">
      <c r="A417" s="1" t="s">
        <v>583</v>
      </c>
      <c r="B417" s="1">
        <v>30</v>
      </c>
      <c r="C417" s="1" t="s">
        <v>563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520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2396</v>
      </c>
    </row>
    <row r="418" spans="1:17" ht="14" customHeight="1" x14ac:dyDescent="0.3">
      <c r="A418" s="1" t="s">
        <v>584</v>
      </c>
      <c r="B418" s="1">
        <v>38</v>
      </c>
      <c r="C418" s="1" t="s">
        <v>563</v>
      </c>
      <c r="D418" s="1">
        <v>185</v>
      </c>
      <c r="E418" s="1">
        <v>75</v>
      </c>
      <c r="F418" s="1">
        <v>88</v>
      </c>
      <c r="G418" s="1">
        <v>106</v>
      </c>
      <c r="H418" s="1" t="s">
        <v>585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579</v>
      </c>
      <c r="O418" s="12" t="str">
        <f>IF($J418=Sheet2!$A$2, ROW(), "")</f>
        <v/>
      </c>
      <c r="Q418" s="23" t="s">
        <v>2397</v>
      </c>
    </row>
    <row r="419" spans="1:17" ht="14" customHeight="1" x14ac:dyDescent="0.3">
      <c r="A419" s="1" t="s">
        <v>586</v>
      </c>
      <c r="B419" s="1">
        <v>31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579</v>
      </c>
      <c r="O419" s="12" t="str">
        <f>IF($J419=Sheet2!$A$2, ROW(), "")</f>
        <v/>
      </c>
      <c r="Q419" s="23" t="s">
        <v>2398</v>
      </c>
    </row>
    <row r="420" spans="1:17" ht="14" customHeight="1" x14ac:dyDescent="0.3">
      <c r="A420" s="1" t="s">
        <v>587</v>
      </c>
      <c r="B420" s="1">
        <v>28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1762</v>
      </c>
      <c r="K420" s="1">
        <v>4</v>
      </c>
      <c r="L420" s="1">
        <f t="shared" si="6"/>
        <v>325</v>
      </c>
      <c r="M420" s="1" t="s">
        <v>38</v>
      </c>
      <c r="N420" s="1" t="s">
        <v>588</v>
      </c>
      <c r="O420" s="12" t="str">
        <f>IF($J420=Sheet2!$A$2, ROW(), "")</f>
        <v/>
      </c>
      <c r="Q420" s="23" t="s">
        <v>2399</v>
      </c>
    </row>
    <row r="421" spans="1:17" ht="14" customHeight="1" x14ac:dyDescent="0.3">
      <c r="A421" s="1" t="s">
        <v>589</v>
      </c>
      <c r="B421" s="1">
        <v>40</v>
      </c>
      <c r="C421" s="1" t="s">
        <v>590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579</v>
      </c>
      <c r="O421" s="12" t="str">
        <f>IF($J421=Sheet2!$A$2, ROW(), "")</f>
        <v/>
      </c>
      <c r="Q421" s="23" t="s">
        <v>2400</v>
      </c>
    </row>
    <row r="422" spans="1:17" ht="14" customHeight="1" x14ac:dyDescent="0.3">
      <c r="A422" s="1" t="s">
        <v>591</v>
      </c>
      <c r="B422" s="1">
        <v>37</v>
      </c>
      <c r="C422" s="1" t="s">
        <v>592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579</v>
      </c>
      <c r="O422" s="12" t="str">
        <f>IF($J422=Sheet2!$A$2, ROW(), "")</f>
        <v/>
      </c>
      <c r="Q422" s="23" t="s">
        <v>2401</v>
      </c>
    </row>
    <row r="423" spans="1:17" ht="14" customHeight="1" x14ac:dyDescent="0.3">
      <c r="A423" s="1" t="s">
        <v>593</v>
      </c>
      <c r="B423" s="1">
        <v>29</v>
      </c>
      <c r="C423" s="1" t="s">
        <v>563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579</v>
      </c>
      <c r="O423" s="12" t="str">
        <f>IF($J423=Sheet2!$A$2, ROW(), "")</f>
        <v/>
      </c>
      <c r="Q423" s="23" t="s">
        <v>2402</v>
      </c>
    </row>
    <row r="424" spans="1:17" ht="14" customHeight="1" x14ac:dyDescent="0.3">
      <c r="A424" s="1" t="s">
        <v>594</v>
      </c>
      <c r="B424" s="1">
        <v>32</v>
      </c>
      <c r="C424" s="1" t="s">
        <v>563</v>
      </c>
      <c r="D424" s="1">
        <v>185</v>
      </c>
      <c r="E424" s="1">
        <v>74</v>
      </c>
      <c r="F424" s="1">
        <v>100</v>
      </c>
      <c r="G424" s="1">
        <v>120</v>
      </c>
      <c r="H424" s="1" t="s">
        <v>543</v>
      </c>
      <c r="I424" s="1">
        <v>120</v>
      </c>
      <c r="J424" s="1" t="s">
        <v>1762</v>
      </c>
      <c r="K424" s="1">
        <v>4.5</v>
      </c>
      <c r="L424" s="1">
        <f t="shared" si="6"/>
        <v>600</v>
      </c>
      <c r="M424" s="1" t="s">
        <v>38</v>
      </c>
      <c r="N424" s="1" t="s">
        <v>579</v>
      </c>
      <c r="O424" s="12" t="str">
        <f>IF($J424=Sheet2!$A$2, ROW(), "")</f>
        <v/>
      </c>
      <c r="Q424" s="23" t="s">
        <v>2403</v>
      </c>
    </row>
    <row r="425" spans="1:17" ht="14" customHeight="1" x14ac:dyDescent="0.3">
      <c r="A425" s="1" t="s">
        <v>595</v>
      </c>
      <c r="B425" s="1">
        <v>21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1735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2404</v>
      </c>
    </row>
    <row r="426" spans="1:17" ht="14" customHeight="1" x14ac:dyDescent="0.3">
      <c r="A426" s="1" t="s">
        <v>596</v>
      </c>
      <c r="B426" s="1">
        <v>19</v>
      </c>
      <c r="C426" s="1" t="s">
        <v>0</v>
      </c>
      <c r="D426" s="1">
        <v>182</v>
      </c>
      <c r="E426" s="1">
        <v>72</v>
      </c>
      <c r="F426" s="1">
        <v>125</v>
      </c>
      <c r="G426" s="1">
        <v>134</v>
      </c>
      <c r="H426" s="1" t="s">
        <v>597</v>
      </c>
      <c r="I426" s="1">
        <v>24</v>
      </c>
      <c r="J426" s="1" t="s">
        <v>1766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2405</v>
      </c>
    </row>
    <row r="427" spans="1:17" ht="14" customHeight="1" x14ac:dyDescent="0.3">
      <c r="A427" s="1" t="s">
        <v>598</v>
      </c>
      <c r="B427" s="1">
        <v>19</v>
      </c>
      <c r="C427" s="1" t="s">
        <v>599</v>
      </c>
      <c r="D427" s="1">
        <v>176</v>
      </c>
      <c r="E427" s="1">
        <v>73</v>
      </c>
      <c r="F427" s="1">
        <v>133</v>
      </c>
      <c r="G427" s="1">
        <v>123</v>
      </c>
      <c r="H427" s="1" t="s">
        <v>600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2406</v>
      </c>
    </row>
    <row r="428" spans="1:17" ht="14" customHeight="1" x14ac:dyDescent="0.3">
      <c r="A428" s="1" t="s">
        <v>601</v>
      </c>
      <c r="B428" s="1">
        <v>19</v>
      </c>
      <c r="C428" s="1" t="s">
        <v>602</v>
      </c>
      <c r="D428" s="1">
        <v>182</v>
      </c>
      <c r="E428" s="1">
        <v>67</v>
      </c>
      <c r="F428" s="1">
        <v>123</v>
      </c>
      <c r="G428" s="1">
        <v>123</v>
      </c>
      <c r="H428" s="1" t="s">
        <v>1</v>
      </c>
      <c r="I428" s="1">
        <v>30</v>
      </c>
      <c r="J428" s="1" t="s">
        <v>1736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2407</v>
      </c>
    </row>
    <row r="429" spans="1:17" ht="14" customHeight="1" x14ac:dyDescent="0.3">
      <c r="A429" s="1" t="s">
        <v>603</v>
      </c>
      <c r="B429" s="1">
        <v>19</v>
      </c>
      <c r="C429" s="1" t="s">
        <v>604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2408</v>
      </c>
    </row>
    <row r="430" spans="1:17" ht="14" customHeight="1" x14ac:dyDescent="0.3">
      <c r="A430" s="1" t="s">
        <v>605</v>
      </c>
      <c r="B430" s="1">
        <v>20</v>
      </c>
      <c r="C430" s="1" t="s">
        <v>606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5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2409</v>
      </c>
    </row>
    <row r="431" spans="1:17" ht="14" customHeight="1" x14ac:dyDescent="0.3">
      <c r="A431" s="1" t="s">
        <v>607</v>
      </c>
      <c r="B431" s="1">
        <v>31</v>
      </c>
      <c r="C431" s="1" t="s">
        <v>608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1735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2410</v>
      </c>
    </row>
    <row r="432" spans="1:17" ht="14" customHeight="1" x14ac:dyDescent="0.3">
      <c r="A432" s="1" t="s">
        <v>610</v>
      </c>
      <c r="B432" s="1">
        <v>27</v>
      </c>
      <c r="C432" s="1" t="s">
        <v>611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2411</v>
      </c>
    </row>
    <row r="433" spans="1:17" ht="14" customHeight="1" x14ac:dyDescent="0.3">
      <c r="A433" s="1" t="s">
        <v>612</v>
      </c>
      <c r="B433" s="1">
        <v>32</v>
      </c>
      <c r="C433" s="1" t="s">
        <v>563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2412</v>
      </c>
    </row>
    <row r="434" spans="1:17" ht="14" customHeight="1" x14ac:dyDescent="0.3">
      <c r="A434" s="1" t="s">
        <v>613</v>
      </c>
      <c r="B434" s="1">
        <v>41</v>
      </c>
      <c r="C434" s="1" t="s">
        <v>614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2413</v>
      </c>
    </row>
    <row r="435" spans="1:17" ht="14" customHeight="1" x14ac:dyDescent="0.3">
      <c r="A435" s="1" t="s">
        <v>615</v>
      </c>
      <c r="B435" s="1">
        <v>33</v>
      </c>
      <c r="C435" s="1" t="s">
        <v>510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1917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2414</v>
      </c>
    </row>
    <row r="436" spans="1:17" ht="14" customHeight="1" x14ac:dyDescent="0.3">
      <c r="A436" s="1" t="s">
        <v>616</v>
      </c>
      <c r="B436" s="1">
        <v>34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2415</v>
      </c>
    </row>
    <row r="437" spans="1:17" ht="14" customHeight="1" x14ac:dyDescent="0.3">
      <c r="A437" s="1" t="s">
        <v>617</v>
      </c>
      <c r="B437" s="1">
        <v>30</v>
      </c>
      <c r="C437" s="1" t="s">
        <v>563</v>
      </c>
      <c r="D437" s="1">
        <v>173</v>
      </c>
      <c r="E437" s="1">
        <v>73</v>
      </c>
      <c r="F437" s="1">
        <v>96</v>
      </c>
      <c r="G437" s="1">
        <v>116</v>
      </c>
      <c r="H437" s="1" t="s">
        <v>618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2416</v>
      </c>
    </row>
    <row r="438" spans="1:17" ht="14" customHeight="1" x14ac:dyDescent="0.3">
      <c r="A438" s="1" t="s">
        <v>619</v>
      </c>
      <c r="B438" s="1">
        <v>32</v>
      </c>
      <c r="C438" s="1" t="s">
        <v>563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2417</v>
      </c>
    </row>
    <row r="439" spans="1:17" ht="14" customHeight="1" x14ac:dyDescent="0.3">
      <c r="A439" s="1" t="s">
        <v>620</v>
      </c>
      <c r="B439" s="1">
        <v>31</v>
      </c>
      <c r="C439" s="1" t="s">
        <v>563</v>
      </c>
      <c r="D439" s="1">
        <v>175</v>
      </c>
      <c r="E439" s="1">
        <v>67</v>
      </c>
      <c r="F439" s="1">
        <v>96</v>
      </c>
      <c r="G439" s="1">
        <v>114</v>
      </c>
      <c r="H439" s="1" t="s">
        <v>500</v>
      </c>
      <c r="I439" s="1">
        <v>120</v>
      </c>
      <c r="J439" s="1" t="s">
        <v>1659</v>
      </c>
      <c r="K439" s="1">
        <v>3</v>
      </c>
      <c r="L439" s="1">
        <f t="shared" si="6"/>
        <v>600</v>
      </c>
      <c r="M439" s="1" t="s">
        <v>38</v>
      </c>
      <c r="N439" s="1"/>
      <c r="O439" s="12" t="str">
        <f>IF($J439=Sheet2!$A$2, ROW(), "")</f>
        <v/>
      </c>
      <c r="Q439" s="23" t="s">
        <v>2418</v>
      </c>
    </row>
    <row r="440" spans="1:17" ht="14" customHeight="1" x14ac:dyDescent="0.3">
      <c r="A440" s="1" t="s">
        <v>621</v>
      </c>
      <c r="B440" s="1">
        <v>29</v>
      </c>
      <c r="C440" s="1" t="s">
        <v>563</v>
      </c>
      <c r="D440" s="1">
        <v>177</v>
      </c>
      <c r="E440" s="1">
        <v>75</v>
      </c>
      <c r="F440" s="1">
        <v>98</v>
      </c>
      <c r="G440" s="1">
        <v>110</v>
      </c>
      <c r="H440" s="1" t="s">
        <v>622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2419</v>
      </c>
    </row>
    <row r="441" spans="1:17" ht="14" customHeight="1" x14ac:dyDescent="0.3">
      <c r="A441" s="1" t="s">
        <v>623</v>
      </c>
      <c r="B441" s="1">
        <v>40</v>
      </c>
      <c r="C441" s="1" t="s">
        <v>624</v>
      </c>
      <c r="D441" s="1">
        <v>187</v>
      </c>
      <c r="E441" s="1">
        <v>77</v>
      </c>
      <c r="F441" s="1">
        <v>100</v>
      </c>
      <c r="G441" s="1">
        <v>144</v>
      </c>
      <c r="H441" s="1" t="s">
        <v>625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2420</v>
      </c>
    </row>
    <row r="442" spans="1:17" ht="14" customHeight="1" x14ac:dyDescent="0.3">
      <c r="A442" s="1" t="s">
        <v>626</v>
      </c>
      <c r="B442" s="1">
        <v>33</v>
      </c>
      <c r="C442" s="1" t="s">
        <v>611</v>
      </c>
      <c r="D442" s="1">
        <v>176</v>
      </c>
      <c r="E442" s="1">
        <v>74</v>
      </c>
      <c r="F442" s="1">
        <v>114</v>
      </c>
      <c r="G442" s="1">
        <v>132</v>
      </c>
      <c r="H442" s="1" t="s">
        <v>627</v>
      </c>
      <c r="I442" s="1">
        <v>160</v>
      </c>
      <c r="J442" s="1" t="s">
        <v>1762</v>
      </c>
      <c r="K442" s="1">
        <v>4</v>
      </c>
      <c r="L442" s="1">
        <f t="shared" si="6"/>
        <v>800</v>
      </c>
      <c r="M442" s="1" t="s">
        <v>38</v>
      </c>
      <c r="N442" s="1"/>
      <c r="O442" s="12" t="str">
        <f>IF($J442=Sheet2!$A$2, ROW(), "")</f>
        <v/>
      </c>
      <c r="Q442" s="23" t="s">
        <v>2421</v>
      </c>
    </row>
    <row r="443" spans="1:17" ht="14" customHeight="1" x14ac:dyDescent="0.3">
      <c r="A443" s="1" t="s">
        <v>628</v>
      </c>
      <c r="B443" s="1">
        <v>33</v>
      </c>
      <c r="C443" s="1" t="s">
        <v>629</v>
      </c>
      <c r="D443" s="1">
        <v>187</v>
      </c>
      <c r="E443" s="1">
        <v>76</v>
      </c>
      <c r="F443" s="1">
        <v>114</v>
      </c>
      <c r="G443" s="1">
        <v>130</v>
      </c>
      <c r="H443" s="1" t="s">
        <v>630</v>
      </c>
      <c r="I443" s="1">
        <v>40</v>
      </c>
      <c r="J443" s="1" t="s">
        <v>1917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2422</v>
      </c>
    </row>
    <row r="444" spans="1:17" ht="14" customHeight="1" x14ac:dyDescent="0.3">
      <c r="A444" s="1" t="s">
        <v>631</v>
      </c>
      <c r="B444" s="1">
        <v>29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1735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2423</v>
      </c>
    </row>
    <row r="445" spans="1:17" ht="14" customHeight="1" x14ac:dyDescent="0.3">
      <c r="A445" s="1" t="s">
        <v>632</v>
      </c>
      <c r="B445" s="1">
        <v>21</v>
      </c>
      <c r="C445" s="1" t="s">
        <v>517</v>
      </c>
      <c r="D445" s="1">
        <v>172</v>
      </c>
      <c r="E445" s="1">
        <v>67</v>
      </c>
      <c r="F445" s="1">
        <v>135</v>
      </c>
      <c r="G445" s="1">
        <v>168</v>
      </c>
      <c r="H445" s="1" t="s">
        <v>633</v>
      </c>
      <c r="I445" s="1">
        <v>200</v>
      </c>
      <c r="J445" s="1" t="s">
        <v>1762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2424</v>
      </c>
    </row>
    <row r="446" spans="1:17" ht="14" customHeight="1" x14ac:dyDescent="0.3">
      <c r="A446" s="1" t="s">
        <v>634</v>
      </c>
      <c r="B446" s="1">
        <v>32</v>
      </c>
      <c r="C446" s="1" t="s">
        <v>563</v>
      </c>
      <c r="D446" s="1">
        <v>178</v>
      </c>
      <c r="E446" s="1">
        <v>75</v>
      </c>
      <c r="F446" s="1">
        <v>100</v>
      </c>
      <c r="G446" s="1">
        <v>106</v>
      </c>
      <c r="H446" s="1" t="s">
        <v>635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2425</v>
      </c>
    </row>
    <row r="447" spans="1:17" ht="14" customHeight="1" x14ac:dyDescent="0.3">
      <c r="A447" s="1" t="s">
        <v>636</v>
      </c>
      <c r="B447" s="1">
        <v>27</v>
      </c>
      <c r="C447" s="1" t="s">
        <v>582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2426</v>
      </c>
    </row>
    <row r="448" spans="1:17" ht="14" customHeight="1" x14ac:dyDescent="0.3">
      <c r="A448" s="1" t="s">
        <v>637</v>
      </c>
      <c r="B448" s="1">
        <v>29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638</v>
      </c>
      <c r="I448" s="1">
        <v>45</v>
      </c>
      <c r="J448" s="1" t="s">
        <v>1890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2427</v>
      </c>
    </row>
    <row r="449" spans="1:17" ht="14" customHeight="1" x14ac:dyDescent="0.3">
      <c r="A449" s="1" t="s">
        <v>639</v>
      </c>
      <c r="B449" s="1">
        <v>26</v>
      </c>
      <c r="C449" s="1" t="s">
        <v>250</v>
      </c>
      <c r="D449" s="1">
        <v>193</v>
      </c>
      <c r="E449" s="1">
        <v>85</v>
      </c>
      <c r="F449" s="1">
        <v>124</v>
      </c>
      <c r="G449" s="1">
        <v>140</v>
      </c>
      <c r="H449" s="1" t="s">
        <v>640</v>
      </c>
      <c r="I449" s="1">
        <v>100</v>
      </c>
      <c r="J449" s="1" t="s">
        <v>1735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2428</v>
      </c>
    </row>
    <row r="450" spans="1:17" ht="14" customHeight="1" x14ac:dyDescent="0.3">
      <c r="A450" s="1" t="s">
        <v>641</v>
      </c>
      <c r="B450" s="1">
        <v>25</v>
      </c>
      <c r="C450" s="1" t="s">
        <v>642</v>
      </c>
      <c r="D450" s="1">
        <v>182</v>
      </c>
      <c r="E450" s="1">
        <v>66</v>
      </c>
      <c r="F450" s="1">
        <v>131</v>
      </c>
      <c r="G450" s="1">
        <v>158</v>
      </c>
      <c r="H450" s="1" t="s">
        <v>640</v>
      </c>
      <c r="I450" s="1">
        <v>120</v>
      </c>
      <c r="J450" s="1" t="s">
        <v>238</v>
      </c>
      <c r="K450" s="1">
        <v>4</v>
      </c>
      <c r="L450" s="1">
        <f t="shared" ref="L450:L513" si="7">I450*5</f>
        <v>600</v>
      </c>
      <c r="M450" s="1" t="s">
        <v>38</v>
      </c>
      <c r="N450" s="1"/>
      <c r="O450" s="12" t="str">
        <f>IF($J450=Sheet2!$A$2, ROW(), "")</f>
        <v/>
      </c>
      <c r="Q450" s="23" t="s">
        <v>2429</v>
      </c>
    </row>
    <row r="451" spans="1:17" ht="14" customHeight="1" x14ac:dyDescent="0.3">
      <c r="A451" s="1" t="s">
        <v>643</v>
      </c>
      <c r="B451" s="1">
        <v>24</v>
      </c>
      <c r="C451" s="1" t="s">
        <v>644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si="7"/>
        <v>700</v>
      </c>
      <c r="M451" s="1" t="s">
        <v>38</v>
      </c>
      <c r="N451" s="1"/>
      <c r="O451" s="12" t="str">
        <f>IF($J451=Sheet2!$A$2, ROW(), "")</f>
        <v/>
      </c>
      <c r="Q451" s="23" t="s">
        <v>2430</v>
      </c>
    </row>
    <row r="452" spans="1:17" ht="14" customHeight="1" x14ac:dyDescent="0.3">
      <c r="A452" s="1" t="s">
        <v>645</v>
      </c>
      <c r="B452" s="1">
        <v>24</v>
      </c>
      <c r="C452" s="1" t="s">
        <v>642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2431</v>
      </c>
    </row>
    <row r="453" spans="1:17" ht="14" customHeight="1" x14ac:dyDescent="0.3">
      <c r="A453" s="1" t="s">
        <v>646</v>
      </c>
      <c r="B453" s="1">
        <v>25</v>
      </c>
      <c r="C453" s="1" t="s">
        <v>647</v>
      </c>
      <c r="D453" s="1">
        <v>181</v>
      </c>
      <c r="E453" s="1">
        <v>71</v>
      </c>
      <c r="F453" s="1">
        <v>120</v>
      </c>
      <c r="G453" s="1">
        <v>150</v>
      </c>
      <c r="H453" s="1" t="s">
        <v>648</v>
      </c>
      <c r="I453" s="1">
        <v>220</v>
      </c>
      <c r="J453" s="1" t="s">
        <v>1735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2432</v>
      </c>
    </row>
    <row r="454" spans="1:17" ht="14" customHeight="1" x14ac:dyDescent="0.3">
      <c r="A454" s="1" t="s">
        <v>649</v>
      </c>
      <c r="B454" s="1">
        <v>32</v>
      </c>
      <c r="C454" s="1" t="s">
        <v>563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1735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2433</v>
      </c>
    </row>
    <row r="455" spans="1:17" ht="14" customHeight="1" x14ac:dyDescent="0.3">
      <c r="A455" s="1" t="s">
        <v>650</v>
      </c>
      <c r="B455" s="1">
        <v>30</v>
      </c>
      <c r="C455" s="1" t="s">
        <v>563</v>
      </c>
      <c r="D455" s="1">
        <v>171</v>
      </c>
      <c r="E455" s="1">
        <v>77</v>
      </c>
      <c r="F455" s="1">
        <v>96</v>
      </c>
      <c r="G455" s="1">
        <v>116</v>
      </c>
      <c r="H455" s="1" t="s">
        <v>651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2434</v>
      </c>
    </row>
    <row r="456" spans="1:17" ht="14" customHeight="1" x14ac:dyDescent="0.3">
      <c r="A456" s="1" t="s">
        <v>652</v>
      </c>
      <c r="B456" s="1">
        <v>29</v>
      </c>
      <c r="C456" s="1" t="s">
        <v>563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2435</v>
      </c>
    </row>
    <row r="457" spans="1:17" ht="14" customHeight="1" x14ac:dyDescent="0.3">
      <c r="A457" s="1" t="s">
        <v>653</v>
      </c>
      <c r="B457" s="1">
        <v>29</v>
      </c>
      <c r="C457" s="1" t="s">
        <v>563</v>
      </c>
      <c r="D457" s="1">
        <v>182</v>
      </c>
      <c r="E457" s="1">
        <v>82</v>
      </c>
      <c r="F457" s="1">
        <v>92</v>
      </c>
      <c r="G457" s="1">
        <v>110</v>
      </c>
      <c r="H457" s="1" t="s">
        <v>654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2436</v>
      </c>
    </row>
    <row r="458" spans="1:17" ht="14" customHeight="1" x14ac:dyDescent="0.3">
      <c r="A458" s="1" t="s">
        <v>655</v>
      </c>
      <c r="B458" s="1">
        <v>32</v>
      </c>
      <c r="C458" s="1" t="s">
        <v>563</v>
      </c>
      <c r="D458" s="1">
        <v>177</v>
      </c>
      <c r="E458" s="1">
        <v>75</v>
      </c>
      <c r="F458" s="1">
        <v>88</v>
      </c>
      <c r="G458" s="1">
        <v>104</v>
      </c>
      <c r="H458" s="1" t="s">
        <v>656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2437</v>
      </c>
    </row>
    <row r="459" spans="1:17" ht="14" customHeight="1" x14ac:dyDescent="0.3">
      <c r="A459" s="1" t="s">
        <v>657</v>
      </c>
      <c r="B459" s="1">
        <v>34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545</v>
      </c>
      <c r="I459" s="1">
        <v>60</v>
      </c>
      <c r="J459" s="1" t="s">
        <v>3411</v>
      </c>
      <c r="K459" s="1">
        <v>6</v>
      </c>
      <c r="L459" s="1">
        <f t="shared" si="7"/>
        <v>300</v>
      </c>
      <c r="M459" s="1" t="s">
        <v>38</v>
      </c>
      <c r="N459" s="1"/>
      <c r="O459" s="12" t="str">
        <f>IF($J459=Sheet2!$A$2, ROW(), "")</f>
        <v/>
      </c>
      <c r="Q459" s="23" t="s">
        <v>2438</v>
      </c>
    </row>
    <row r="460" spans="1:17" ht="14" customHeight="1" x14ac:dyDescent="0.3">
      <c r="A460" s="1" t="s">
        <v>658</v>
      </c>
      <c r="B460" s="1">
        <v>27</v>
      </c>
      <c r="C460" s="1" t="s">
        <v>563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1735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2439</v>
      </c>
    </row>
    <row r="461" spans="1:17" ht="14" customHeight="1" x14ac:dyDescent="0.3">
      <c r="A461" s="1" t="s">
        <v>659</v>
      </c>
      <c r="B461" s="1">
        <v>28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1735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2440</v>
      </c>
    </row>
    <row r="462" spans="1:17" ht="14" customHeight="1" x14ac:dyDescent="0.3">
      <c r="A462" s="1" t="s">
        <v>660</v>
      </c>
      <c r="B462" s="1">
        <v>28</v>
      </c>
      <c r="C462" s="1" t="s">
        <v>661</v>
      </c>
      <c r="D462" s="1">
        <v>191</v>
      </c>
      <c r="E462" s="1">
        <v>78</v>
      </c>
      <c r="F462" s="1">
        <v>120</v>
      </c>
      <c r="G462" s="1">
        <v>120</v>
      </c>
      <c r="H462" s="1" t="s">
        <v>662</v>
      </c>
      <c r="I462" s="1">
        <v>120</v>
      </c>
      <c r="J462" s="1" t="s">
        <v>1736</v>
      </c>
      <c r="K462" s="1">
        <v>6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2441</v>
      </c>
    </row>
    <row r="463" spans="1:17" ht="14" customHeight="1" x14ac:dyDescent="0.3">
      <c r="A463" s="1" t="s">
        <v>663</v>
      </c>
      <c r="B463" s="1">
        <v>31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664</v>
      </c>
      <c r="I463" s="1">
        <v>50</v>
      </c>
      <c r="J463" s="1" t="s">
        <v>1735</v>
      </c>
      <c r="K463" s="1">
        <v>5</v>
      </c>
      <c r="L463" s="1">
        <f t="shared" si="7"/>
        <v>250</v>
      </c>
      <c r="M463" s="1" t="s">
        <v>38</v>
      </c>
      <c r="N463" s="1"/>
      <c r="O463" s="12" t="str">
        <f>IF($J463=Sheet2!$A$2, ROW(), "")</f>
        <v/>
      </c>
      <c r="Q463" s="23" t="s">
        <v>2442</v>
      </c>
    </row>
    <row r="464" spans="1:17" ht="14" customHeight="1" x14ac:dyDescent="0.3">
      <c r="A464" s="1" t="s">
        <v>665</v>
      </c>
      <c r="B464" s="1">
        <v>26</v>
      </c>
      <c r="C464" s="1" t="s">
        <v>647</v>
      </c>
      <c r="D464" s="1">
        <v>188</v>
      </c>
      <c r="E464" s="1">
        <v>80</v>
      </c>
      <c r="F464" s="1">
        <v>100</v>
      </c>
      <c r="G464" s="1">
        <v>100</v>
      </c>
      <c r="H464" s="1" t="s">
        <v>666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2443</v>
      </c>
    </row>
    <row r="465" spans="1:17" ht="14" customHeight="1" x14ac:dyDescent="0.3">
      <c r="A465" s="1" t="s">
        <v>667</v>
      </c>
      <c r="B465" s="1">
        <v>26</v>
      </c>
      <c r="C465" s="1" t="s">
        <v>668</v>
      </c>
      <c r="D465" s="1">
        <v>196</v>
      </c>
      <c r="E465" s="1">
        <v>77</v>
      </c>
      <c r="F465" s="1">
        <v>125</v>
      </c>
      <c r="G465" s="1">
        <v>150</v>
      </c>
      <c r="H465" s="1" t="s">
        <v>1</v>
      </c>
      <c r="I465" s="1">
        <v>24</v>
      </c>
      <c r="J465" s="1" t="s">
        <v>1917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2444</v>
      </c>
    </row>
    <row r="466" spans="1:17" ht="14" customHeight="1" x14ac:dyDescent="0.3">
      <c r="A466" s="1" t="s">
        <v>669</v>
      </c>
      <c r="B466" s="1">
        <v>30</v>
      </c>
      <c r="C466" s="1" t="s">
        <v>670</v>
      </c>
      <c r="D466" s="1">
        <v>183</v>
      </c>
      <c r="E466" s="1">
        <v>74</v>
      </c>
      <c r="F466" s="1">
        <v>92</v>
      </c>
      <c r="G466" s="1">
        <v>120</v>
      </c>
      <c r="H466" s="1" t="s">
        <v>671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2445</v>
      </c>
    </row>
    <row r="467" spans="1:17" ht="14" customHeight="1" x14ac:dyDescent="0.3">
      <c r="A467" s="1" t="s">
        <v>672</v>
      </c>
      <c r="B467" s="1">
        <v>26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1735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2446</v>
      </c>
    </row>
    <row r="468" spans="1:17" ht="14" customHeight="1" x14ac:dyDescent="0.3">
      <c r="A468" s="1" t="s">
        <v>673</v>
      </c>
      <c r="B468" s="1">
        <v>30</v>
      </c>
      <c r="C468" s="1" t="s">
        <v>563</v>
      </c>
      <c r="D468" s="1">
        <v>178</v>
      </c>
      <c r="E468" s="1">
        <v>76</v>
      </c>
      <c r="F468" s="1">
        <v>88</v>
      </c>
      <c r="G468" s="1">
        <v>110</v>
      </c>
      <c r="H468" s="1" t="s">
        <v>674</v>
      </c>
      <c r="I468" s="1">
        <v>50</v>
      </c>
      <c r="J468" s="1" t="s">
        <v>1659</v>
      </c>
      <c r="K468" s="1">
        <v>3</v>
      </c>
      <c r="L468" s="1">
        <f t="shared" si="7"/>
        <v>250</v>
      </c>
      <c r="M468" s="1" t="s">
        <v>38</v>
      </c>
      <c r="N468" s="1"/>
      <c r="O468" s="12" t="str">
        <f>IF($J468=Sheet2!$A$2, ROW(), "")</f>
        <v/>
      </c>
      <c r="Q468" s="23" t="s">
        <v>2447</v>
      </c>
    </row>
    <row r="469" spans="1:17" ht="14" customHeight="1" x14ac:dyDescent="0.3">
      <c r="A469" s="1" t="s">
        <v>675</v>
      </c>
      <c r="B469" s="1">
        <v>28</v>
      </c>
      <c r="C469" s="1" t="s">
        <v>676</v>
      </c>
      <c r="D469" s="1">
        <v>182</v>
      </c>
      <c r="E469" s="1">
        <v>76</v>
      </c>
      <c r="F469" s="1">
        <v>105</v>
      </c>
      <c r="G469" s="1">
        <v>115</v>
      </c>
      <c r="H469" s="1" t="s">
        <v>677</v>
      </c>
      <c r="I469" s="1">
        <v>30</v>
      </c>
      <c r="J469" s="1" t="s">
        <v>609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2448</v>
      </c>
    </row>
    <row r="470" spans="1:17" ht="14" customHeight="1" x14ac:dyDescent="0.3">
      <c r="A470" s="1" t="s">
        <v>678</v>
      </c>
      <c r="B470" s="1">
        <v>26</v>
      </c>
      <c r="C470" s="1" t="s">
        <v>679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2449</v>
      </c>
    </row>
    <row r="471" spans="1:17" ht="14" customHeight="1" x14ac:dyDescent="0.3">
      <c r="A471" s="1" t="s">
        <v>680</v>
      </c>
      <c r="B471" s="1">
        <v>28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2450</v>
      </c>
    </row>
    <row r="472" spans="1:17" ht="14" customHeight="1" x14ac:dyDescent="0.3">
      <c r="A472" s="1" t="s">
        <v>681</v>
      </c>
      <c r="B472" s="1">
        <v>31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2451</v>
      </c>
    </row>
    <row r="473" spans="1:17" ht="14" customHeight="1" x14ac:dyDescent="0.3">
      <c r="A473" s="1" t="s">
        <v>682</v>
      </c>
      <c r="B473" s="1">
        <v>24</v>
      </c>
      <c r="C473" s="1" t="s">
        <v>611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683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2452</v>
      </c>
    </row>
    <row r="474" spans="1:17" ht="14" customHeight="1" x14ac:dyDescent="0.3">
      <c r="A474" s="1" t="s">
        <v>684</v>
      </c>
      <c r="B474" s="1">
        <v>27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1890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2453</v>
      </c>
    </row>
    <row r="475" spans="1:17" ht="14" customHeight="1" x14ac:dyDescent="0.3">
      <c r="A475" s="1" t="s">
        <v>685</v>
      </c>
      <c r="B475" s="1">
        <v>29</v>
      </c>
      <c r="C475" s="1" t="s">
        <v>563</v>
      </c>
      <c r="D475" s="1">
        <v>188</v>
      </c>
      <c r="E475" s="1">
        <v>75</v>
      </c>
      <c r="F475" s="1">
        <v>94</v>
      </c>
      <c r="G475" s="1">
        <v>116</v>
      </c>
      <c r="H475" s="1" t="s">
        <v>686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2454</v>
      </c>
    </row>
    <row r="476" spans="1:17" ht="14" customHeight="1" x14ac:dyDescent="0.3">
      <c r="A476" s="1" t="s">
        <v>687</v>
      </c>
      <c r="B476" s="1">
        <v>29</v>
      </c>
      <c r="C476" s="1" t="s">
        <v>563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2455</v>
      </c>
    </row>
    <row r="477" spans="1:17" ht="14" customHeight="1" x14ac:dyDescent="0.3">
      <c r="A477" s="1" t="s">
        <v>688</v>
      </c>
      <c r="B477" s="1">
        <v>31</v>
      </c>
      <c r="C477" s="1" t="s">
        <v>563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24</v>
      </c>
      <c r="J477" s="1" t="s">
        <v>1759</v>
      </c>
      <c r="K477" s="1">
        <v>5</v>
      </c>
      <c r="L477" s="1">
        <f t="shared" si="7"/>
        <v>120</v>
      </c>
      <c r="M477" s="1" t="s">
        <v>38</v>
      </c>
      <c r="N477" s="1"/>
      <c r="O477" s="12" t="str">
        <f>IF($J477=Sheet2!$A$2, ROW(), "")</f>
        <v/>
      </c>
      <c r="Q477" s="23" t="s">
        <v>2456</v>
      </c>
    </row>
    <row r="478" spans="1:17" ht="14" customHeight="1" x14ac:dyDescent="0.3">
      <c r="A478" s="1" t="s">
        <v>690</v>
      </c>
      <c r="B478" s="1">
        <v>35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1782</v>
      </c>
      <c r="K478" s="1">
        <v>5.5</v>
      </c>
      <c r="L478" s="1">
        <f t="shared" si="7"/>
        <v>120</v>
      </c>
      <c r="M478" s="1" t="s">
        <v>1824</v>
      </c>
      <c r="N478" s="1"/>
      <c r="O478" s="12" t="str">
        <f>IF($J478=Sheet2!$A$2, ROW(), "")</f>
        <v/>
      </c>
      <c r="Q478" s="23" t="s">
        <v>2457</v>
      </c>
    </row>
    <row r="479" spans="1:17" ht="14" customHeight="1" x14ac:dyDescent="0.3">
      <c r="A479" s="1" t="s">
        <v>691</v>
      </c>
      <c r="B479" s="1">
        <v>26</v>
      </c>
      <c r="C479" s="1" t="s">
        <v>642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2458</v>
      </c>
    </row>
    <row r="480" spans="1:17" ht="14" customHeight="1" x14ac:dyDescent="0.3">
      <c r="A480" s="1" t="s">
        <v>692</v>
      </c>
      <c r="B480" s="1">
        <v>38</v>
      </c>
      <c r="C480" s="1" t="s">
        <v>563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2459</v>
      </c>
    </row>
    <row r="481" spans="1:17" ht="14" customHeight="1" x14ac:dyDescent="0.3">
      <c r="A481" s="1" t="s">
        <v>693</v>
      </c>
      <c r="B481" s="1">
        <v>41</v>
      </c>
      <c r="C481" s="1" t="s">
        <v>563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2460</v>
      </c>
    </row>
    <row r="482" spans="1:17" ht="14" customHeight="1" x14ac:dyDescent="0.3">
      <c r="A482" s="1" t="s">
        <v>694</v>
      </c>
      <c r="B482" s="1">
        <v>30</v>
      </c>
      <c r="C482" s="1" t="s">
        <v>563</v>
      </c>
      <c r="D482" s="1">
        <v>176</v>
      </c>
      <c r="E482" s="1">
        <v>76</v>
      </c>
      <c r="F482" s="1">
        <v>90</v>
      </c>
      <c r="G482" s="1">
        <v>106</v>
      </c>
      <c r="H482" s="1" t="s">
        <v>695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2461</v>
      </c>
    </row>
    <row r="483" spans="1:17" ht="14" customHeight="1" x14ac:dyDescent="0.3">
      <c r="A483" s="1" t="s">
        <v>696</v>
      </c>
      <c r="B483" s="1">
        <v>31</v>
      </c>
      <c r="C483" s="1" t="s">
        <v>563</v>
      </c>
      <c r="D483" s="1">
        <v>183</v>
      </c>
      <c r="E483" s="1">
        <v>72</v>
      </c>
      <c r="F483" s="1">
        <v>90</v>
      </c>
      <c r="G483" s="1">
        <v>112</v>
      </c>
      <c r="H483" s="1" t="s">
        <v>697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2462</v>
      </c>
    </row>
    <row r="484" spans="1:17" ht="14" customHeight="1" x14ac:dyDescent="0.3">
      <c r="A484" s="1" t="s">
        <v>698</v>
      </c>
      <c r="B484" s="1">
        <v>27</v>
      </c>
      <c r="C484" s="1" t="s">
        <v>699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1735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2463</v>
      </c>
    </row>
    <row r="485" spans="1:17" ht="14" customHeight="1" x14ac:dyDescent="0.3">
      <c r="A485" s="1" t="s">
        <v>700</v>
      </c>
      <c r="B485" s="1">
        <v>38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2464</v>
      </c>
    </row>
    <row r="486" spans="1:17" ht="14" customHeight="1" x14ac:dyDescent="0.3">
      <c r="A486" s="1" t="s">
        <v>701</v>
      </c>
      <c r="B486" s="1">
        <v>36</v>
      </c>
      <c r="C486" s="1" t="s">
        <v>563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2465</v>
      </c>
    </row>
    <row r="487" spans="1:17" ht="14" customHeight="1" x14ac:dyDescent="0.3">
      <c r="A487" s="1" t="s">
        <v>702</v>
      </c>
      <c r="B487" s="1">
        <v>31</v>
      </c>
      <c r="C487" s="1" t="s">
        <v>563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2466</v>
      </c>
    </row>
    <row r="488" spans="1:17" ht="14" customHeight="1" x14ac:dyDescent="0.3">
      <c r="A488" s="1" t="s">
        <v>703</v>
      </c>
      <c r="B488" s="1">
        <v>35</v>
      </c>
      <c r="C488" s="1" t="s">
        <v>563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2467</v>
      </c>
    </row>
    <row r="489" spans="1:17" ht="14" customHeight="1" x14ac:dyDescent="0.3">
      <c r="A489" s="1" t="s">
        <v>704</v>
      </c>
      <c r="B489" s="1">
        <v>29</v>
      </c>
      <c r="C489" s="1" t="s">
        <v>705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1946</v>
      </c>
      <c r="K489" s="1">
        <v>5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2468</v>
      </c>
    </row>
    <row r="490" spans="1:17" ht="14" customHeight="1" x14ac:dyDescent="0.3">
      <c r="A490" s="1" t="s">
        <v>706</v>
      </c>
      <c r="B490" s="1">
        <v>27</v>
      </c>
      <c r="C490" s="1" t="s">
        <v>679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1717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2469</v>
      </c>
    </row>
    <row r="491" spans="1:17" ht="14" customHeight="1" x14ac:dyDescent="0.3">
      <c r="A491" s="1" t="s">
        <v>707</v>
      </c>
      <c r="B491" s="1">
        <v>35</v>
      </c>
      <c r="C491" s="1" t="s">
        <v>708</v>
      </c>
      <c r="D491" s="1">
        <v>187</v>
      </c>
      <c r="E491" s="1">
        <v>82</v>
      </c>
      <c r="F491" s="1">
        <v>106</v>
      </c>
      <c r="G491" s="1">
        <v>126</v>
      </c>
      <c r="H491" s="1" t="s">
        <v>709</v>
      </c>
      <c r="I491" s="1">
        <v>140</v>
      </c>
      <c r="J491" s="1" t="s">
        <v>1735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2470</v>
      </c>
    </row>
    <row r="492" spans="1:17" ht="14" customHeight="1" x14ac:dyDescent="0.3">
      <c r="A492" s="1" t="s">
        <v>710</v>
      </c>
      <c r="B492" s="1">
        <v>25</v>
      </c>
      <c r="C492" s="1" t="s">
        <v>711</v>
      </c>
      <c r="D492" s="1">
        <v>182</v>
      </c>
      <c r="E492" s="1">
        <v>76</v>
      </c>
      <c r="F492" s="1">
        <v>111</v>
      </c>
      <c r="G492" s="1">
        <v>124</v>
      </c>
      <c r="H492" s="1" t="s">
        <v>712</v>
      </c>
      <c r="I492" s="1">
        <v>100</v>
      </c>
      <c r="J492" s="1" t="s">
        <v>1735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2471</v>
      </c>
    </row>
    <row r="493" spans="1:17" ht="14" customHeight="1" x14ac:dyDescent="0.3">
      <c r="A493" s="1" t="s">
        <v>713</v>
      </c>
      <c r="B493" s="1">
        <v>27</v>
      </c>
      <c r="C493" s="1" t="s">
        <v>714</v>
      </c>
      <c r="D493" s="1">
        <v>189</v>
      </c>
      <c r="E493" s="1">
        <v>76</v>
      </c>
      <c r="F493" s="1">
        <v>120</v>
      </c>
      <c r="G493" s="1">
        <v>120</v>
      </c>
      <c r="H493" s="1" t="s">
        <v>715</v>
      </c>
      <c r="I493" s="1">
        <v>80</v>
      </c>
      <c r="J493" s="1" t="s">
        <v>561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2472</v>
      </c>
    </row>
    <row r="494" spans="1:17" ht="14" customHeight="1" x14ac:dyDescent="0.3">
      <c r="A494" s="1" t="s">
        <v>716</v>
      </c>
      <c r="B494" s="1">
        <v>39</v>
      </c>
      <c r="C494" s="1" t="s">
        <v>717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2473</v>
      </c>
    </row>
    <row r="495" spans="1:17" ht="14" customHeight="1" x14ac:dyDescent="0.3">
      <c r="A495" s="1" t="s">
        <v>718</v>
      </c>
      <c r="B495" s="1">
        <v>34</v>
      </c>
      <c r="C495" s="1" t="s">
        <v>563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1735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2474</v>
      </c>
    </row>
    <row r="496" spans="1:17" ht="14" customHeight="1" x14ac:dyDescent="0.3">
      <c r="A496" s="1" t="s">
        <v>719</v>
      </c>
      <c r="B496" s="1">
        <v>26</v>
      </c>
      <c r="C496" s="1" t="s">
        <v>285</v>
      </c>
      <c r="D496" s="1">
        <v>196</v>
      </c>
      <c r="E496" s="1">
        <v>74</v>
      </c>
      <c r="F496" s="1">
        <v>128</v>
      </c>
      <c r="G496" s="1">
        <v>146</v>
      </c>
      <c r="H496" s="1" t="s">
        <v>1</v>
      </c>
      <c r="I496" s="1">
        <v>35</v>
      </c>
      <c r="J496" s="1" t="s">
        <v>1847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2475</v>
      </c>
    </row>
    <row r="497" spans="1:17" ht="14" customHeight="1" x14ac:dyDescent="0.3">
      <c r="A497" s="1" t="s">
        <v>720</v>
      </c>
      <c r="B497" s="1">
        <v>31</v>
      </c>
      <c r="C497" s="1" t="s">
        <v>563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2476</v>
      </c>
    </row>
    <row r="498" spans="1:17" ht="14" customHeight="1" x14ac:dyDescent="0.3">
      <c r="A498" s="1" t="s">
        <v>721</v>
      </c>
      <c r="B498" s="1">
        <v>35</v>
      </c>
      <c r="C498" s="1" t="s">
        <v>563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2477</v>
      </c>
    </row>
    <row r="499" spans="1:17" ht="14" customHeight="1" x14ac:dyDescent="0.3">
      <c r="A499" s="1" t="s">
        <v>722</v>
      </c>
      <c r="B499" s="1">
        <v>29</v>
      </c>
      <c r="C499" s="1" t="s">
        <v>510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1917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2478</v>
      </c>
    </row>
    <row r="500" spans="1:17" ht="14" customHeight="1" x14ac:dyDescent="0.3">
      <c r="A500" s="1" t="s">
        <v>723</v>
      </c>
      <c r="B500" s="1">
        <v>29</v>
      </c>
      <c r="C500" s="1" t="s">
        <v>611</v>
      </c>
      <c r="D500" s="1">
        <v>184</v>
      </c>
      <c r="E500" s="1">
        <v>76</v>
      </c>
      <c r="F500" s="1">
        <v>112</v>
      </c>
      <c r="G500" s="1">
        <v>140</v>
      </c>
      <c r="H500" s="1" t="s">
        <v>724</v>
      </c>
      <c r="I500" s="1">
        <v>30</v>
      </c>
      <c r="J500" s="1" t="s">
        <v>1917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2479</v>
      </c>
    </row>
    <row r="501" spans="1:17" ht="14" customHeight="1" x14ac:dyDescent="0.3">
      <c r="A501" s="1" t="s">
        <v>725</v>
      </c>
      <c r="B501" s="1">
        <v>32</v>
      </c>
      <c r="C501" s="1" t="s">
        <v>726</v>
      </c>
      <c r="D501" s="1">
        <v>185</v>
      </c>
      <c r="E501" s="1">
        <v>80</v>
      </c>
      <c r="F501" s="1">
        <v>108</v>
      </c>
      <c r="G501" s="1">
        <v>128</v>
      </c>
      <c r="H501" s="1" t="s">
        <v>727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2480</v>
      </c>
    </row>
    <row r="502" spans="1:17" ht="14" customHeight="1" x14ac:dyDescent="0.3">
      <c r="A502" s="1" t="s">
        <v>728</v>
      </c>
      <c r="B502" s="1">
        <v>22</v>
      </c>
      <c r="C502" s="1" t="s">
        <v>499</v>
      </c>
      <c r="D502" s="1">
        <v>192</v>
      </c>
      <c r="E502" s="1">
        <v>85</v>
      </c>
      <c r="F502" s="1">
        <v>125</v>
      </c>
      <c r="G502" s="1">
        <v>140</v>
      </c>
      <c r="H502" s="1" t="s">
        <v>3333</v>
      </c>
      <c r="I502" s="1">
        <v>200</v>
      </c>
      <c r="J502" s="1" t="s">
        <v>1840</v>
      </c>
      <c r="K502" s="1">
        <v>6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2481</v>
      </c>
    </row>
    <row r="503" spans="1:17" ht="14" customHeight="1" x14ac:dyDescent="0.3">
      <c r="A503" s="1" t="s">
        <v>729</v>
      </c>
      <c r="B503" s="1">
        <v>32</v>
      </c>
      <c r="C503" s="1" t="s">
        <v>730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2482</v>
      </c>
    </row>
    <row r="504" spans="1:17" ht="14" customHeight="1" x14ac:dyDescent="0.3">
      <c r="A504" s="1" t="s">
        <v>731</v>
      </c>
      <c r="B504" s="1">
        <v>35</v>
      </c>
      <c r="C504" s="1" t="s">
        <v>732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1735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2483</v>
      </c>
    </row>
    <row r="505" spans="1:17" ht="14" customHeight="1" x14ac:dyDescent="0.3">
      <c r="A505" s="1" t="s">
        <v>733</v>
      </c>
      <c r="B505" s="1">
        <v>29</v>
      </c>
      <c r="C505" s="1" t="s">
        <v>734</v>
      </c>
      <c r="D505" s="1">
        <v>168</v>
      </c>
      <c r="E505" s="1">
        <v>68</v>
      </c>
      <c r="F505" s="1">
        <v>114</v>
      </c>
      <c r="G505" s="1">
        <v>122</v>
      </c>
      <c r="H505" s="1" t="s">
        <v>735</v>
      </c>
      <c r="I505" s="1">
        <v>80</v>
      </c>
      <c r="J505" s="1" t="s">
        <v>1718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2484</v>
      </c>
    </row>
    <row r="506" spans="1:17" ht="14" customHeight="1" x14ac:dyDescent="0.3">
      <c r="A506" s="1" t="s">
        <v>736</v>
      </c>
      <c r="B506" s="1">
        <v>35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3244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2485</v>
      </c>
    </row>
    <row r="507" spans="1:17" ht="14" customHeight="1" x14ac:dyDescent="0.3">
      <c r="A507" s="1" t="s">
        <v>738</v>
      </c>
      <c r="B507" s="1">
        <v>32</v>
      </c>
      <c r="C507" s="1" t="s">
        <v>734</v>
      </c>
      <c r="D507" s="1">
        <v>168</v>
      </c>
      <c r="E507" s="1">
        <v>60</v>
      </c>
      <c r="F507" s="1">
        <v>112</v>
      </c>
      <c r="G507" s="1">
        <v>134</v>
      </c>
      <c r="H507" s="1" t="s">
        <v>739</v>
      </c>
      <c r="I507" s="1">
        <v>60</v>
      </c>
      <c r="J507" s="1" t="s">
        <v>1718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2486</v>
      </c>
    </row>
    <row r="508" spans="1:17" ht="14" customHeight="1" x14ac:dyDescent="0.3">
      <c r="A508" s="1" t="s">
        <v>740</v>
      </c>
      <c r="B508" s="1">
        <v>36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2487</v>
      </c>
    </row>
    <row r="509" spans="1:17" ht="14" customHeight="1" x14ac:dyDescent="0.3">
      <c r="A509" s="1" t="s">
        <v>741</v>
      </c>
      <c r="B509" s="1">
        <v>22</v>
      </c>
      <c r="C509" s="1" t="s">
        <v>563</v>
      </c>
      <c r="D509" s="1">
        <v>182</v>
      </c>
      <c r="E509" s="1">
        <v>78</v>
      </c>
      <c r="F509" s="1">
        <v>132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2488</v>
      </c>
    </row>
    <row r="510" spans="1:17" ht="14" customHeight="1" x14ac:dyDescent="0.3">
      <c r="A510" s="1" t="s">
        <v>742</v>
      </c>
      <c r="B510" s="1">
        <v>22</v>
      </c>
      <c r="C510" s="1" t="s">
        <v>295</v>
      </c>
      <c r="D510" s="1">
        <v>186</v>
      </c>
      <c r="E510" s="1">
        <v>76</v>
      </c>
      <c r="F510" s="1">
        <v>130</v>
      </c>
      <c r="G510" s="1">
        <v>130</v>
      </c>
      <c r="H510" s="1" t="s">
        <v>743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2489</v>
      </c>
    </row>
    <row r="511" spans="1:17" ht="14" customHeight="1" x14ac:dyDescent="0.3">
      <c r="A511" s="1" t="s">
        <v>744</v>
      </c>
      <c r="B511" s="1">
        <v>21</v>
      </c>
      <c r="C511" s="1" t="s">
        <v>745</v>
      </c>
      <c r="D511" s="1">
        <v>167</v>
      </c>
      <c r="E511" s="1">
        <v>63</v>
      </c>
      <c r="F511" s="1">
        <v>129</v>
      </c>
      <c r="G511" s="1">
        <v>140</v>
      </c>
      <c r="H511" s="1" t="s">
        <v>746</v>
      </c>
      <c r="I511" s="1">
        <v>100</v>
      </c>
      <c r="J511" s="1" t="s">
        <v>1717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2490</v>
      </c>
    </row>
    <row r="512" spans="1:17" ht="14" customHeight="1" x14ac:dyDescent="0.3">
      <c r="A512" s="1" t="s">
        <v>747</v>
      </c>
      <c r="B512" s="1">
        <v>21</v>
      </c>
      <c r="C512" s="1" t="s">
        <v>748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2491</v>
      </c>
    </row>
    <row r="513" spans="1:17" ht="14" customHeight="1" x14ac:dyDescent="0.3">
      <c r="A513" s="1" t="s">
        <v>749</v>
      </c>
      <c r="B513" s="1">
        <v>21</v>
      </c>
      <c r="C513" s="1" t="s">
        <v>750</v>
      </c>
      <c r="D513" s="1">
        <v>190</v>
      </c>
      <c r="E513" s="1">
        <v>75</v>
      </c>
      <c r="F513" s="1">
        <v>125</v>
      </c>
      <c r="G513" s="1">
        <v>125</v>
      </c>
      <c r="H513" s="1" t="s">
        <v>751</v>
      </c>
      <c r="I513" s="1">
        <v>100</v>
      </c>
      <c r="J513" s="1" t="s">
        <v>1659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2492</v>
      </c>
    </row>
    <row r="514" spans="1:17" ht="14" customHeight="1" x14ac:dyDescent="0.3">
      <c r="A514" s="1" t="s">
        <v>752</v>
      </c>
      <c r="B514" s="1">
        <v>20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1659</v>
      </c>
      <c r="K514" s="1">
        <v>5</v>
      </c>
      <c r="L514" s="1">
        <f t="shared" ref="L514:L577" si="8">I514*5</f>
        <v>500</v>
      </c>
      <c r="M514" s="1" t="s">
        <v>98</v>
      </c>
      <c r="N514" s="1"/>
      <c r="O514" s="12" t="str">
        <f>IF($J514=Sheet2!$A$2, ROW(), "")</f>
        <v/>
      </c>
      <c r="Q514" s="23" t="s">
        <v>2493</v>
      </c>
    </row>
    <row r="515" spans="1:17" ht="14" customHeight="1" x14ac:dyDescent="0.3">
      <c r="A515" s="1" t="s">
        <v>753</v>
      </c>
      <c r="B515" s="1">
        <v>23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5</v>
      </c>
      <c r="L515" s="1">
        <f t="shared" si="8"/>
        <v>120</v>
      </c>
      <c r="M515" s="1" t="s">
        <v>98</v>
      </c>
      <c r="N515" s="1"/>
      <c r="O515" s="12" t="str">
        <f>IF($J515=Sheet2!$A$2, ROW(), "")</f>
        <v/>
      </c>
      <c r="Q515" s="23" t="s">
        <v>2494</v>
      </c>
    </row>
    <row r="516" spans="1:17" ht="14" customHeight="1" x14ac:dyDescent="0.3">
      <c r="A516" s="1" t="s">
        <v>754</v>
      </c>
      <c r="B516" s="1">
        <v>21</v>
      </c>
      <c r="C516" s="1" t="s">
        <v>755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5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2495</v>
      </c>
    </row>
    <row r="517" spans="1:17" ht="14" customHeight="1" x14ac:dyDescent="0.3">
      <c r="A517" s="1" t="s">
        <v>756</v>
      </c>
      <c r="B517" s="1">
        <v>31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2496</v>
      </c>
    </row>
    <row r="518" spans="1:17" ht="14" customHeight="1" x14ac:dyDescent="0.3">
      <c r="A518" s="1" t="s">
        <v>757</v>
      </c>
      <c r="B518" s="1">
        <v>31</v>
      </c>
      <c r="C518" s="1" t="s">
        <v>563</v>
      </c>
      <c r="D518" s="1">
        <v>180</v>
      </c>
      <c r="E518" s="1">
        <v>72</v>
      </c>
      <c r="F518" s="1">
        <v>94</v>
      </c>
      <c r="G518" s="1">
        <v>104</v>
      </c>
      <c r="H518" s="1" t="s">
        <v>758</v>
      </c>
      <c r="I518" s="1">
        <v>120</v>
      </c>
      <c r="J518" s="1" t="s">
        <v>1718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2497</v>
      </c>
    </row>
    <row r="519" spans="1:17" ht="14" customHeight="1" x14ac:dyDescent="0.3">
      <c r="A519" s="1" t="s">
        <v>759</v>
      </c>
      <c r="B519" s="1">
        <v>32</v>
      </c>
      <c r="C519" s="1" t="s">
        <v>563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1718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2498</v>
      </c>
    </row>
    <row r="520" spans="1:17" ht="14" customHeight="1" x14ac:dyDescent="0.3">
      <c r="A520" s="1" t="s">
        <v>760</v>
      </c>
      <c r="B520" s="1">
        <v>30</v>
      </c>
      <c r="C520" s="1" t="s">
        <v>563</v>
      </c>
      <c r="D520" s="1">
        <v>186</v>
      </c>
      <c r="E520" s="1">
        <v>74</v>
      </c>
      <c r="F520" s="1">
        <v>84</v>
      </c>
      <c r="G520" s="1">
        <v>104</v>
      </c>
      <c r="H520" s="1" t="s">
        <v>761</v>
      </c>
      <c r="I520" s="1">
        <v>100</v>
      </c>
      <c r="J520" s="1" t="s">
        <v>1762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2499</v>
      </c>
    </row>
    <row r="521" spans="1:17" ht="14" customHeight="1" x14ac:dyDescent="0.3">
      <c r="A521" s="1" t="s">
        <v>762</v>
      </c>
      <c r="B521" s="1">
        <v>41</v>
      </c>
      <c r="C521" s="1" t="s">
        <v>563</v>
      </c>
      <c r="D521" s="1">
        <v>183</v>
      </c>
      <c r="E521" s="1">
        <v>76</v>
      </c>
      <c r="F521" s="1">
        <v>94</v>
      </c>
      <c r="G521" s="1">
        <v>106</v>
      </c>
      <c r="H521" s="1" t="s">
        <v>763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2500</v>
      </c>
    </row>
    <row r="522" spans="1:17" ht="14" customHeight="1" x14ac:dyDescent="0.3">
      <c r="A522" s="1" t="s">
        <v>764</v>
      </c>
      <c r="B522" s="1">
        <v>32</v>
      </c>
      <c r="C522" s="1" t="s">
        <v>563</v>
      </c>
      <c r="D522" s="1">
        <v>184</v>
      </c>
      <c r="E522" s="1">
        <v>70</v>
      </c>
      <c r="F522" s="1">
        <v>94</v>
      </c>
      <c r="G522" s="1">
        <v>104</v>
      </c>
      <c r="H522" s="1" t="s">
        <v>630</v>
      </c>
      <c r="I522" s="1">
        <v>100</v>
      </c>
      <c r="J522" s="1" t="s">
        <v>1762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2501</v>
      </c>
    </row>
    <row r="523" spans="1:17" ht="14" customHeight="1" x14ac:dyDescent="0.3">
      <c r="A523" s="1" t="s">
        <v>765</v>
      </c>
      <c r="B523" s="1">
        <v>29</v>
      </c>
      <c r="C523" s="1" t="s">
        <v>563</v>
      </c>
      <c r="D523" s="1">
        <v>179</v>
      </c>
      <c r="E523" s="1">
        <v>73</v>
      </c>
      <c r="F523" s="1">
        <v>92</v>
      </c>
      <c r="G523" s="1">
        <v>114</v>
      </c>
      <c r="H523" s="1" t="s">
        <v>766</v>
      </c>
      <c r="I523" s="1">
        <v>100</v>
      </c>
      <c r="J523" s="1" t="s">
        <v>1762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2502</v>
      </c>
    </row>
    <row r="524" spans="1:17" ht="14" customHeight="1" x14ac:dyDescent="0.3">
      <c r="A524" s="1" t="s">
        <v>767</v>
      </c>
      <c r="B524" s="1">
        <v>36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1782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2503</v>
      </c>
    </row>
    <row r="525" spans="1:17" ht="14" customHeight="1" x14ac:dyDescent="0.3">
      <c r="A525" s="1" t="s">
        <v>768</v>
      </c>
      <c r="B525" s="1">
        <v>26</v>
      </c>
      <c r="C525" s="1" t="s">
        <v>769</v>
      </c>
      <c r="D525" s="1">
        <v>171</v>
      </c>
      <c r="E525" s="1">
        <v>76</v>
      </c>
      <c r="F525" s="1">
        <v>139</v>
      </c>
      <c r="G525" s="1">
        <v>147</v>
      </c>
      <c r="H525" s="1" t="s">
        <v>770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2504</v>
      </c>
    </row>
    <row r="526" spans="1:17" ht="14" customHeight="1" x14ac:dyDescent="0.3">
      <c r="A526" s="1" t="s">
        <v>771</v>
      </c>
      <c r="B526" s="1">
        <v>34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524</v>
      </c>
      <c r="I526" s="1">
        <v>200</v>
      </c>
      <c r="J526" s="1" t="s">
        <v>1735</v>
      </c>
      <c r="K526" s="1">
        <v>5</v>
      </c>
      <c r="L526" s="1">
        <f t="shared" si="8"/>
        <v>1000</v>
      </c>
      <c r="M526" s="1" t="s">
        <v>38</v>
      </c>
      <c r="N526" s="1"/>
      <c r="O526" s="12" t="str">
        <f>IF($J526=Sheet2!$A$2, ROW(), "")</f>
        <v/>
      </c>
      <c r="Q526" s="23" t="s">
        <v>2505</v>
      </c>
    </row>
    <row r="527" spans="1:17" ht="14" customHeight="1" x14ac:dyDescent="0.3">
      <c r="A527" s="1" t="s">
        <v>772</v>
      </c>
      <c r="B527" s="1">
        <v>27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2506</v>
      </c>
    </row>
    <row r="528" spans="1:17" ht="14" customHeight="1" x14ac:dyDescent="0.3">
      <c r="A528" s="1" t="s">
        <v>773</v>
      </c>
      <c r="B528" s="1">
        <v>23</v>
      </c>
      <c r="C528" s="1" t="s">
        <v>774</v>
      </c>
      <c r="D528" s="1">
        <v>182</v>
      </c>
      <c r="E528" s="1">
        <v>74</v>
      </c>
      <c r="F528" s="1">
        <v>128</v>
      </c>
      <c r="G528" s="1">
        <v>140</v>
      </c>
      <c r="H528" s="1" t="s">
        <v>357</v>
      </c>
      <c r="I528" s="1">
        <v>35</v>
      </c>
      <c r="J528" s="1" t="s">
        <v>1847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2507</v>
      </c>
    </row>
    <row r="529" spans="1:17" ht="14" customHeight="1" x14ac:dyDescent="0.3">
      <c r="A529" s="1" t="s">
        <v>775</v>
      </c>
      <c r="B529" s="1">
        <v>31</v>
      </c>
      <c r="C529" s="1" t="s">
        <v>611</v>
      </c>
      <c r="D529" s="1">
        <v>170</v>
      </c>
      <c r="E529" s="1">
        <v>68</v>
      </c>
      <c r="F529" s="1">
        <v>110</v>
      </c>
      <c r="G529" s="1">
        <v>142</v>
      </c>
      <c r="H529" s="1" t="s">
        <v>761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2508</v>
      </c>
    </row>
    <row r="530" spans="1:17" ht="14" customHeight="1" x14ac:dyDescent="0.3">
      <c r="A530" s="1" t="s">
        <v>776</v>
      </c>
      <c r="B530" s="1">
        <v>21</v>
      </c>
      <c r="C530" s="1" t="s">
        <v>287</v>
      </c>
      <c r="D530" s="1">
        <v>183</v>
      </c>
      <c r="E530" s="1">
        <v>74</v>
      </c>
      <c r="F530" s="1">
        <v>129</v>
      </c>
      <c r="G530" s="1">
        <v>139</v>
      </c>
      <c r="H530" s="1" t="s">
        <v>777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2509</v>
      </c>
    </row>
    <row r="531" spans="1:17" ht="14" customHeight="1" x14ac:dyDescent="0.3">
      <c r="A531" s="1" t="s">
        <v>778</v>
      </c>
      <c r="B531" s="1">
        <v>22</v>
      </c>
      <c r="C531" s="1" t="s">
        <v>287</v>
      </c>
      <c r="D531" s="1">
        <v>174</v>
      </c>
      <c r="E531" s="1">
        <v>74</v>
      </c>
      <c r="F531" s="1">
        <v>124</v>
      </c>
      <c r="G531" s="1">
        <v>124</v>
      </c>
      <c r="H531" s="1" t="s">
        <v>779</v>
      </c>
      <c r="I531" s="1">
        <v>70</v>
      </c>
      <c r="J531" s="1" t="s">
        <v>683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2510</v>
      </c>
    </row>
    <row r="532" spans="1:17" ht="14" customHeight="1" x14ac:dyDescent="0.3">
      <c r="A532" s="1" t="s">
        <v>780</v>
      </c>
      <c r="B532" s="1">
        <v>22</v>
      </c>
      <c r="C532" s="1" t="s">
        <v>287</v>
      </c>
      <c r="D532" s="1">
        <v>183</v>
      </c>
      <c r="E532" s="1">
        <v>76</v>
      </c>
      <c r="F532" s="1">
        <v>119</v>
      </c>
      <c r="G532" s="1">
        <v>119</v>
      </c>
      <c r="H532" s="1" t="s">
        <v>781</v>
      </c>
      <c r="I532" s="1">
        <v>300</v>
      </c>
      <c r="J532" s="1" t="s">
        <v>1752</v>
      </c>
      <c r="K532" s="1">
        <v>5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2511</v>
      </c>
    </row>
    <row r="533" spans="1:17" ht="14" customHeight="1" x14ac:dyDescent="0.3">
      <c r="A533" s="1" t="s">
        <v>782</v>
      </c>
      <c r="B533" s="1">
        <v>24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783</v>
      </c>
      <c r="I533" s="1">
        <v>100</v>
      </c>
      <c r="J533" s="1" t="s">
        <v>1865</v>
      </c>
      <c r="K533" s="1">
        <v>6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2512</v>
      </c>
    </row>
    <row r="534" spans="1:17" ht="14" customHeight="1" x14ac:dyDescent="0.3">
      <c r="A534" s="1" t="s">
        <v>784</v>
      </c>
      <c r="B534" s="1">
        <v>24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1735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2513</v>
      </c>
    </row>
    <row r="535" spans="1:17" ht="14" customHeight="1" x14ac:dyDescent="0.3">
      <c r="A535" s="1" t="s">
        <v>785</v>
      </c>
      <c r="B535" s="1">
        <v>30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2514</v>
      </c>
    </row>
    <row r="536" spans="1:17" ht="14" customHeight="1" x14ac:dyDescent="0.3">
      <c r="A536" s="1" t="s">
        <v>786</v>
      </c>
      <c r="B536" s="1">
        <v>19</v>
      </c>
      <c r="C536" s="1" t="s">
        <v>287</v>
      </c>
      <c r="D536" s="1">
        <v>171</v>
      </c>
      <c r="E536" s="1">
        <v>65</v>
      </c>
      <c r="F536" s="1">
        <v>118</v>
      </c>
      <c r="G536" s="1">
        <v>129</v>
      </c>
      <c r="H536" s="1" t="s">
        <v>787</v>
      </c>
      <c r="I536" s="1">
        <v>100</v>
      </c>
      <c r="J536" s="1" t="s">
        <v>1847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2515</v>
      </c>
    </row>
    <row r="537" spans="1:17" ht="14" customHeight="1" x14ac:dyDescent="0.3">
      <c r="A537" s="1" t="s">
        <v>788</v>
      </c>
      <c r="B537" s="1">
        <v>25</v>
      </c>
      <c r="C537" s="1" t="s">
        <v>287</v>
      </c>
      <c r="D537" s="1">
        <v>173</v>
      </c>
      <c r="E537" s="1">
        <v>73</v>
      </c>
      <c r="F537" s="1">
        <v>127</v>
      </c>
      <c r="G537" s="1">
        <v>127</v>
      </c>
      <c r="H537" s="1" t="s">
        <v>789</v>
      </c>
      <c r="I537" s="1">
        <v>45</v>
      </c>
      <c r="J537" s="1" t="s">
        <v>1853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2516</v>
      </c>
    </row>
    <row r="538" spans="1:17" ht="14" customHeight="1" x14ac:dyDescent="0.3">
      <c r="A538" s="1" t="s">
        <v>790</v>
      </c>
      <c r="B538" s="1">
        <v>24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791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2517</v>
      </c>
    </row>
    <row r="539" spans="1:17" ht="14" customHeight="1" x14ac:dyDescent="0.3">
      <c r="A539" s="1" t="s">
        <v>792</v>
      </c>
      <c r="B539" s="1">
        <v>22</v>
      </c>
      <c r="C539" s="1" t="s">
        <v>287</v>
      </c>
      <c r="D539" s="1">
        <v>183</v>
      </c>
      <c r="E539" s="1">
        <v>78</v>
      </c>
      <c r="F539" s="1">
        <v>125</v>
      </c>
      <c r="G539" s="1">
        <v>134</v>
      </c>
      <c r="H539" s="1" t="s">
        <v>260</v>
      </c>
      <c r="I539" s="1">
        <v>90</v>
      </c>
      <c r="J539" s="1" t="s">
        <v>1736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2518</v>
      </c>
    </row>
    <row r="540" spans="1:17" ht="14" customHeight="1" x14ac:dyDescent="0.3">
      <c r="A540" s="1" t="s">
        <v>793</v>
      </c>
      <c r="B540" s="1">
        <v>24</v>
      </c>
      <c r="C540" s="1" t="s">
        <v>287</v>
      </c>
      <c r="D540" s="1">
        <v>188</v>
      </c>
      <c r="E540" s="1">
        <v>86</v>
      </c>
      <c r="F540" s="1">
        <v>118</v>
      </c>
      <c r="G540" s="1">
        <v>118</v>
      </c>
      <c r="H540" s="1" t="s">
        <v>260</v>
      </c>
      <c r="I540" s="1">
        <v>200</v>
      </c>
      <c r="J540" s="1" t="s">
        <v>1659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2519</v>
      </c>
    </row>
    <row r="541" spans="1:17" ht="14" customHeight="1" x14ac:dyDescent="0.3">
      <c r="A541" s="1" t="s">
        <v>794</v>
      </c>
      <c r="B541" s="1">
        <v>31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795</v>
      </c>
      <c r="I541" s="1">
        <v>80</v>
      </c>
      <c r="J541" s="1" t="s">
        <v>1762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2520</v>
      </c>
    </row>
    <row r="542" spans="1:17" ht="14" customHeight="1" x14ac:dyDescent="0.3">
      <c r="A542" s="1" t="s">
        <v>796</v>
      </c>
      <c r="B542" s="1">
        <v>28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571</v>
      </c>
      <c r="I542" s="1">
        <v>150</v>
      </c>
      <c r="J542" s="1" t="s">
        <v>1735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2521</v>
      </c>
    </row>
    <row r="543" spans="1:17" ht="14" customHeight="1" x14ac:dyDescent="0.3">
      <c r="A543" s="1" t="s">
        <v>797</v>
      </c>
      <c r="B543" s="1">
        <v>30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1735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2522</v>
      </c>
    </row>
    <row r="544" spans="1:17" ht="14" customHeight="1" x14ac:dyDescent="0.3">
      <c r="A544" s="1" t="s">
        <v>798</v>
      </c>
      <c r="B544" s="1">
        <v>35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799</v>
      </c>
      <c r="I544" s="1">
        <v>200</v>
      </c>
      <c r="J544" s="1" t="s">
        <v>1735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2523</v>
      </c>
    </row>
    <row r="545" spans="1:17" ht="14" customHeight="1" x14ac:dyDescent="0.3">
      <c r="A545" s="1" t="s">
        <v>800</v>
      </c>
      <c r="B545" s="1">
        <v>32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801</v>
      </c>
      <c r="I545" s="1">
        <v>140</v>
      </c>
      <c r="J545" s="1" t="s">
        <v>1762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2524</v>
      </c>
    </row>
    <row r="546" spans="1:17" ht="14" customHeight="1" x14ac:dyDescent="0.3">
      <c r="A546" s="1" t="s">
        <v>802</v>
      </c>
      <c r="B546" s="1">
        <v>23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520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2525</v>
      </c>
    </row>
    <row r="547" spans="1:17" ht="14" customHeight="1" x14ac:dyDescent="0.3">
      <c r="A547" s="1" t="s">
        <v>803</v>
      </c>
      <c r="B547" s="1">
        <v>38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2526</v>
      </c>
    </row>
    <row r="548" spans="1:17" ht="14" customHeight="1" x14ac:dyDescent="0.3">
      <c r="A548" s="1" t="s">
        <v>804</v>
      </c>
      <c r="B548" s="1">
        <v>23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3411</v>
      </c>
      <c r="K548" s="1">
        <v>6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2527</v>
      </c>
    </row>
    <row r="549" spans="1:17" ht="14" customHeight="1" x14ac:dyDescent="0.3">
      <c r="A549" s="1" t="s">
        <v>805</v>
      </c>
      <c r="B549" s="1">
        <v>22</v>
      </c>
      <c r="C549" s="1" t="s">
        <v>287</v>
      </c>
      <c r="D549" s="1">
        <v>200</v>
      </c>
      <c r="E549" s="1">
        <v>78</v>
      </c>
      <c r="F549" s="1">
        <v>117</v>
      </c>
      <c r="G549" s="1">
        <v>120</v>
      </c>
      <c r="H549" s="1" t="s">
        <v>1</v>
      </c>
      <c r="I549" s="1">
        <v>100</v>
      </c>
      <c r="J549" s="1" t="s">
        <v>561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2528</v>
      </c>
    </row>
    <row r="550" spans="1:17" ht="14" customHeight="1" x14ac:dyDescent="0.3">
      <c r="A550" s="1" t="s">
        <v>806</v>
      </c>
      <c r="B550" s="1">
        <v>25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2529</v>
      </c>
    </row>
    <row r="551" spans="1:17" ht="14" customHeight="1" x14ac:dyDescent="0.3">
      <c r="A551" s="1" t="s">
        <v>807</v>
      </c>
      <c r="B551" s="1">
        <v>23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2530</v>
      </c>
    </row>
    <row r="552" spans="1:17" ht="14" customHeight="1" x14ac:dyDescent="0.3">
      <c r="A552" s="1" t="s">
        <v>808</v>
      </c>
      <c r="B552" s="1">
        <v>23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520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2531</v>
      </c>
    </row>
    <row r="553" spans="1:17" ht="14" customHeight="1" x14ac:dyDescent="0.3">
      <c r="A553" s="1" t="s">
        <v>809</v>
      </c>
      <c r="B553" s="1">
        <v>23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810</v>
      </c>
      <c r="I553" s="1">
        <v>24</v>
      </c>
      <c r="J553" s="1" t="s">
        <v>520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2532</v>
      </c>
    </row>
    <row r="554" spans="1:17" ht="14" customHeight="1" x14ac:dyDescent="0.3">
      <c r="A554" s="1" t="s">
        <v>811</v>
      </c>
      <c r="B554" s="1">
        <v>20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520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2533</v>
      </c>
    </row>
    <row r="555" spans="1:17" ht="14" customHeight="1" x14ac:dyDescent="0.3">
      <c r="A555" s="1" t="s">
        <v>812</v>
      </c>
      <c r="B555" s="1">
        <v>42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770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2534</v>
      </c>
    </row>
    <row r="556" spans="1:17" ht="14" customHeight="1" x14ac:dyDescent="0.3">
      <c r="A556" s="1" t="s">
        <v>813</v>
      </c>
      <c r="B556" s="1">
        <v>29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709</v>
      </c>
      <c r="I556" s="1">
        <v>100</v>
      </c>
      <c r="J556" s="1" t="s">
        <v>1735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2535</v>
      </c>
    </row>
    <row r="557" spans="1:17" ht="14" customHeight="1" x14ac:dyDescent="0.3">
      <c r="A557" s="1" t="s">
        <v>814</v>
      </c>
      <c r="B557" s="1">
        <v>18</v>
      </c>
      <c r="C557" s="1" t="s">
        <v>815</v>
      </c>
      <c r="D557" s="1">
        <v>176</v>
      </c>
      <c r="E557" s="1">
        <v>74</v>
      </c>
      <c r="F557" s="1">
        <v>131</v>
      </c>
      <c r="G557" s="1">
        <v>180</v>
      </c>
      <c r="H557" s="1" t="s">
        <v>816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2536</v>
      </c>
    </row>
    <row r="558" spans="1:17" ht="14" customHeight="1" x14ac:dyDescent="0.3">
      <c r="A558" s="1" t="s">
        <v>817</v>
      </c>
      <c r="B558" s="1">
        <v>25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818</v>
      </c>
      <c r="I558" s="1">
        <v>120</v>
      </c>
      <c r="J558" s="1" t="s">
        <v>1720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2537</v>
      </c>
    </row>
    <row r="559" spans="1:17" ht="14" customHeight="1" x14ac:dyDescent="0.3">
      <c r="A559" s="1" t="s">
        <v>819</v>
      </c>
      <c r="B559" s="1">
        <v>25</v>
      </c>
      <c r="C559" s="1" t="s">
        <v>287</v>
      </c>
      <c r="D559" s="1">
        <v>182</v>
      </c>
      <c r="E559" s="1">
        <v>72</v>
      </c>
      <c r="F559" s="1">
        <v>134</v>
      </c>
      <c r="G559" s="1">
        <v>134</v>
      </c>
      <c r="H559" s="1" t="s">
        <v>820</v>
      </c>
      <c r="I559" s="1">
        <v>200</v>
      </c>
      <c r="J559" s="1" t="s">
        <v>1721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2538</v>
      </c>
    </row>
    <row r="560" spans="1:17" ht="14" customHeight="1" x14ac:dyDescent="0.3">
      <c r="A560" s="1" t="s">
        <v>821</v>
      </c>
      <c r="B560" s="1">
        <v>24</v>
      </c>
      <c r="C560" s="1" t="s">
        <v>822</v>
      </c>
      <c r="D560" s="1">
        <v>195</v>
      </c>
      <c r="E560" s="1">
        <v>74</v>
      </c>
      <c r="F560" s="1">
        <v>136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2539</v>
      </c>
    </row>
    <row r="561" spans="1:17" ht="14" customHeight="1" x14ac:dyDescent="0.3">
      <c r="A561" s="1" t="s">
        <v>823</v>
      </c>
      <c r="B561" s="1">
        <v>35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824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2540</v>
      </c>
    </row>
    <row r="562" spans="1:17" ht="14" customHeight="1" x14ac:dyDescent="0.3">
      <c r="A562" s="1" t="s">
        <v>825</v>
      </c>
      <c r="B562" s="1">
        <v>30</v>
      </c>
      <c r="C562" s="1" t="s">
        <v>826</v>
      </c>
      <c r="D562" s="1">
        <v>189</v>
      </c>
      <c r="E562" s="1">
        <v>78</v>
      </c>
      <c r="F562" s="1">
        <v>116</v>
      </c>
      <c r="G562" s="1">
        <v>120</v>
      </c>
      <c r="H562" s="1" t="s">
        <v>827</v>
      </c>
      <c r="I562" s="1">
        <v>50</v>
      </c>
      <c r="J562" s="1" t="s">
        <v>1766</v>
      </c>
      <c r="K562" s="1">
        <v>6</v>
      </c>
      <c r="L562" s="1">
        <f t="shared" si="8"/>
        <v>250</v>
      </c>
      <c r="M562" s="1" t="s">
        <v>38</v>
      </c>
      <c r="N562" s="1"/>
      <c r="O562" s="12" t="str">
        <f>IF($J562=Sheet2!$A$2, ROW(), "")</f>
        <v/>
      </c>
      <c r="Q562" s="23" t="s">
        <v>2541</v>
      </c>
    </row>
    <row r="563" spans="1:17" ht="14" customHeight="1" x14ac:dyDescent="0.3">
      <c r="A563" s="1" t="s">
        <v>828</v>
      </c>
      <c r="B563" s="1">
        <v>29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820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2542</v>
      </c>
    </row>
    <row r="564" spans="1:17" ht="14" customHeight="1" x14ac:dyDescent="0.3">
      <c r="A564" s="1" t="s">
        <v>829</v>
      </c>
      <c r="B564" s="1">
        <v>23</v>
      </c>
      <c r="C564" s="1" t="s">
        <v>287</v>
      </c>
      <c r="D564" s="1">
        <v>178</v>
      </c>
      <c r="E564" s="1">
        <v>75</v>
      </c>
      <c r="F564" s="1">
        <v>126</v>
      </c>
      <c r="G564" s="1">
        <v>136</v>
      </c>
      <c r="H564" s="1" t="s">
        <v>247</v>
      </c>
      <c r="I564" s="1">
        <v>120</v>
      </c>
      <c r="J564" s="1" t="s">
        <v>1763</v>
      </c>
      <c r="K564" s="1">
        <v>5</v>
      </c>
      <c r="L564" s="1">
        <f t="shared" si="8"/>
        <v>600</v>
      </c>
      <c r="M564" s="1" t="s">
        <v>38</v>
      </c>
      <c r="N564" s="1"/>
      <c r="O564" s="12">
        <f>IF($J564=Sheet2!$A$2, ROW(), "")</f>
        <v>564</v>
      </c>
      <c r="Q564" s="23" t="s">
        <v>2543</v>
      </c>
    </row>
    <row r="565" spans="1:17" ht="14" customHeight="1" x14ac:dyDescent="0.3">
      <c r="A565" s="1" t="s">
        <v>830</v>
      </c>
      <c r="B565" s="1">
        <v>25</v>
      </c>
      <c r="C565" s="1" t="s">
        <v>574</v>
      </c>
      <c r="D565" s="1">
        <v>176</v>
      </c>
      <c r="E565" s="1">
        <v>76</v>
      </c>
      <c r="F565" s="1">
        <v>136</v>
      </c>
      <c r="G565" s="1">
        <v>136</v>
      </c>
      <c r="H565" s="1" t="s">
        <v>357</v>
      </c>
      <c r="I565" s="1">
        <v>200</v>
      </c>
      <c r="J565" s="1" t="s">
        <v>689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2544</v>
      </c>
    </row>
    <row r="566" spans="1:17" ht="14" customHeight="1" x14ac:dyDescent="0.3">
      <c r="A566" s="1" t="s">
        <v>831</v>
      </c>
      <c r="B566" s="1">
        <v>25</v>
      </c>
      <c r="C566" s="1" t="s">
        <v>832</v>
      </c>
      <c r="D566" s="1">
        <v>186</v>
      </c>
      <c r="E566" s="1">
        <v>82</v>
      </c>
      <c r="F566" s="1">
        <v>134</v>
      </c>
      <c r="G566" s="1">
        <v>134</v>
      </c>
      <c r="H566" s="1" t="s">
        <v>247</v>
      </c>
      <c r="I566" s="1">
        <v>200</v>
      </c>
      <c r="J566" s="1" t="s">
        <v>689</v>
      </c>
      <c r="K566" s="1">
        <v>5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2545</v>
      </c>
    </row>
    <row r="567" spans="1:17" ht="14" customHeight="1" x14ac:dyDescent="0.3">
      <c r="A567" s="1" t="s">
        <v>833</v>
      </c>
      <c r="B567" s="1">
        <v>27</v>
      </c>
      <c r="C567" s="1" t="s">
        <v>661</v>
      </c>
      <c r="D567" s="1">
        <v>187</v>
      </c>
      <c r="E567" s="1">
        <v>75</v>
      </c>
      <c r="F567" s="1">
        <v>126</v>
      </c>
      <c r="G567" s="1">
        <v>126</v>
      </c>
      <c r="H567" s="1" t="s">
        <v>834</v>
      </c>
      <c r="I567" s="1">
        <v>200</v>
      </c>
      <c r="J567" s="1" t="s">
        <v>835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2546</v>
      </c>
    </row>
    <row r="568" spans="1:17" ht="14" customHeight="1" x14ac:dyDescent="0.3">
      <c r="A568" s="1" t="s">
        <v>836</v>
      </c>
      <c r="B568" s="1">
        <v>20</v>
      </c>
      <c r="C568" s="1" t="s">
        <v>241</v>
      </c>
      <c r="D568" s="1">
        <v>186</v>
      </c>
      <c r="E568" s="1">
        <v>74</v>
      </c>
      <c r="F568" s="1">
        <v>142</v>
      </c>
      <c r="G568" s="1">
        <v>180</v>
      </c>
      <c r="H568" s="1" t="s">
        <v>317</v>
      </c>
      <c r="I568" s="1">
        <v>500</v>
      </c>
      <c r="J568" s="1" t="s">
        <v>1762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2547</v>
      </c>
    </row>
    <row r="569" spans="1:17" ht="14" customHeight="1" x14ac:dyDescent="0.3">
      <c r="A569" s="1" t="s">
        <v>837</v>
      </c>
      <c r="B569" s="1">
        <v>31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838</v>
      </c>
      <c r="I569" s="1">
        <v>200</v>
      </c>
      <c r="J569" s="1" t="s">
        <v>561</v>
      </c>
      <c r="K569" s="1">
        <v>6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2548</v>
      </c>
    </row>
    <row r="570" spans="1:17" ht="14" customHeight="1" x14ac:dyDescent="0.3">
      <c r="A570" s="1" t="s">
        <v>839</v>
      </c>
      <c r="B570" s="1">
        <v>25</v>
      </c>
      <c r="C570" s="1" t="s">
        <v>774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2549</v>
      </c>
    </row>
    <row r="571" spans="1:17" ht="14" customHeight="1" x14ac:dyDescent="0.3">
      <c r="A571" s="1" t="s">
        <v>840</v>
      </c>
      <c r="B571" s="1">
        <v>31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841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2550</v>
      </c>
    </row>
    <row r="572" spans="1:17" ht="14" customHeight="1" x14ac:dyDescent="0.3">
      <c r="A572" s="1" t="s">
        <v>842</v>
      </c>
      <c r="B572" s="1">
        <v>21</v>
      </c>
      <c r="C572" s="1" t="s">
        <v>843</v>
      </c>
      <c r="D572" s="1">
        <v>180</v>
      </c>
      <c r="E572" s="1">
        <v>75</v>
      </c>
      <c r="F572" s="1">
        <v>138</v>
      </c>
      <c r="G572" s="1">
        <v>180</v>
      </c>
      <c r="H572" s="1" t="s">
        <v>779</v>
      </c>
      <c r="I572" s="1">
        <v>400</v>
      </c>
      <c r="J572" s="1" t="s">
        <v>1762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2551</v>
      </c>
    </row>
    <row r="573" spans="1:17" ht="14" customHeight="1" x14ac:dyDescent="0.3">
      <c r="A573" s="1" t="s">
        <v>844</v>
      </c>
      <c r="B573" s="1">
        <v>19</v>
      </c>
      <c r="C573" s="1" t="s">
        <v>287</v>
      </c>
      <c r="D573" s="1">
        <v>178</v>
      </c>
      <c r="E573" s="1">
        <v>76</v>
      </c>
      <c r="F573" s="1">
        <v>120</v>
      </c>
      <c r="G573" s="1">
        <v>120</v>
      </c>
      <c r="H573" s="1" t="s">
        <v>845</v>
      </c>
      <c r="I573" s="1">
        <v>40</v>
      </c>
      <c r="J573" s="1" t="s">
        <v>609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2552</v>
      </c>
    </row>
    <row r="574" spans="1:17" ht="14" customHeight="1" x14ac:dyDescent="0.3">
      <c r="A574" s="1" t="s">
        <v>846</v>
      </c>
      <c r="B574" s="1">
        <v>38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2553</v>
      </c>
    </row>
    <row r="575" spans="1:17" ht="14" customHeight="1" x14ac:dyDescent="0.3">
      <c r="A575" s="1" t="s">
        <v>847</v>
      </c>
      <c r="B575" s="1">
        <v>35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2554</v>
      </c>
    </row>
    <row r="576" spans="1:17" ht="14" customHeight="1" x14ac:dyDescent="0.3">
      <c r="A576" s="1" t="s">
        <v>848</v>
      </c>
      <c r="B576" s="1">
        <v>34</v>
      </c>
      <c r="C576" s="1" t="s">
        <v>849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2555</v>
      </c>
    </row>
    <row r="577" spans="1:17" ht="14" customHeight="1" x14ac:dyDescent="0.3">
      <c r="A577" s="1" t="s">
        <v>850</v>
      </c>
      <c r="B577" s="1">
        <v>21</v>
      </c>
      <c r="C577" s="1" t="s">
        <v>298</v>
      </c>
      <c r="D577" s="1">
        <v>190</v>
      </c>
      <c r="E577" s="1">
        <v>80</v>
      </c>
      <c r="F577" s="1">
        <v>139</v>
      </c>
      <c r="G577" s="1">
        <v>150</v>
      </c>
      <c r="H577" s="1" t="s">
        <v>317</v>
      </c>
      <c r="I577" s="1">
        <v>300</v>
      </c>
      <c r="J577" s="1" t="s">
        <v>1717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2556</v>
      </c>
    </row>
    <row r="578" spans="1:17" ht="14" customHeight="1" x14ac:dyDescent="0.3">
      <c r="A578" s="1" t="s">
        <v>851</v>
      </c>
      <c r="B578" s="1">
        <v>21</v>
      </c>
      <c r="C578" s="1" t="s">
        <v>312</v>
      </c>
      <c r="D578" s="1">
        <v>187</v>
      </c>
      <c r="E578" s="1">
        <v>86</v>
      </c>
      <c r="F578" s="1">
        <v>139</v>
      </c>
      <c r="G578" s="1">
        <v>160</v>
      </c>
      <c r="H578" s="1" t="s">
        <v>317</v>
      </c>
      <c r="I578" s="1">
        <v>300</v>
      </c>
      <c r="J578" s="1" t="s">
        <v>689</v>
      </c>
      <c r="K578" s="1">
        <v>6</v>
      </c>
      <c r="L578" s="1">
        <f t="shared" ref="L578:L641" si="9">I578*5</f>
        <v>1500</v>
      </c>
      <c r="M578" s="1" t="s">
        <v>38</v>
      </c>
      <c r="N578" s="1"/>
      <c r="O578" s="12" t="str">
        <f>IF($J578=Sheet2!$A$2, ROW(), "")</f>
        <v/>
      </c>
      <c r="Q578" s="23" t="s">
        <v>2557</v>
      </c>
    </row>
    <row r="579" spans="1:17" ht="14" customHeight="1" x14ac:dyDescent="0.3">
      <c r="A579" s="1" t="s">
        <v>852</v>
      </c>
      <c r="B579" s="1">
        <v>22</v>
      </c>
      <c r="C579" s="1" t="s">
        <v>642</v>
      </c>
      <c r="D579" s="1">
        <v>185</v>
      </c>
      <c r="E579" s="1">
        <v>75</v>
      </c>
      <c r="F579" s="1">
        <v>126</v>
      </c>
      <c r="G579" s="1">
        <v>140</v>
      </c>
      <c r="H579" s="1" t="s">
        <v>853</v>
      </c>
      <c r="I579" s="1">
        <v>45</v>
      </c>
      <c r="J579" s="1" t="s">
        <v>1833</v>
      </c>
      <c r="K579" s="1">
        <v>5</v>
      </c>
      <c r="L579" s="1">
        <f t="shared" si="9"/>
        <v>225</v>
      </c>
      <c r="M579" s="1" t="s">
        <v>38</v>
      </c>
      <c r="N579" s="1"/>
      <c r="O579" s="12" t="str">
        <f>IF($J579=Sheet2!$A$2, ROW(), "")</f>
        <v/>
      </c>
      <c r="Q579" s="23" t="s">
        <v>2558</v>
      </c>
    </row>
    <row r="580" spans="1:17" ht="14" customHeight="1" x14ac:dyDescent="0.3">
      <c r="A580" s="1" t="s">
        <v>854</v>
      </c>
      <c r="B580" s="1">
        <v>21</v>
      </c>
      <c r="C580" s="1" t="s">
        <v>0</v>
      </c>
      <c r="D580" s="1">
        <v>201</v>
      </c>
      <c r="E580" s="1">
        <v>78</v>
      </c>
      <c r="F580" s="1">
        <v>132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2559</v>
      </c>
    </row>
    <row r="581" spans="1:17" ht="14" customHeight="1" x14ac:dyDescent="0.3">
      <c r="A581" s="1" t="s">
        <v>855</v>
      </c>
      <c r="B581" s="1">
        <v>19</v>
      </c>
      <c r="C581" s="1" t="s">
        <v>856</v>
      </c>
      <c r="D581" s="1">
        <v>169</v>
      </c>
      <c r="E581" s="1">
        <v>74</v>
      </c>
      <c r="F581" s="1">
        <v>131</v>
      </c>
      <c r="G581" s="1">
        <v>131</v>
      </c>
      <c r="H581" s="1" t="s">
        <v>857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2560</v>
      </c>
    </row>
    <row r="582" spans="1:17" ht="14" customHeight="1" x14ac:dyDescent="0.3">
      <c r="A582" s="1" t="s">
        <v>858</v>
      </c>
      <c r="B582" s="1">
        <v>23</v>
      </c>
      <c r="C582" s="1" t="s">
        <v>859</v>
      </c>
      <c r="D582" s="1">
        <v>202</v>
      </c>
      <c r="E582" s="1">
        <v>92</v>
      </c>
      <c r="F582" s="1">
        <v>124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2561</v>
      </c>
    </row>
    <row r="583" spans="1:17" ht="14" customHeight="1" x14ac:dyDescent="0.3">
      <c r="A583" s="1" t="s">
        <v>860</v>
      </c>
      <c r="B583" s="1">
        <v>21</v>
      </c>
      <c r="C583" s="1" t="s">
        <v>861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1763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2562</v>
      </c>
    </row>
    <row r="584" spans="1:17" ht="14" customHeight="1" x14ac:dyDescent="0.3">
      <c r="A584" s="1" t="s">
        <v>862</v>
      </c>
      <c r="B584" s="1">
        <v>19</v>
      </c>
      <c r="C584" s="1" t="s">
        <v>863</v>
      </c>
      <c r="D584" s="1">
        <v>167</v>
      </c>
      <c r="E584" s="1">
        <v>73</v>
      </c>
      <c r="F584" s="1">
        <v>121</v>
      </c>
      <c r="G584" s="1">
        <v>121</v>
      </c>
      <c r="H584" s="1" t="s">
        <v>864</v>
      </c>
      <c r="I584" s="1">
        <v>100</v>
      </c>
      <c r="J584" s="1" t="s">
        <v>1766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2563</v>
      </c>
    </row>
    <row r="585" spans="1:17" ht="14" customHeight="1" x14ac:dyDescent="0.3">
      <c r="A585" s="1" t="s">
        <v>865</v>
      </c>
      <c r="B585" s="1">
        <v>19</v>
      </c>
      <c r="C585" s="1" t="s">
        <v>0</v>
      </c>
      <c r="D585" s="1">
        <v>185</v>
      </c>
      <c r="E585" s="1">
        <v>75</v>
      </c>
      <c r="F585" s="1">
        <v>135</v>
      </c>
      <c r="G585" s="1">
        <v>176</v>
      </c>
      <c r="H585" s="1" t="s">
        <v>866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2564</v>
      </c>
    </row>
    <row r="586" spans="1:17" ht="14" customHeight="1" x14ac:dyDescent="0.3">
      <c r="A586" s="1" t="s">
        <v>867</v>
      </c>
      <c r="B586" s="1">
        <v>20</v>
      </c>
      <c r="C586" s="1" t="s">
        <v>0</v>
      </c>
      <c r="D586" s="1">
        <v>187</v>
      </c>
      <c r="E586" s="1">
        <v>78</v>
      </c>
      <c r="F586" s="1">
        <v>124</v>
      </c>
      <c r="G586" s="1">
        <v>124</v>
      </c>
      <c r="H586" s="1" t="s">
        <v>597</v>
      </c>
      <c r="I586" s="1">
        <v>24</v>
      </c>
      <c r="J586" s="1" t="s">
        <v>1763</v>
      </c>
      <c r="K586" s="1">
        <v>5</v>
      </c>
      <c r="L586" s="1">
        <f t="shared" si="9"/>
        <v>120</v>
      </c>
      <c r="M586" s="1" t="s">
        <v>98</v>
      </c>
      <c r="N586" s="1"/>
      <c r="O586" s="12">
        <f>IF($J586=Sheet2!$A$2, ROW(), "")</f>
        <v>586</v>
      </c>
      <c r="Q586" s="23" t="s">
        <v>2565</v>
      </c>
    </row>
    <row r="587" spans="1:17" ht="14" customHeight="1" x14ac:dyDescent="0.3">
      <c r="A587" s="1" t="s">
        <v>868</v>
      </c>
      <c r="B587" s="1">
        <v>22</v>
      </c>
      <c r="C587" s="1" t="s">
        <v>0</v>
      </c>
      <c r="D587" s="1">
        <v>178</v>
      </c>
      <c r="E587" s="1">
        <v>75</v>
      </c>
      <c r="F587" s="1">
        <v>122</v>
      </c>
      <c r="G587" s="1">
        <v>122</v>
      </c>
      <c r="H587" s="1" t="s">
        <v>869</v>
      </c>
      <c r="I587" s="1">
        <v>24</v>
      </c>
      <c r="J587" s="1" t="s">
        <v>3411</v>
      </c>
      <c r="K587" s="1">
        <v>5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2566</v>
      </c>
    </row>
    <row r="588" spans="1:17" ht="14" customHeight="1" x14ac:dyDescent="0.3">
      <c r="A588" s="1" t="s">
        <v>870</v>
      </c>
      <c r="B588" s="1">
        <v>20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871</v>
      </c>
      <c r="I588" s="1">
        <v>120</v>
      </c>
      <c r="J588" s="1" t="s">
        <v>1853</v>
      </c>
      <c r="K588" s="1">
        <v>6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2567</v>
      </c>
    </row>
    <row r="589" spans="1:17" ht="14" customHeight="1" x14ac:dyDescent="0.3">
      <c r="A589" s="1" t="s">
        <v>872</v>
      </c>
      <c r="B589" s="1">
        <v>20</v>
      </c>
      <c r="C589" s="1" t="s">
        <v>873</v>
      </c>
      <c r="D589" s="1">
        <v>167</v>
      </c>
      <c r="E589" s="1">
        <v>69</v>
      </c>
      <c r="F589" s="1">
        <v>132</v>
      </c>
      <c r="G589" s="1">
        <v>135</v>
      </c>
      <c r="H589" s="1" t="s">
        <v>874</v>
      </c>
      <c r="I589" s="1">
        <v>120</v>
      </c>
      <c r="J589" s="1" t="s">
        <v>1887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2568</v>
      </c>
    </row>
    <row r="590" spans="1:17" ht="14" customHeight="1" x14ac:dyDescent="0.3">
      <c r="A590" s="1" t="s">
        <v>875</v>
      </c>
      <c r="B590" s="1">
        <v>23</v>
      </c>
      <c r="C590" s="1" t="s">
        <v>876</v>
      </c>
      <c r="D590" s="1">
        <v>178</v>
      </c>
      <c r="E590" s="1">
        <v>67</v>
      </c>
      <c r="F590" s="1">
        <v>126</v>
      </c>
      <c r="G590" s="1">
        <v>126</v>
      </c>
      <c r="H590" s="1" t="s">
        <v>877</v>
      </c>
      <c r="I590" s="1">
        <v>24</v>
      </c>
      <c r="J590" s="1" t="s">
        <v>1717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2569</v>
      </c>
    </row>
    <row r="591" spans="1:17" ht="14" customHeight="1" x14ac:dyDescent="0.3">
      <c r="A591" s="1" t="s">
        <v>878</v>
      </c>
      <c r="B591" s="1">
        <v>21</v>
      </c>
      <c r="C591" s="1" t="s">
        <v>879</v>
      </c>
      <c r="D591" s="1">
        <v>192</v>
      </c>
      <c r="E591" s="1">
        <v>78</v>
      </c>
      <c r="F591" s="1">
        <v>122</v>
      </c>
      <c r="G591" s="1">
        <v>126</v>
      </c>
      <c r="H591" s="1" t="s">
        <v>317</v>
      </c>
      <c r="I591" s="1">
        <v>100</v>
      </c>
      <c r="J591" s="1" t="s">
        <v>1736</v>
      </c>
      <c r="K591" s="1">
        <v>6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2570</v>
      </c>
    </row>
    <row r="592" spans="1:17" ht="14" customHeight="1" x14ac:dyDescent="0.3">
      <c r="A592" s="1" t="s">
        <v>880</v>
      </c>
      <c r="B592" s="1">
        <v>21</v>
      </c>
      <c r="C592" s="1" t="s">
        <v>624</v>
      </c>
      <c r="D592" s="1">
        <v>178</v>
      </c>
      <c r="E592" s="1">
        <v>75</v>
      </c>
      <c r="F592" s="1">
        <v>138</v>
      </c>
      <c r="G592" s="1">
        <v>180</v>
      </c>
      <c r="H592" s="1" t="s">
        <v>881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2571</v>
      </c>
    </row>
    <row r="593" spans="1:17" ht="14" customHeight="1" x14ac:dyDescent="0.3">
      <c r="A593" s="1" t="s">
        <v>882</v>
      </c>
      <c r="B593" s="1">
        <v>23</v>
      </c>
      <c r="C593" s="1" t="s">
        <v>246</v>
      </c>
      <c r="D593" s="1">
        <v>186</v>
      </c>
      <c r="E593" s="1">
        <v>76</v>
      </c>
      <c r="F593" s="1">
        <v>132</v>
      </c>
      <c r="G593" s="1">
        <v>146</v>
      </c>
      <c r="H593" s="1" t="s">
        <v>883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2572</v>
      </c>
    </row>
    <row r="594" spans="1:17" ht="14" customHeight="1" x14ac:dyDescent="0.3">
      <c r="A594" s="1" t="s">
        <v>884</v>
      </c>
      <c r="B594" s="1">
        <v>21</v>
      </c>
      <c r="C594" s="1" t="s">
        <v>611</v>
      </c>
      <c r="D594" s="1">
        <v>194</v>
      </c>
      <c r="E594" s="1">
        <v>76</v>
      </c>
      <c r="F594" s="1">
        <v>142</v>
      </c>
      <c r="G594" s="1">
        <v>160</v>
      </c>
      <c r="H594" s="1" t="s">
        <v>260</v>
      </c>
      <c r="I594" s="1">
        <v>170</v>
      </c>
      <c r="J594" s="1" t="s">
        <v>1762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2573</v>
      </c>
    </row>
    <row r="595" spans="1:17" ht="14" customHeight="1" x14ac:dyDescent="0.3">
      <c r="A595" s="1" t="s">
        <v>885</v>
      </c>
      <c r="B595" s="1">
        <v>28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886</v>
      </c>
      <c r="I595" s="1">
        <v>150</v>
      </c>
      <c r="J595" s="1" t="s">
        <v>561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2574</v>
      </c>
    </row>
    <row r="596" spans="1:17" ht="14" customHeight="1" x14ac:dyDescent="0.3">
      <c r="A596" s="1" t="s">
        <v>887</v>
      </c>
      <c r="B596" s="1">
        <v>24</v>
      </c>
      <c r="C596" s="1" t="s">
        <v>563</v>
      </c>
      <c r="D596" s="1">
        <v>178</v>
      </c>
      <c r="E596" s="1">
        <v>76</v>
      </c>
      <c r="F596" s="1">
        <v>120</v>
      </c>
      <c r="G596" s="1">
        <v>120</v>
      </c>
      <c r="H596" s="1" t="s">
        <v>888</v>
      </c>
      <c r="I596" s="1">
        <v>200</v>
      </c>
      <c r="J596" s="1" t="s">
        <v>1736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2575</v>
      </c>
    </row>
    <row r="597" spans="1:17" ht="14" customHeight="1" x14ac:dyDescent="0.3">
      <c r="A597" s="1" t="s">
        <v>889</v>
      </c>
      <c r="B597" s="1">
        <v>21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890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2576</v>
      </c>
    </row>
    <row r="598" spans="1:17" ht="14" customHeight="1" x14ac:dyDescent="0.3">
      <c r="A598" s="1" t="s">
        <v>891</v>
      </c>
      <c r="B598" s="1">
        <v>23</v>
      </c>
      <c r="C598" s="1" t="s">
        <v>287</v>
      </c>
      <c r="D598" s="1">
        <v>184</v>
      </c>
      <c r="E598" s="1">
        <v>75</v>
      </c>
      <c r="F598" s="1">
        <v>122</v>
      </c>
      <c r="G598" s="1">
        <v>124</v>
      </c>
      <c r="H598" s="1" t="s">
        <v>892</v>
      </c>
      <c r="I598" s="1">
        <v>200</v>
      </c>
      <c r="J598" s="1" t="s">
        <v>1721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2577</v>
      </c>
    </row>
    <row r="599" spans="1:17" ht="14" customHeight="1" x14ac:dyDescent="0.3">
      <c r="A599" s="1" t="s">
        <v>893</v>
      </c>
      <c r="B599" s="1">
        <v>21</v>
      </c>
      <c r="C599" s="1" t="s">
        <v>287</v>
      </c>
      <c r="D599" s="1">
        <v>185</v>
      </c>
      <c r="E599" s="1">
        <v>73</v>
      </c>
      <c r="F599" s="1">
        <v>100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2578</v>
      </c>
    </row>
    <row r="600" spans="1:17" ht="14" customHeight="1" x14ac:dyDescent="0.3">
      <c r="A600" s="1" t="s">
        <v>894</v>
      </c>
      <c r="B600" s="1">
        <v>38</v>
      </c>
      <c r="C600" s="1" t="s">
        <v>611</v>
      </c>
      <c r="D600" s="1">
        <v>190</v>
      </c>
      <c r="E600" s="1">
        <v>78</v>
      </c>
      <c r="F600" s="1">
        <v>120</v>
      </c>
      <c r="G600" s="1">
        <v>166</v>
      </c>
      <c r="H600" s="1" t="s">
        <v>895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2579</v>
      </c>
    </row>
    <row r="601" spans="1:17" ht="14" customHeight="1" x14ac:dyDescent="0.3">
      <c r="A601" s="1" t="s">
        <v>896</v>
      </c>
      <c r="B601" s="1">
        <v>20</v>
      </c>
      <c r="C601" s="1" t="s">
        <v>897</v>
      </c>
      <c r="D601" s="1">
        <v>172</v>
      </c>
      <c r="E601" s="1">
        <v>77</v>
      </c>
      <c r="F601" s="1">
        <v>118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2580</v>
      </c>
    </row>
    <row r="602" spans="1:17" ht="14" customHeight="1" x14ac:dyDescent="0.3">
      <c r="A602" s="1" t="s">
        <v>898</v>
      </c>
      <c r="B602" s="1">
        <v>21</v>
      </c>
      <c r="C602" s="1" t="s">
        <v>273</v>
      </c>
      <c r="D602" s="1">
        <v>194</v>
      </c>
      <c r="E602" s="1">
        <v>75</v>
      </c>
      <c r="F602" s="1">
        <v>120</v>
      </c>
      <c r="G602" s="1">
        <v>120</v>
      </c>
      <c r="H602" s="1" t="s">
        <v>1</v>
      </c>
      <c r="I602" s="1">
        <v>40</v>
      </c>
      <c r="J602" s="1" t="s">
        <v>1762</v>
      </c>
      <c r="K602" s="1">
        <v>5</v>
      </c>
      <c r="L602" s="1">
        <f t="shared" si="9"/>
        <v>200</v>
      </c>
      <c r="M602" s="1" t="s">
        <v>38</v>
      </c>
      <c r="N602" s="1"/>
      <c r="O602" s="12" t="str">
        <f>IF($J602=Sheet2!$A$2, ROW(), "")</f>
        <v/>
      </c>
      <c r="Q602" s="23" t="s">
        <v>2581</v>
      </c>
    </row>
    <row r="603" spans="1:17" ht="14" customHeight="1" x14ac:dyDescent="0.3">
      <c r="A603" s="1" t="s">
        <v>899</v>
      </c>
      <c r="B603" s="1">
        <v>33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2582</v>
      </c>
    </row>
    <row r="604" spans="1:17" ht="14" customHeight="1" x14ac:dyDescent="0.3">
      <c r="A604" s="1" t="s">
        <v>900</v>
      </c>
      <c r="B604" s="1">
        <v>28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901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2583</v>
      </c>
    </row>
    <row r="605" spans="1:17" ht="14" customHeight="1" x14ac:dyDescent="0.3">
      <c r="A605" s="1" t="s">
        <v>902</v>
      </c>
      <c r="B605" s="1">
        <v>24</v>
      </c>
      <c r="C605" s="1" t="s">
        <v>903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2584</v>
      </c>
    </row>
    <row r="606" spans="1:17" ht="14" customHeight="1" x14ac:dyDescent="0.3">
      <c r="A606" s="1" t="s">
        <v>904</v>
      </c>
      <c r="B606" s="1">
        <v>37</v>
      </c>
      <c r="C606" s="1" t="s">
        <v>905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2585</v>
      </c>
    </row>
    <row r="607" spans="1:17" ht="14" customHeight="1" x14ac:dyDescent="0.3">
      <c r="A607" s="1" t="s">
        <v>906</v>
      </c>
      <c r="B607" s="1">
        <v>21</v>
      </c>
      <c r="C607" s="1" t="s">
        <v>668</v>
      </c>
      <c r="D607" s="1">
        <v>174</v>
      </c>
      <c r="E607" s="1">
        <v>73</v>
      </c>
      <c r="F607" s="1">
        <v>141</v>
      </c>
      <c r="G607" s="1">
        <v>180</v>
      </c>
      <c r="H607" s="1" t="s">
        <v>907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2586</v>
      </c>
    </row>
    <row r="608" spans="1:17" ht="14" customHeight="1" x14ac:dyDescent="0.3">
      <c r="A608" s="1" t="s">
        <v>908</v>
      </c>
      <c r="B608" s="1">
        <v>38</v>
      </c>
      <c r="C608" s="1" t="s">
        <v>661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2587</v>
      </c>
    </row>
    <row r="609" spans="1:17" ht="14" customHeight="1" x14ac:dyDescent="0.3">
      <c r="A609" s="1" t="s">
        <v>909</v>
      </c>
      <c r="B609" s="1">
        <v>21</v>
      </c>
      <c r="C609" s="1" t="s">
        <v>250</v>
      </c>
      <c r="D609" s="1">
        <v>184</v>
      </c>
      <c r="E609" s="1">
        <v>78</v>
      </c>
      <c r="F609" s="1">
        <v>136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2588</v>
      </c>
    </row>
    <row r="610" spans="1:17" ht="14" customHeight="1" x14ac:dyDescent="0.3">
      <c r="A610" s="1" t="s">
        <v>910</v>
      </c>
      <c r="B610" s="1">
        <v>23</v>
      </c>
      <c r="C610" s="1" t="s">
        <v>246</v>
      </c>
      <c r="D610" s="1">
        <v>195</v>
      </c>
      <c r="E610" s="1">
        <v>75</v>
      </c>
      <c r="F610" s="1">
        <v>136</v>
      </c>
      <c r="G610" s="1">
        <v>160</v>
      </c>
      <c r="H610" s="1" t="s">
        <v>1</v>
      </c>
      <c r="I610" s="1">
        <v>200</v>
      </c>
      <c r="J610" s="1" t="s">
        <v>689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2589</v>
      </c>
    </row>
    <row r="611" spans="1:17" ht="14" customHeight="1" x14ac:dyDescent="0.3">
      <c r="A611" s="1" t="s">
        <v>911</v>
      </c>
      <c r="B611" s="1">
        <v>39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912</v>
      </c>
      <c r="I611" s="1">
        <v>120</v>
      </c>
      <c r="J611" s="1" t="s">
        <v>1659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2590</v>
      </c>
    </row>
    <row r="612" spans="1:17" ht="14" customHeight="1" x14ac:dyDescent="0.3">
      <c r="A612" s="1" t="s">
        <v>913</v>
      </c>
      <c r="B612" s="1">
        <v>21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2591</v>
      </c>
    </row>
    <row r="613" spans="1:17" ht="14" customHeight="1" x14ac:dyDescent="0.3">
      <c r="A613" s="1" t="s">
        <v>914</v>
      </c>
      <c r="B613" s="1">
        <v>26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770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2592</v>
      </c>
    </row>
    <row r="614" spans="1:17" ht="14" customHeight="1" x14ac:dyDescent="0.3">
      <c r="A614" s="1" t="s">
        <v>915</v>
      </c>
      <c r="B614" s="1">
        <v>23</v>
      </c>
      <c r="C614" s="1" t="s">
        <v>563</v>
      </c>
      <c r="D614" s="1">
        <v>176</v>
      </c>
      <c r="E614" s="1">
        <v>74</v>
      </c>
      <c r="F614" s="1">
        <v>98</v>
      </c>
      <c r="G614" s="1">
        <v>114</v>
      </c>
      <c r="H614" s="1" t="s">
        <v>916</v>
      </c>
      <c r="I614" s="1">
        <v>60</v>
      </c>
      <c r="J614" s="1" t="s">
        <v>1659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2593</v>
      </c>
    </row>
    <row r="615" spans="1:17" ht="14" customHeight="1" x14ac:dyDescent="0.3">
      <c r="A615" s="1" t="s">
        <v>917</v>
      </c>
      <c r="B615" s="1">
        <v>22</v>
      </c>
      <c r="C615" s="1" t="s">
        <v>563</v>
      </c>
      <c r="D615" s="1">
        <v>177</v>
      </c>
      <c r="E615" s="1">
        <v>75</v>
      </c>
      <c r="F615" s="1">
        <v>100</v>
      </c>
      <c r="G615" s="1">
        <v>140</v>
      </c>
      <c r="H615" s="1" t="s">
        <v>263</v>
      </c>
      <c r="I615" s="1">
        <v>24</v>
      </c>
      <c r="J615" s="1" t="s">
        <v>1923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2594</v>
      </c>
    </row>
    <row r="616" spans="1:17" ht="14" customHeight="1" x14ac:dyDescent="0.3">
      <c r="A616" s="1" t="s">
        <v>918</v>
      </c>
      <c r="B616" s="1">
        <v>34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1762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2595</v>
      </c>
    </row>
    <row r="617" spans="1:17" ht="14" customHeight="1" x14ac:dyDescent="0.3">
      <c r="A617" s="1" t="s">
        <v>919</v>
      </c>
      <c r="B617" s="1">
        <v>28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920</v>
      </c>
      <c r="I617" s="1">
        <v>100</v>
      </c>
      <c r="J617" s="1" t="s">
        <v>1762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2596</v>
      </c>
    </row>
    <row r="618" spans="1:17" ht="14" customHeight="1" x14ac:dyDescent="0.3">
      <c r="A618" s="1" t="s">
        <v>921</v>
      </c>
      <c r="B618" s="1">
        <v>23</v>
      </c>
      <c r="C618" s="1" t="s">
        <v>922</v>
      </c>
      <c r="D618" s="1">
        <v>189</v>
      </c>
      <c r="E618" s="1">
        <v>84</v>
      </c>
      <c r="F618" s="1">
        <v>138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2597</v>
      </c>
    </row>
    <row r="619" spans="1:17" ht="14" customHeight="1" x14ac:dyDescent="0.3">
      <c r="A619" s="1" t="s">
        <v>923</v>
      </c>
      <c r="B619" s="1">
        <v>23</v>
      </c>
      <c r="C619" s="1" t="s">
        <v>924</v>
      </c>
      <c r="D619" s="1">
        <v>186</v>
      </c>
      <c r="E619" s="1">
        <v>76</v>
      </c>
      <c r="F619" s="1">
        <v>133</v>
      </c>
      <c r="G619" s="1">
        <v>144</v>
      </c>
      <c r="H619" s="1" t="s">
        <v>925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2598</v>
      </c>
    </row>
    <row r="620" spans="1:17" ht="14" customHeight="1" x14ac:dyDescent="0.3">
      <c r="A620" s="1" t="s">
        <v>926</v>
      </c>
      <c r="B620" s="1">
        <v>33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927</v>
      </c>
      <c r="I620" s="1">
        <v>45</v>
      </c>
      <c r="J620" s="1" t="s">
        <v>1782</v>
      </c>
      <c r="K620" s="1">
        <v>6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2599</v>
      </c>
    </row>
    <row r="621" spans="1:17" ht="14" customHeight="1" x14ac:dyDescent="0.3">
      <c r="A621" s="1" t="s">
        <v>928</v>
      </c>
      <c r="B621" s="1">
        <v>23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2600</v>
      </c>
    </row>
    <row r="622" spans="1:17" ht="14" customHeight="1" x14ac:dyDescent="0.3">
      <c r="A622" s="1" t="s">
        <v>929</v>
      </c>
      <c r="B622" s="1">
        <v>24</v>
      </c>
      <c r="C622" s="1" t="s">
        <v>283</v>
      </c>
      <c r="D622" s="1">
        <v>176</v>
      </c>
      <c r="E622" s="1">
        <v>73</v>
      </c>
      <c r="F622" s="1">
        <v>129</v>
      </c>
      <c r="G622" s="1">
        <v>140</v>
      </c>
      <c r="H622" s="1" t="s">
        <v>674</v>
      </c>
      <c r="I622" s="1">
        <v>140</v>
      </c>
      <c r="J622" s="1" t="s">
        <v>1865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2601</v>
      </c>
    </row>
    <row r="623" spans="1:17" ht="14" customHeight="1" x14ac:dyDescent="0.3">
      <c r="A623" s="1" t="s">
        <v>930</v>
      </c>
      <c r="B623" s="1">
        <v>32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931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2602</v>
      </c>
    </row>
    <row r="624" spans="1:17" ht="14" customHeight="1" x14ac:dyDescent="0.3">
      <c r="A624" s="1" t="s">
        <v>932</v>
      </c>
      <c r="B624" s="1">
        <v>28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1946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2603</v>
      </c>
    </row>
    <row r="625" spans="1:17" ht="14" customHeight="1" x14ac:dyDescent="0.3">
      <c r="A625" s="1" t="s">
        <v>933</v>
      </c>
      <c r="B625" s="1">
        <v>28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1718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2604</v>
      </c>
    </row>
    <row r="626" spans="1:17" ht="14" customHeight="1" x14ac:dyDescent="0.3">
      <c r="A626" s="1" t="s">
        <v>934</v>
      </c>
      <c r="B626" s="1">
        <v>24</v>
      </c>
      <c r="C626" s="1" t="s">
        <v>935</v>
      </c>
      <c r="D626" s="1">
        <v>185</v>
      </c>
      <c r="E626" s="1">
        <v>78</v>
      </c>
      <c r="F626" s="1">
        <v>124</v>
      </c>
      <c r="G626" s="1">
        <v>138</v>
      </c>
      <c r="H626" s="1" t="s">
        <v>936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2605</v>
      </c>
    </row>
    <row r="627" spans="1:17" ht="14" customHeight="1" x14ac:dyDescent="0.3">
      <c r="A627" s="1" t="s">
        <v>937</v>
      </c>
      <c r="B627" s="1">
        <v>19</v>
      </c>
      <c r="C627" s="1" t="s">
        <v>320</v>
      </c>
      <c r="D627" s="1">
        <v>178</v>
      </c>
      <c r="E627" s="1">
        <v>75</v>
      </c>
      <c r="F627" s="1">
        <v>119</v>
      </c>
      <c r="G627" s="1">
        <v>170</v>
      </c>
      <c r="H627" s="1" t="s">
        <v>761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2606</v>
      </c>
    </row>
    <row r="628" spans="1:17" ht="14" customHeight="1" x14ac:dyDescent="0.3">
      <c r="A628" s="1" t="s">
        <v>938</v>
      </c>
      <c r="B628" s="1">
        <v>23</v>
      </c>
      <c r="C628" s="1" t="s">
        <v>283</v>
      </c>
      <c r="D628" s="1">
        <v>178</v>
      </c>
      <c r="E628" s="1">
        <v>75</v>
      </c>
      <c r="F628" s="1">
        <v>119</v>
      </c>
      <c r="G628" s="1">
        <v>129</v>
      </c>
      <c r="H628" s="1" t="s">
        <v>939</v>
      </c>
      <c r="I628" s="1">
        <v>60</v>
      </c>
      <c r="J628" s="1" t="s">
        <v>689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2607</v>
      </c>
    </row>
    <row r="629" spans="1:17" ht="14" customHeight="1" x14ac:dyDescent="0.3">
      <c r="A629" s="1" t="s">
        <v>940</v>
      </c>
      <c r="B629" s="1">
        <v>36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2608</v>
      </c>
    </row>
    <row r="630" spans="1:17" ht="14" customHeight="1" x14ac:dyDescent="0.3">
      <c r="A630" s="1" t="s">
        <v>941</v>
      </c>
      <c r="B630" s="1">
        <v>26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942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2609</v>
      </c>
    </row>
    <row r="631" spans="1:17" ht="14" customHeight="1" x14ac:dyDescent="0.3">
      <c r="A631" s="1" t="s">
        <v>943</v>
      </c>
      <c r="B631" s="1">
        <v>22</v>
      </c>
      <c r="C631" s="1" t="s">
        <v>287</v>
      </c>
      <c r="D631" s="1">
        <v>177</v>
      </c>
      <c r="E631" s="1">
        <v>74</v>
      </c>
      <c r="F631" s="1">
        <v>126</v>
      </c>
      <c r="G631" s="1">
        <v>127</v>
      </c>
      <c r="H631" s="1" t="s">
        <v>944</v>
      </c>
      <c r="I631" s="1">
        <v>200</v>
      </c>
      <c r="J631" s="1" t="s">
        <v>1804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2610</v>
      </c>
    </row>
    <row r="632" spans="1:17" ht="14" customHeight="1" x14ac:dyDescent="0.3">
      <c r="A632" s="1" t="s">
        <v>945</v>
      </c>
      <c r="B632" s="1">
        <v>31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946</v>
      </c>
      <c r="I632" s="1">
        <v>100</v>
      </c>
      <c r="J632" s="1" t="s">
        <v>1718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2611</v>
      </c>
    </row>
    <row r="633" spans="1:17" ht="14" customHeight="1" x14ac:dyDescent="0.3">
      <c r="A633" s="1" t="s">
        <v>947</v>
      </c>
      <c r="B633" s="1">
        <v>25</v>
      </c>
      <c r="C633" s="1" t="s">
        <v>897</v>
      </c>
      <c r="D633" s="1">
        <v>187</v>
      </c>
      <c r="E633" s="1">
        <v>75</v>
      </c>
      <c r="F633" s="1">
        <v>116</v>
      </c>
      <c r="G633" s="1">
        <v>116</v>
      </c>
      <c r="H633" s="1" t="s">
        <v>948</v>
      </c>
      <c r="I633" s="1">
        <v>120</v>
      </c>
      <c r="J633" s="1" t="s">
        <v>1718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2612</v>
      </c>
    </row>
    <row r="634" spans="1:17" ht="14" customHeight="1" x14ac:dyDescent="0.3">
      <c r="A634" s="1" t="s">
        <v>949</v>
      </c>
      <c r="B634" s="1">
        <v>29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3411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2613</v>
      </c>
    </row>
    <row r="635" spans="1:17" ht="14" customHeight="1" x14ac:dyDescent="0.3">
      <c r="A635" s="1" t="s">
        <v>950</v>
      </c>
      <c r="B635" s="1">
        <v>31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951</v>
      </c>
      <c r="I635" s="1">
        <v>180</v>
      </c>
      <c r="J635" s="1" t="s">
        <v>1735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2614</v>
      </c>
    </row>
    <row r="636" spans="1:17" ht="14" customHeight="1" x14ac:dyDescent="0.3">
      <c r="A636" s="1" t="s">
        <v>952</v>
      </c>
      <c r="B636" s="1">
        <v>24</v>
      </c>
      <c r="C636" s="1" t="s">
        <v>897</v>
      </c>
      <c r="D636" s="1">
        <v>179</v>
      </c>
      <c r="E636" s="1">
        <v>73</v>
      </c>
      <c r="F636" s="1">
        <v>116</v>
      </c>
      <c r="G636" s="1">
        <v>116</v>
      </c>
      <c r="H636" s="1" t="s">
        <v>953</v>
      </c>
      <c r="I636" s="1">
        <v>120</v>
      </c>
      <c r="J636" s="1" t="s">
        <v>1782</v>
      </c>
      <c r="K636" s="1">
        <v>5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2615</v>
      </c>
    </row>
    <row r="637" spans="1:17" ht="14" customHeight="1" x14ac:dyDescent="0.3">
      <c r="A637" s="1" t="s">
        <v>954</v>
      </c>
      <c r="B637" s="1">
        <v>21</v>
      </c>
      <c r="C637" s="1" t="s">
        <v>287</v>
      </c>
      <c r="D637" s="1">
        <v>181</v>
      </c>
      <c r="E637" s="1">
        <v>78</v>
      </c>
      <c r="F637" s="1">
        <v>120</v>
      </c>
      <c r="G637" s="1">
        <v>120</v>
      </c>
      <c r="H637" s="1" t="s">
        <v>260</v>
      </c>
      <c r="I637" s="1">
        <v>50</v>
      </c>
      <c r="J637" s="1" t="s">
        <v>683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2616</v>
      </c>
    </row>
    <row r="638" spans="1:17" ht="14" customHeight="1" x14ac:dyDescent="0.3">
      <c r="A638" s="1" t="s">
        <v>955</v>
      </c>
      <c r="B638" s="1">
        <v>27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956</v>
      </c>
      <c r="I638" s="1">
        <v>150</v>
      </c>
      <c r="J638" s="1" t="s">
        <v>520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2617</v>
      </c>
    </row>
    <row r="639" spans="1:17" ht="14" customHeight="1" x14ac:dyDescent="0.3">
      <c r="A639" s="1" t="s">
        <v>957</v>
      </c>
      <c r="B639" s="1">
        <v>27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912</v>
      </c>
      <c r="I639" s="1">
        <v>100</v>
      </c>
      <c r="J639" s="1" t="s">
        <v>1718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2618</v>
      </c>
    </row>
    <row r="640" spans="1:17" ht="14" customHeight="1" x14ac:dyDescent="0.3">
      <c r="A640" s="1" t="s">
        <v>958</v>
      </c>
      <c r="B640" s="1">
        <v>28</v>
      </c>
      <c r="C640" s="1" t="s">
        <v>897</v>
      </c>
      <c r="D640" s="1">
        <v>178</v>
      </c>
      <c r="E640" s="1">
        <v>75</v>
      </c>
      <c r="F640" s="1">
        <v>95</v>
      </c>
      <c r="G640" s="1">
        <v>117</v>
      </c>
      <c r="H640" s="1" t="s">
        <v>550</v>
      </c>
      <c r="I640" s="1">
        <v>80</v>
      </c>
      <c r="J640" s="1" t="s">
        <v>1735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2619</v>
      </c>
    </row>
    <row r="641" spans="1:17" ht="14" customHeight="1" x14ac:dyDescent="0.3">
      <c r="A641" s="1" t="s">
        <v>959</v>
      </c>
      <c r="B641" s="1">
        <v>19</v>
      </c>
      <c r="C641" s="1" t="s">
        <v>287</v>
      </c>
      <c r="D641" s="1">
        <v>177</v>
      </c>
      <c r="E641" s="1">
        <v>63</v>
      </c>
      <c r="F641" s="1">
        <v>118</v>
      </c>
      <c r="G641" s="1">
        <v>160</v>
      </c>
      <c r="H641" s="1" t="s">
        <v>960</v>
      </c>
      <c r="I641" s="1">
        <v>70</v>
      </c>
      <c r="J641" s="1" t="s">
        <v>1854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2620</v>
      </c>
    </row>
    <row r="642" spans="1:17" ht="14" customHeight="1" x14ac:dyDescent="0.3">
      <c r="A642" s="1" t="s">
        <v>961</v>
      </c>
      <c r="B642" s="1">
        <v>24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962</v>
      </c>
      <c r="I642" s="1">
        <v>90</v>
      </c>
      <c r="J642" s="1" t="s">
        <v>37</v>
      </c>
      <c r="K642" s="1">
        <v>4</v>
      </c>
      <c r="L642" s="1">
        <f t="shared" ref="L642:L705" si="10">I642*5</f>
        <v>450</v>
      </c>
      <c r="M642" s="1" t="s">
        <v>38</v>
      </c>
      <c r="N642" s="1"/>
      <c r="O642" s="12" t="str">
        <f>IF($J642=Sheet2!$A$2, ROW(), "")</f>
        <v/>
      </c>
      <c r="Q642" s="23" t="s">
        <v>2621</v>
      </c>
    </row>
    <row r="643" spans="1:17" ht="14" customHeight="1" x14ac:dyDescent="0.3">
      <c r="A643" s="1" t="s">
        <v>963</v>
      </c>
      <c r="B643" s="1">
        <v>22</v>
      </c>
      <c r="C643" s="1" t="s">
        <v>964</v>
      </c>
      <c r="D643" s="1">
        <v>177</v>
      </c>
      <c r="E643" s="1">
        <v>74</v>
      </c>
      <c r="F643" s="1">
        <v>132</v>
      </c>
      <c r="G643" s="1">
        <v>160</v>
      </c>
      <c r="H643" s="1" t="s">
        <v>965</v>
      </c>
      <c r="I643" s="1">
        <v>200</v>
      </c>
      <c r="J643" s="1" t="s">
        <v>689</v>
      </c>
      <c r="K643" s="1">
        <v>6</v>
      </c>
      <c r="L643" s="1">
        <f t="shared" si="10"/>
        <v>1000</v>
      </c>
      <c r="M643" s="1" t="s">
        <v>38</v>
      </c>
      <c r="N643" s="1"/>
      <c r="O643" s="12" t="str">
        <f>IF($J643=Sheet2!$A$2, ROW(), "")</f>
        <v/>
      </c>
      <c r="Q643" s="23" t="s">
        <v>2622</v>
      </c>
    </row>
    <row r="644" spans="1:17" ht="14" customHeight="1" x14ac:dyDescent="0.3">
      <c r="A644" s="1" t="s">
        <v>966</v>
      </c>
      <c r="B644" s="1">
        <v>21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967</v>
      </c>
      <c r="I644" s="1">
        <v>50</v>
      </c>
      <c r="J644" s="1" t="s">
        <v>111</v>
      </c>
      <c r="K644" s="1">
        <v>5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2623</v>
      </c>
    </row>
    <row r="645" spans="1:17" ht="14" customHeight="1" x14ac:dyDescent="0.3">
      <c r="A645" s="1" t="s">
        <v>968</v>
      </c>
      <c r="B645" s="1">
        <v>38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969</v>
      </c>
      <c r="I645" s="1">
        <v>30</v>
      </c>
      <c r="J645" s="1" t="s">
        <v>3244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2624</v>
      </c>
    </row>
    <row r="646" spans="1:17" ht="14" customHeight="1" x14ac:dyDescent="0.3">
      <c r="A646" s="1" t="s">
        <v>970</v>
      </c>
      <c r="B646" s="1">
        <v>37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3244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2625</v>
      </c>
    </row>
    <row r="647" spans="1:17" ht="14" customHeight="1" x14ac:dyDescent="0.3">
      <c r="A647" s="1" t="s">
        <v>971</v>
      </c>
      <c r="B647" s="1">
        <v>30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972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2626</v>
      </c>
    </row>
    <row r="648" spans="1:17" ht="14" customHeight="1" x14ac:dyDescent="0.3">
      <c r="A648" s="1" t="s">
        <v>973</v>
      </c>
      <c r="B648" s="1">
        <v>28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1782</v>
      </c>
      <c r="K648" s="1">
        <v>5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2627</v>
      </c>
    </row>
    <row r="649" spans="1:17" ht="14" customHeight="1" x14ac:dyDescent="0.3">
      <c r="A649" s="1" t="s">
        <v>974</v>
      </c>
      <c r="B649" s="1">
        <v>26</v>
      </c>
      <c r="C649" s="1" t="s">
        <v>283</v>
      </c>
      <c r="D649" s="1">
        <v>180</v>
      </c>
      <c r="E649" s="1">
        <v>75</v>
      </c>
      <c r="F649" s="1">
        <v>138</v>
      </c>
      <c r="G649" s="1">
        <v>138</v>
      </c>
      <c r="H649" s="1" t="s">
        <v>277</v>
      </c>
      <c r="I649" s="1">
        <v>150</v>
      </c>
      <c r="J649" s="1" t="s">
        <v>1717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2628</v>
      </c>
    </row>
    <row r="650" spans="1:17" ht="14" customHeight="1" x14ac:dyDescent="0.3">
      <c r="A650" s="1" t="s">
        <v>975</v>
      </c>
      <c r="B650" s="1">
        <v>25</v>
      </c>
      <c r="C650" s="1" t="s">
        <v>611</v>
      </c>
      <c r="D650" s="1">
        <v>190</v>
      </c>
      <c r="E650" s="1">
        <v>82</v>
      </c>
      <c r="F650" s="1">
        <v>138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2629</v>
      </c>
    </row>
    <row r="651" spans="1:17" ht="14" customHeight="1" x14ac:dyDescent="0.3">
      <c r="A651" s="1" t="s">
        <v>976</v>
      </c>
      <c r="B651" s="1">
        <v>25</v>
      </c>
      <c r="C651" s="1" t="s">
        <v>897</v>
      </c>
      <c r="D651" s="1">
        <v>177</v>
      </c>
      <c r="E651" s="1">
        <v>75</v>
      </c>
      <c r="F651" s="1">
        <v>117</v>
      </c>
      <c r="G651" s="1">
        <v>117</v>
      </c>
      <c r="H651" s="1" t="s">
        <v>977</v>
      </c>
      <c r="I651" s="1">
        <v>120</v>
      </c>
      <c r="J651" s="1" t="s">
        <v>1946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2630</v>
      </c>
    </row>
    <row r="652" spans="1:17" ht="14" customHeight="1" x14ac:dyDescent="0.3">
      <c r="A652" s="1" t="s">
        <v>978</v>
      </c>
      <c r="B652" s="1">
        <v>38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3244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2631</v>
      </c>
    </row>
    <row r="653" spans="1:17" ht="14" customHeight="1" x14ac:dyDescent="0.3">
      <c r="A653" s="1" t="s">
        <v>979</v>
      </c>
      <c r="B653" s="1">
        <v>33</v>
      </c>
      <c r="C653" s="1" t="s">
        <v>980</v>
      </c>
      <c r="D653" s="1">
        <v>187</v>
      </c>
      <c r="E653" s="1">
        <v>75</v>
      </c>
      <c r="F653" s="1">
        <v>120</v>
      </c>
      <c r="G653" s="1">
        <v>156</v>
      </c>
      <c r="H653" s="1" t="s">
        <v>981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2632</v>
      </c>
    </row>
    <row r="654" spans="1:17" ht="14" customHeight="1" x14ac:dyDescent="0.3">
      <c r="A654" s="1" t="s">
        <v>982</v>
      </c>
      <c r="B654" s="1">
        <v>29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2633</v>
      </c>
    </row>
    <row r="655" spans="1:17" ht="14" customHeight="1" x14ac:dyDescent="0.3">
      <c r="A655" s="1" t="s">
        <v>983</v>
      </c>
      <c r="B655" s="1">
        <v>38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2634</v>
      </c>
    </row>
    <row r="656" spans="1:17" ht="14" customHeight="1" x14ac:dyDescent="0.3">
      <c r="A656" s="1" t="s">
        <v>984</v>
      </c>
      <c r="B656" s="1">
        <v>33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981</v>
      </c>
      <c r="I656" s="1">
        <v>24</v>
      </c>
      <c r="J656" s="1" t="s">
        <v>1917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2635</v>
      </c>
    </row>
    <row r="657" spans="1:17" ht="14" customHeight="1" x14ac:dyDescent="0.3">
      <c r="A657" s="1" t="s">
        <v>985</v>
      </c>
      <c r="B657" s="1">
        <v>21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2636</v>
      </c>
    </row>
    <row r="658" spans="1:17" ht="14" customHeight="1" x14ac:dyDescent="0.3">
      <c r="A658" s="1" t="s">
        <v>986</v>
      </c>
      <c r="B658" s="1">
        <v>32</v>
      </c>
      <c r="C658" s="1" t="s">
        <v>987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1762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2637</v>
      </c>
    </row>
    <row r="659" spans="1:17" ht="14" customHeight="1" x14ac:dyDescent="0.3">
      <c r="A659" s="1" t="s">
        <v>988</v>
      </c>
      <c r="B659" s="1">
        <v>33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989</v>
      </c>
      <c r="I659" s="1">
        <v>160</v>
      </c>
      <c r="J659" s="1" t="s">
        <v>1762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2638</v>
      </c>
    </row>
    <row r="660" spans="1:17" ht="14" customHeight="1" x14ac:dyDescent="0.3">
      <c r="A660" s="1" t="s">
        <v>990</v>
      </c>
      <c r="B660" s="1">
        <v>32</v>
      </c>
      <c r="C660" s="1" t="s">
        <v>991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2639</v>
      </c>
    </row>
    <row r="661" spans="1:17" ht="14" customHeight="1" x14ac:dyDescent="0.3">
      <c r="A661" s="1" t="s">
        <v>992</v>
      </c>
      <c r="B661" s="1">
        <v>34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1762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2640</v>
      </c>
    </row>
    <row r="662" spans="1:17" ht="14" customHeight="1" x14ac:dyDescent="0.3">
      <c r="A662" s="1" t="s">
        <v>993</v>
      </c>
      <c r="B662" s="1">
        <v>34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783</v>
      </c>
      <c r="I662" s="1">
        <v>180</v>
      </c>
      <c r="J662" s="1" t="s">
        <v>1735</v>
      </c>
      <c r="K662" s="1">
        <v>5</v>
      </c>
      <c r="L662" s="1">
        <f t="shared" si="10"/>
        <v>900</v>
      </c>
      <c r="M662" s="1" t="s">
        <v>38</v>
      </c>
      <c r="N662" s="1"/>
      <c r="O662" s="12" t="str">
        <f>IF($J662=Sheet2!$A$2, ROW(), "")</f>
        <v/>
      </c>
      <c r="Q662" s="23" t="s">
        <v>2641</v>
      </c>
    </row>
    <row r="663" spans="1:17" ht="14" customHeight="1" x14ac:dyDescent="0.3">
      <c r="A663" s="1" t="s">
        <v>994</v>
      </c>
      <c r="B663" s="1">
        <v>22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995</v>
      </c>
      <c r="I663" s="1">
        <v>45</v>
      </c>
      <c r="J663" s="1" t="s">
        <v>1782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2642</v>
      </c>
    </row>
    <row r="664" spans="1:17" ht="14" customHeight="1" x14ac:dyDescent="0.3">
      <c r="A664" s="1" t="s">
        <v>996</v>
      </c>
      <c r="B664" s="1">
        <v>20</v>
      </c>
      <c r="C664" s="1" t="s">
        <v>563</v>
      </c>
      <c r="D664" s="1">
        <v>177</v>
      </c>
      <c r="E664" s="1">
        <v>74</v>
      </c>
      <c r="F664" s="1">
        <v>123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2643</v>
      </c>
    </row>
    <row r="665" spans="1:17" ht="14" customHeight="1" x14ac:dyDescent="0.3">
      <c r="A665" s="1" t="s">
        <v>997</v>
      </c>
      <c r="B665" s="1">
        <v>28</v>
      </c>
      <c r="C665" s="1" t="s">
        <v>563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1762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2644</v>
      </c>
    </row>
    <row r="666" spans="1:17" ht="14" customHeight="1" x14ac:dyDescent="0.3">
      <c r="A666" s="1" t="s">
        <v>998</v>
      </c>
      <c r="B666" s="1">
        <v>25</v>
      </c>
      <c r="C666" s="1" t="s">
        <v>563</v>
      </c>
      <c r="D666" s="1">
        <v>175</v>
      </c>
      <c r="E666" s="1">
        <v>73</v>
      </c>
      <c r="F666" s="1">
        <v>118</v>
      </c>
      <c r="G666" s="1">
        <v>106</v>
      </c>
      <c r="H666" s="1" t="s">
        <v>317</v>
      </c>
      <c r="I666" s="1">
        <v>50</v>
      </c>
      <c r="J666" s="1" t="s">
        <v>3229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2645</v>
      </c>
    </row>
    <row r="667" spans="1:17" ht="14" customHeight="1" x14ac:dyDescent="0.3">
      <c r="A667" s="1" t="s">
        <v>999</v>
      </c>
      <c r="B667" s="1">
        <v>27</v>
      </c>
      <c r="C667" s="1" t="s">
        <v>563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1000</v>
      </c>
      <c r="I667" s="1">
        <v>50</v>
      </c>
      <c r="J667" s="1" t="s">
        <v>1946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2646</v>
      </c>
    </row>
    <row r="668" spans="1:17" ht="14" customHeight="1" x14ac:dyDescent="0.3">
      <c r="A668" s="1" t="s">
        <v>1001</v>
      </c>
      <c r="B668" s="1">
        <v>26</v>
      </c>
      <c r="C668" s="1" t="s">
        <v>563</v>
      </c>
      <c r="D668" s="1">
        <v>183</v>
      </c>
      <c r="E668" s="1">
        <v>80</v>
      </c>
      <c r="F668" s="1">
        <v>119</v>
      </c>
      <c r="G668" s="1">
        <v>128</v>
      </c>
      <c r="H668" s="1" t="s">
        <v>260</v>
      </c>
      <c r="I668" s="1">
        <v>50</v>
      </c>
      <c r="J668" s="1" t="s">
        <v>1946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2647</v>
      </c>
    </row>
    <row r="669" spans="1:17" ht="14" customHeight="1" x14ac:dyDescent="0.3">
      <c r="A669" s="1" t="s">
        <v>1002</v>
      </c>
      <c r="B669" s="1">
        <v>30</v>
      </c>
      <c r="C669" s="1" t="s">
        <v>897</v>
      </c>
      <c r="D669" s="1">
        <v>176</v>
      </c>
      <c r="E669" s="1">
        <v>73</v>
      </c>
      <c r="F669" s="1">
        <v>100</v>
      </c>
      <c r="G669" s="1">
        <v>106</v>
      </c>
      <c r="H669" s="1" t="s">
        <v>550</v>
      </c>
      <c r="I669" s="1">
        <v>100</v>
      </c>
      <c r="J669" s="1" t="s">
        <v>1735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2648</v>
      </c>
    </row>
    <row r="670" spans="1:17" ht="14" customHeight="1" x14ac:dyDescent="0.3">
      <c r="A670" s="1" t="s">
        <v>1003</v>
      </c>
      <c r="B670" s="1">
        <v>38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1762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2649</v>
      </c>
    </row>
    <row r="671" spans="1:17" ht="14" customHeight="1" x14ac:dyDescent="0.3">
      <c r="A671" s="1" t="s">
        <v>1004</v>
      </c>
      <c r="B671" s="1">
        <v>37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1762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2650</v>
      </c>
    </row>
    <row r="672" spans="1:17" ht="14" customHeight="1" x14ac:dyDescent="0.3">
      <c r="A672" s="1" t="s">
        <v>1005</v>
      </c>
      <c r="B672" s="1">
        <v>29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965</v>
      </c>
      <c r="I672" s="1">
        <v>50</v>
      </c>
      <c r="J672" s="1" t="s">
        <v>1762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2651</v>
      </c>
    </row>
    <row r="673" spans="1:17" ht="14" customHeight="1" x14ac:dyDescent="0.3">
      <c r="A673" s="1" t="s">
        <v>1006</v>
      </c>
      <c r="B673" s="1">
        <v>19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1762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2652</v>
      </c>
    </row>
    <row r="674" spans="1:17" ht="14" customHeight="1" x14ac:dyDescent="0.3">
      <c r="A674" s="1" t="s">
        <v>1007</v>
      </c>
      <c r="B674" s="1">
        <v>25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1008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2653</v>
      </c>
    </row>
    <row r="675" spans="1:17" ht="14" customHeight="1" x14ac:dyDescent="0.3">
      <c r="A675" s="1" t="s">
        <v>1009</v>
      </c>
      <c r="B675" s="1">
        <v>28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1763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2654</v>
      </c>
    </row>
    <row r="676" spans="1:17" ht="14" customHeight="1" x14ac:dyDescent="0.3">
      <c r="A676" s="1" t="s">
        <v>1010</v>
      </c>
      <c r="B676" s="1">
        <v>36</v>
      </c>
      <c r="C676" s="1" t="s">
        <v>1011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2655</v>
      </c>
    </row>
    <row r="677" spans="1:17" ht="14" customHeight="1" x14ac:dyDescent="0.3">
      <c r="A677" s="1" t="s">
        <v>1012</v>
      </c>
      <c r="B677" s="1">
        <v>22</v>
      </c>
      <c r="C677" s="1" t="s">
        <v>287</v>
      </c>
      <c r="D677" s="1">
        <v>180</v>
      </c>
      <c r="E677" s="1">
        <v>86</v>
      </c>
      <c r="F677" s="1">
        <v>120</v>
      </c>
      <c r="G677" s="1">
        <v>120</v>
      </c>
      <c r="H677" s="1" t="s">
        <v>247</v>
      </c>
      <c r="I677" s="1">
        <v>50</v>
      </c>
      <c r="J677" s="1" t="s">
        <v>609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2656</v>
      </c>
    </row>
    <row r="678" spans="1:17" ht="14" customHeight="1" x14ac:dyDescent="0.3">
      <c r="A678" s="1" t="s">
        <v>1013</v>
      </c>
      <c r="B678" s="1">
        <v>26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1735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2657</v>
      </c>
    </row>
    <row r="679" spans="1:17" ht="14" customHeight="1" x14ac:dyDescent="0.3">
      <c r="A679" s="1" t="s">
        <v>1014</v>
      </c>
      <c r="B679" s="1">
        <v>27</v>
      </c>
      <c r="C679" s="1" t="s">
        <v>582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490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2658</v>
      </c>
    </row>
    <row r="680" spans="1:17" ht="14" customHeight="1" x14ac:dyDescent="0.3">
      <c r="A680" s="1" t="s">
        <v>1015</v>
      </c>
      <c r="B680" s="1">
        <v>35</v>
      </c>
      <c r="C680" s="1" t="s">
        <v>1011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70</v>
      </c>
      <c r="J680" s="1" t="s">
        <v>1766</v>
      </c>
      <c r="K680" s="1">
        <v>4</v>
      </c>
      <c r="L680" s="1">
        <f t="shared" si="10"/>
        <v>350</v>
      </c>
      <c r="M680" s="1" t="s">
        <v>38</v>
      </c>
      <c r="N680" s="1"/>
      <c r="O680" s="12" t="str">
        <f>IF($J680=Sheet2!$A$2, ROW(), "")</f>
        <v/>
      </c>
      <c r="Q680" s="23" t="s">
        <v>2659</v>
      </c>
    </row>
    <row r="681" spans="1:17" ht="14" customHeight="1" x14ac:dyDescent="0.3">
      <c r="A681" s="1" t="s">
        <v>1016</v>
      </c>
      <c r="B681" s="1">
        <v>29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1017</v>
      </c>
      <c r="I681" s="1">
        <v>30</v>
      </c>
      <c r="J681" s="1" t="s">
        <v>1917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2660</v>
      </c>
    </row>
    <row r="682" spans="1:17" ht="14" customHeight="1" x14ac:dyDescent="0.3">
      <c r="A682" s="1" t="s">
        <v>1018</v>
      </c>
      <c r="B682" s="1">
        <v>31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1917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2661</v>
      </c>
    </row>
    <row r="683" spans="1:17" ht="14" customHeight="1" x14ac:dyDescent="0.3">
      <c r="A683" s="1" t="s">
        <v>1019</v>
      </c>
      <c r="B683" s="1">
        <v>25</v>
      </c>
      <c r="C683" s="1" t="s">
        <v>285</v>
      </c>
      <c r="D683" s="1">
        <v>175</v>
      </c>
      <c r="E683" s="1">
        <v>73</v>
      </c>
      <c r="F683" s="1">
        <v>128</v>
      </c>
      <c r="G683" s="1">
        <v>128</v>
      </c>
      <c r="H683" s="1" t="s">
        <v>21</v>
      </c>
      <c r="I683" s="1">
        <v>130</v>
      </c>
      <c r="J683" s="1" t="s">
        <v>1774</v>
      </c>
      <c r="K683" s="1">
        <v>5</v>
      </c>
      <c r="L683" s="1">
        <f t="shared" si="10"/>
        <v>650</v>
      </c>
      <c r="M683" s="1" t="s">
        <v>38</v>
      </c>
      <c r="N683" s="1"/>
      <c r="O683" s="12" t="str">
        <f>IF($J683=Sheet2!$A$2, ROW(), "")</f>
        <v/>
      </c>
      <c r="Q683" s="23" t="s">
        <v>2662</v>
      </c>
    </row>
    <row r="684" spans="1:17" ht="14" customHeight="1" x14ac:dyDescent="0.3">
      <c r="A684" s="1" t="s">
        <v>1020</v>
      </c>
      <c r="B684" s="1">
        <v>44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24</v>
      </c>
      <c r="J684" s="1" t="s">
        <v>689</v>
      </c>
      <c r="K684" s="1">
        <v>5</v>
      </c>
      <c r="L684" s="1">
        <f t="shared" si="10"/>
        <v>120</v>
      </c>
      <c r="M684" s="1" t="s">
        <v>38</v>
      </c>
      <c r="N684" s="1"/>
      <c r="O684" s="12" t="str">
        <f>IF($J684=Sheet2!$A$2, ROW(), "")</f>
        <v/>
      </c>
      <c r="Q684" s="23" t="s">
        <v>2663</v>
      </c>
    </row>
    <row r="685" spans="1:17" ht="14" customHeight="1" x14ac:dyDescent="0.3">
      <c r="A685" s="1" t="s">
        <v>1021</v>
      </c>
      <c r="B685" s="1">
        <v>30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1022</v>
      </c>
      <c r="I685" s="1">
        <v>100</v>
      </c>
      <c r="J685" s="1" t="s">
        <v>1735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2664</v>
      </c>
    </row>
    <row r="686" spans="1:17" ht="14" customHeight="1" x14ac:dyDescent="0.3">
      <c r="A686" s="1" t="s">
        <v>1023</v>
      </c>
      <c r="B686" s="1">
        <v>22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1024</v>
      </c>
      <c r="I686" s="1">
        <v>24</v>
      </c>
      <c r="J686" s="1" t="s">
        <v>1735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2665</v>
      </c>
    </row>
    <row r="687" spans="1:17" ht="14" customHeight="1" x14ac:dyDescent="0.3">
      <c r="A687" s="1" t="s">
        <v>1025</v>
      </c>
      <c r="B687" s="1">
        <v>35</v>
      </c>
      <c r="C687" s="1" t="s">
        <v>843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609</v>
      </c>
      <c r="K687" s="1">
        <v>5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2666</v>
      </c>
    </row>
    <row r="688" spans="1:17" ht="14" customHeight="1" x14ac:dyDescent="0.3">
      <c r="A688" s="1" t="s">
        <v>1026</v>
      </c>
      <c r="B688" s="1">
        <v>35</v>
      </c>
      <c r="C688" s="1" t="s">
        <v>1027</v>
      </c>
      <c r="D688" s="1">
        <v>186</v>
      </c>
      <c r="E688" s="1">
        <v>77</v>
      </c>
      <c r="F688" s="1">
        <v>102</v>
      </c>
      <c r="G688" s="1">
        <v>154</v>
      </c>
      <c r="H688" s="1" t="s">
        <v>834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2667</v>
      </c>
    </row>
    <row r="689" spans="1:17" ht="14" customHeight="1" x14ac:dyDescent="0.3">
      <c r="A689" s="1" t="s">
        <v>1028</v>
      </c>
      <c r="B689" s="1">
        <v>33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1762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2668</v>
      </c>
    </row>
    <row r="690" spans="1:17" ht="14" customHeight="1" x14ac:dyDescent="0.3">
      <c r="A690" s="1" t="s">
        <v>1029</v>
      </c>
      <c r="B690" s="1">
        <v>38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1030</v>
      </c>
      <c r="I690" s="1">
        <v>30</v>
      </c>
      <c r="J690" s="1" t="s">
        <v>3244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2669</v>
      </c>
    </row>
    <row r="691" spans="1:17" ht="14" customHeight="1" x14ac:dyDescent="0.3">
      <c r="A691" s="1" t="s">
        <v>1031</v>
      </c>
      <c r="B691" s="1">
        <v>21</v>
      </c>
      <c r="C691" s="1" t="s">
        <v>287</v>
      </c>
      <c r="D691" s="1">
        <v>197</v>
      </c>
      <c r="E691" s="1">
        <v>74</v>
      </c>
      <c r="F691" s="1">
        <v>120</v>
      </c>
      <c r="G691" s="1">
        <v>136</v>
      </c>
      <c r="H691" s="1" t="s">
        <v>1</v>
      </c>
      <c r="I691" s="1">
        <v>50</v>
      </c>
      <c r="J691" s="1" t="s">
        <v>1721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2670</v>
      </c>
    </row>
    <row r="692" spans="1:17" ht="14" customHeight="1" x14ac:dyDescent="0.3">
      <c r="A692" s="1" t="s">
        <v>1032</v>
      </c>
      <c r="B692" s="1">
        <v>23</v>
      </c>
      <c r="C692" s="1" t="s">
        <v>897</v>
      </c>
      <c r="D692" s="1">
        <v>188</v>
      </c>
      <c r="E692" s="1">
        <v>75</v>
      </c>
      <c r="F692" s="1">
        <v>120</v>
      </c>
      <c r="G692" s="1">
        <v>120</v>
      </c>
      <c r="H692" s="1" t="s">
        <v>1033</v>
      </c>
      <c r="I692" s="1">
        <v>24</v>
      </c>
      <c r="J692" s="1" t="s">
        <v>1721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2671</v>
      </c>
    </row>
    <row r="693" spans="1:17" ht="14" customHeight="1" x14ac:dyDescent="0.3">
      <c r="A693" s="1" t="s">
        <v>1034</v>
      </c>
      <c r="B693" s="1">
        <v>20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1735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2672</v>
      </c>
    </row>
    <row r="694" spans="1:17" ht="14" customHeight="1" x14ac:dyDescent="0.3">
      <c r="A694" s="1" t="s">
        <v>1035</v>
      </c>
      <c r="B694" s="1">
        <v>39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824</v>
      </c>
      <c r="I694" s="1">
        <v>160</v>
      </c>
      <c r="J694" s="1" t="s">
        <v>1971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2673</v>
      </c>
    </row>
    <row r="695" spans="1:17" ht="14" customHeight="1" x14ac:dyDescent="0.3">
      <c r="A695" s="1" t="s">
        <v>1036</v>
      </c>
      <c r="B695" s="1">
        <v>37</v>
      </c>
      <c r="C695" s="1" t="s">
        <v>1037</v>
      </c>
      <c r="D695" s="1">
        <v>180</v>
      </c>
      <c r="E695" s="1">
        <v>81</v>
      </c>
      <c r="F695" s="1">
        <v>110</v>
      </c>
      <c r="G695" s="1">
        <v>140</v>
      </c>
      <c r="H695" s="1" t="s">
        <v>1038</v>
      </c>
      <c r="I695" s="1">
        <v>40</v>
      </c>
      <c r="J695" s="1" t="s">
        <v>1039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2674</v>
      </c>
    </row>
    <row r="696" spans="1:17" ht="14" customHeight="1" x14ac:dyDescent="0.3">
      <c r="A696" s="1" t="s">
        <v>1040</v>
      </c>
      <c r="B696" s="1">
        <v>40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1735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2675</v>
      </c>
    </row>
    <row r="697" spans="1:17" ht="14" customHeight="1" x14ac:dyDescent="0.3">
      <c r="A697" s="1" t="s">
        <v>1041</v>
      </c>
      <c r="B697" s="1">
        <v>40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2676</v>
      </c>
    </row>
    <row r="698" spans="1:17" ht="14" customHeight="1" x14ac:dyDescent="0.3">
      <c r="A698" s="1" t="s">
        <v>1042</v>
      </c>
      <c r="B698" s="1">
        <v>38</v>
      </c>
      <c r="C698" s="1" t="s">
        <v>1043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2677</v>
      </c>
    </row>
    <row r="699" spans="1:17" ht="14" customHeight="1" x14ac:dyDescent="0.3">
      <c r="A699" s="1" t="s">
        <v>1044</v>
      </c>
      <c r="B699" s="1">
        <v>42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2678</v>
      </c>
    </row>
    <row r="700" spans="1:17" ht="14" customHeight="1" x14ac:dyDescent="0.3">
      <c r="A700" s="1" t="s">
        <v>1045</v>
      </c>
      <c r="B700" s="1">
        <v>34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1046</v>
      </c>
      <c r="I700" s="1">
        <v>100</v>
      </c>
      <c r="J700" s="1" t="s">
        <v>1047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2679</v>
      </c>
    </row>
    <row r="701" spans="1:17" ht="14" customHeight="1" x14ac:dyDescent="0.3">
      <c r="A701" s="1" t="s">
        <v>1048</v>
      </c>
      <c r="B701" s="1">
        <v>22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1049</v>
      </c>
      <c r="I701" s="1">
        <v>60</v>
      </c>
      <c r="J701" s="1" t="s">
        <v>1047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2680</v>
      </c>
    </row>
    <row r="702" spans="1:17" ht="14" customHeight="1" x14ac:dyDescent="0.3">
      <c r="A702" s="1" t="s">
        <v>1050</v>
      </c>
      <c r="B702" s="1">
        <v>25</v>
      </c>
      <c r="C702" s="1" t="s">
        <v>1051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1047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2681</v>
      </c>
    </row>
    <row r="703" spans="1:17" ht="14" customHeight="1" x14ac:dyDescent="0.3">
      <c r="A703" s="1" t="s">
        <v>1052</v>
      </c>
      <c r="B703" s="1">
        <v>25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697</v>
      </c>
      <c r="I703" s="1">
        <v>120</v>
      </c>
      <c r="J703" s="1" t="s">
        <v>1047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2682</v>
      </c>
    </row>
    <row r="704" spans="1:17" ht="14" customHeight="1" x14ac:dyDescent="0.3">
      <c r="A704" s="1" t="s">
        <v>1053</v>
      </c>
      <c r="B704" s="1">
        <v>31</v>
      </c>
      <c r="C704" s="1" t="s">
        <v>1054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1047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2683</v>
      </c>
    </row>
    <row r="705" spans="1:17" ht="14" customHeight="1" x14ac:dyDescent="0.3">
      <c r="A705" s="1" t="s">
        <v>1055</v>
      </c>
      <c r="B705" s="1">
        <v>34</v>
      </c>
      <c r="C705" s="1" t="s">
        <v>611</v>
      </c>
      <c r="D705" s="1">
        <v>176</v>
      </c>
      <c r="E705" s="1">
        <v>65</v>
      </c>
      <c r="F705" s="1">
        <v>116</v>
      </c>
      <c r="G705" s="1">
        <v>152</v>
      </c>
      <c r="H705" s="1" t="s">
        <v>1056</v>
      </c>
      <c r="I705" s="1">
        <v>200</v>
      </c>
      <c r="J705" s="1" t="s">
        <v>1047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2684</v>
      </c>
    </row>
    <row r="706" spans="1:17" ht="14" customHeight="1" x14ac:dyDescent="0.3">
      <c r="A706" s="1" t="s">
        <v>1057</v>
      </c>
      <c r="B706" s="1">
        <v>25</v>
      </c>
      <c r="C706" s="1" t="s">
        <v>1058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1047</v>
      </c>
      <c r="K706" s="1">
        <v>6</v>
      </c>
      <c r="L706" s="1">
        <f t="shared" ref="L706:L769" si="11">I706*5</f>
        <v>750</v>
      </c>
      <c r="M706" s="1" t="s">
        <v>38</v>
      </c>
      <c r="N706" s="1"/>
      <c r="O706" s="12" t="str">
        <f>IF($J706=Sheet2!$A$2, ROW(), "")</f>
        <v/>
      </c>
      <c r="Q706" s="23" t="s">
        <v>2685</v>
      </c>
    </row>
    <row r="707" spans="1:17" ht="14" customHeight="1" x14ac:dyDescent="0.3">
      <c r="A707" s="1" t="s">
        <v>1059</v>
      </c>
      <c r="B707" s="1">
        <v>29</v>
      </c>
      <c r="C707" s="1" t="s">
        <v>1027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1047</v>
      </c>
      <c r="K707" s="1">
        <v>6</v>
      </c>
      <c r="L707" s="1">
        <f t="shared" si="11"/>
        <v>800</v>
      </c>
      <c r="M707" s="1" t="s">
        <v>38</v>
      </c>
      <c r="N707" s="1"/>
      <c r="O707" s="12" t="str">
        <f>IF($J707=Sheet2!$A$2, ROW(), "")</f>
        <v/>
      </c>
      <c r="Q707" s="23" t="s">
        <v>2686</v>
      </c>
    </row>
    <row r="708" spans="1:17" ht="14" customHeight="1" x14ac:dyDescent="0.3">
      <c r="A708" s="1" t="s">
        <v>1060</v>
      </c>
      <c r="B708" s="1">
        <v>26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1047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2687</v>
      </c>
    </row>
    <row r="709" spans="1:17" ht="14" customHeight="1" x14ac:dyDescent="0.3">
      <c r="A709" s="1" t="s">
        <v>1061</v>
      </c>
      <c r="B709" s="1">
        <v>30</v>
      </c>
      <c r="C709" s="1" t="s">
        <v>897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2688</v>
      </c>
    </row>
    <row r="710" spans="1:17" ht="14" customHeight="1" x14ac:dyDescent="0.3">
      <c r="A710" s="1" t="s">
        <v>1062</v>
      </c>
      <c r="B710" s="1">
        <v>27</v>
      </c>
      <c r="C710" s="1" t="s">
        <v>1063</v>
      </c>
      <c r="D710" s="1"/>
      <c r="E710" s="1"/>
      <c r="F710" s="1">
        <v>122</v>
      </c>
      <c r="G710" s="1">
        <v>138</v>
      </c>
      <c r="H710" s="1" t="s">
        <v>1064</v>
      </c>
      <c r="I710" s="1">
        <v>150</v>
      </c>
      <c r="J710" s="1" t="s">
        <v>1047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2689</v>
      </c>
    </row>
    <row r="711" spans="1:17" ht="14" customHeight="1" x14ac:dyDescent="0.3">
      <c r="A711" s="1" t="s">
        <v>1065</v>
      </c>
      <c r="B711" s="1">
        <v>31</v>
      </c>
      <c r="C711" s="1" t="s">
        <v>1063</v>
      </c>
      <c r="D711" s="1"/>
      <c r="E711" s="1"/>
      <c r="F711" s="1">
        <v>120</v>
      </c>
      <c r="G711" s="1">
        <v>124</v>
      </c>
      <c r="H711" s="1" t="s">
        <v>1038</v>
      </c>
      <c r="I711" s="1">
        <v>150</v>
      </c>
      <c r="J711" s="1" t="s">
        <v>1047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2690</v>
      </c>
    </row>
    <row r="712" spans="1:17" ht="14" customHeight="1" x14ac:dyDescent="0.3">
      <c r="A712" s="1" t="s">
        <v>1066</v>
      </c>
      <c r="B712" s="1">
        <v>23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1047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2691</v>
      </c>
    </row>
    <row r="713" spans="1:17" ht="14" customHeight="1" x14ac:dyDescent="0.3">
      <c r="A713" s="1" t="s">
        <v>1067</v>
      </c>
      <c r="B713" s="1">
        <v>33</v>
      </c>
      <c r="C713" s="1" t="s">
        <v>1063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1047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2692</v>
      </c>
    </row>
    <row r="714" spans="1:17" ht="14" customHeight="1" x14ac:dyDescent="0.3">
      <c r="A714" s="1" t="s">
        <v>1068</v>
      </c>
      <c r="B714" s="1">
        <v>24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3413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2693</v>
      </c>
    </row>
    <row r="715" spans="1:17" ht="14" customHeight="1" x14ac:dyDescent="0.3">
      <c r="A715" s="1" t="s">
        <v>1069</v>
      </c>
      <c r="B715" s="1">
        <v>23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3413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2694</v>
      </c>
    </row>
    <row r="716" spans="1:17" ht="14" customHeight="1" x14ac:dyDescent="0.3">
      <c r="A716" s="1" t="s">
        <v>1070</v>
      </c>
      <c r="B716" s="1">
        <v>27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3413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2695</v>
      </c>
    </row>
    <row r="717" spans="1:17" ht="14" customHeight="1" x14ac:dyDescent="0.3">
      <c r="A717" s="1" t="s">
        <v>1071</v>
      </c>
      <c r="B717" s="1">
        <v>29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3413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2696</v>
      </c>
    </row>
    <row r="718" spans="1:17" ht="14" customHeight="1" x14ac:dyDescent="0.3">
      <c r="A718" s="1" t="s">
        <v>1072</v>
      </c>
      <c r="B718" s="1">
        <v>30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834</v>
      </c>
      <c r="I718" s="1">
        <v>40</v>
      </c>
      <c r="J718" s="1" t="s">
        <v>3413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2697</v>
      </c>
    </row>
    <row r="719" spans="1:17" ht="14" customHeight="1" x14ac:dyDescent="0.3">
      <c r="A719" s="1" t="s">
        <v>1073</v>
      </c>
      <c r="B719" s="1">
        <v>32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1074</v>
      </c>
      <c r="I719" s="1">
        <v>40</v>
      </c>
      <c r="J719" s="1" t="s">
        <v>3413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2698</v>
      </c>
    </row>
    <row r="720" spans="1:17" ht="14" customHeight="1" x14ac:dyDescent="0.3">
      <c r="A720" s="1" t="s">
        <v>1075</v>
      </c>
      <c r="B720" s="1">
        <v>34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1076</v>
      </c>
      <c r="I720" s="1">
        <v>40</v>
      </c>
      <c r="J720" s="1" t="s">
        <v>3244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2699</v>
      </c>
    </row>
    <row r="721" spans="1:17" ht="14" customHeight="1" x14ac:dyDescent="0.3">
      <c r="A721" s="1" t="s">
        <v>1077</v>
      </c>
      <c r="B721" s="1">
        <v>27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3413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2700</v>
      </c>
    </row>
    <row r="722" spans="1:17" ht="14" customHeight="1" x14ac:dyDescent="0.3">
      <c r="A722" s="1" t="s">
        <v>1078</v>
      </c>
      <c r="B722" s="1">
        <v>23</v>
      </c>
      <c r="C722" s="1" t="s">
        <v>287</v>
      </c>
      <c r="D722" s="1"/>
      <c r="E722" s="1"/>
      <c r="F722" s="1">
        <v>118</v>
      </c>
      <c r="G722" s="1">
        <v>125</v>
      </c>
      <c r="H722" s="1" t="s">
        <v>357</v>
      </c>
      <c r="I722" s="1">
        <v>40</v>
      </c>
      <c r="J722" s="1" t="s">
        <v>1717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2701</v>
      </c>
    </row>
    <row r="723" spans="1:17" ht="14" customHeight="1" x14ac:dyDescent="0.3">
      <c r="A723" s="1" t="s">
        <v>1079</v>
      </c>
      <c r="B723" s="1">
        <v>31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3413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2702</v>
      </c>
    </row>
    <row r="724" spans="1:17" ht="14" customHeight="1" x14ac:dyDescent="0.3">
      <c r="A724" s="1" t="s">
        <v>1080</v>
      </c>
      <c r="B724" s="1">
        <v>36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1064</v>
      </c>
      <c r="I724" s="1">
        <v>40</v>
      </c>
      <c r="J724" s="1" t="s">
        <v>3244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2703</v>
      </c>
    </row>
    <row r="725" spans="1:17" ht="14" customHeight="1" x14ac:dyDescent="0.3">
      <c r="A725" s="1" t="s">
        <v>1081</v>
      </c>
      <c r="B725" s="1">
        <v>29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1082</v>
      </c>
      <c r="I725" s="1">
        <v>40</v>
      </c>
      <c r="J725" s="1" t="s">
        <v>3413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2704</v>
      </c>
    </row>
    <row r="726" spans="1:17" ht="14" customHeight="1" x14ac:dyDescent="0.3">
      <c r="A726" s="1" t="s">
        <v>1083</v>
      </c>
      <c r="B726" s="1">
        <v>25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1084</v>
      </c>
      <c r="I726" s="1">
        <v>40</v>
      </c>
      <c r="J726" s="1" t="s">
        <v>3413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2705</v>
      </c>
    </row>
    <row r="727" spans="1:17" ht="14" customHeight="1" x14ac:dyDescent="0.3">
      <c r="A727" s="1" t="s">
        <v>1085</v>
      </c>
      <c r="B727" s="1">
        <v>25</v>
      </c>
      <c r="C727" s="1" t="s">
        <v>287</v>
      </c>
      <c r="D727" s="1"/>
      <c r="E727" s="1"/>
      <c r="F727" s="1">
        <v>112</v>
      </c>
      <c r="G727" s="1">
        <v>122</v>
      </c>
      <c r="H727" s="1" t="s">
        <v>1086</v>
      </c>
      <c r="I727" s="1">
        <v>40</v>
      </c>
      <c r="J727" s="1" t="s">
        <v>561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2706</v>
      </c>
    </row>
    <row r="728" spans="1:17" ht="14" customHeight="1" x14ac:dyDescent="0.3">
      <c r="A728" s="1" t="s">
        <v>1087</v>
      </c>
      <c r="B728" s="1">
        <v>29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1088</v>
      </c>
      <c r="I728" s="1">
        <v>40</v>
      </c>
      <c r="J728" s="1" t="s">
        <v>3413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2707</v>
      </c>
    </row>
    <row r="729" spans="1:17" ht="14" customHeight="1" x14ac:dyDescent="0.3">
      <c r="A729" s="1" t="s">
        <v>1089</v>
      </c>
      <c r="B729" s="1">
        <v>27</v>
      </c>
      <c r="C729" s="1" t="s">
        <v>897</v>
      </c>
      <c r="D729" s="1"/>
      <c r="E729" s="1"/>
      <c r="F729" s="1">
        <v>118</v>
      </c>
      <c r="G729" s="1">
        <v>120</v>
      </c>
      <c r="H729" s="1" t="s">
        <v>1090</v>
      </c>
      <c r="I729" s="1">
        <v>40</v>
      </c>
      <c r="J729" s="1" t="s">
        <v>3413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2708</v>
      </c>
    </row>
    <row r="730" spans="1:17" ht="14" customHeight="1" x14ac:dyDescent="0.3">
      <c r="A730" s="1" t="s">
        <v>1091</v>
      </c>
      <c r="B730" s="1">
        <v>33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1092</v>
      </c>
      <c r="I730" s="1">
        <v>40</v>
      </c>
      <c r="J730" s="1" t="s">
        <v>3413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2709</v>
      </c>
    </row>
    <row r="731" spans="1:17" ht="14" customHeight="1" x14ac:dyDescent="0.3">
      <c r="A731" s="1" t="s">
        <v>1093</v>
      </c>
      <c r="B731" s="1">
        <v>21</v>
      </c>
      <c r="C731" s="1" t="s">
        <v>287</v>
      </c>
      <c r="D731" s="1"/>
      <c r="E731" s="1"/>
      <c r="F731" s="1">
        <v>109</v>
      </c>
      <c r="G731" s="1">
        <v>123</v>
      </c>
      <c r="H731" s="1" t="s">
        <v>260</v>
      </c>
      <c r="I731" s="1">
        <v>40</v>
      </c>
      <c r="J731" s="1" t="s">
        <v>3413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2710</v>
      </c>
    </row>
    <row r="732" spans="1:17" ht="14" customHeight="1" x14ac:dyDescent="0.3">
      <c r="A732" s="1" t="s">
        <v>1094</v>
      </c>
      <c r="B732" s="1">
        <v>29</v>
      </c>
      <c r="C732" s="1" t="s">
        <v>1095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3413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2711</v>
      </c>
    </row>
    <row r="733" spans="1:17" ht="14" customHeight="1" x14ac:dyDescent="0.3">
      <c r="A733" s="1" t="s">
        <v>1096</v>
      </c>
      <c r="B733" s="1">
        <v>32</v>
      </c>
      <c r="C733" s="1" t="s">
        <v>624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3413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2712</v>
      </c>
    </row>
    <row r="734" spans="1:17" ht="14" customHeight="1" x14ac:dyDescent="0.3">
      <c r="A734" s="1" t="s">
        <v>1097</v>
      </c>
      <c r="B734" s="1">
        <v>30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1762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2713</v>
      </c>
    </row>
    <row r="735" spans="1:17" ht="14" customHeight="1" x14ac:dyDescent="0.3">
      <c r="A735" s="1" t="s">
        <v>1098</v>
      </c>
      <c r="B735" s="1">
        <v>24</v>
      </c>
      <c r="C735" s="1" t="s">
        <v>510</v>
      </c>
      <c r="D735" s="1">
        <v>201</v>
      </c>
      <c r="E735" s="1"/>
      <c r="F735" s="1">
        <v>131</v>
      </c>
      <c r="G735" s="1">
        <v>137</v>
      </c>
      <c r="H735" s="1" t="s">
        <v>317</v>
      </c>
      <c r="I735" s="1">
        <v>175</v>
      </c>
      <c r="J735" s="1" t="s">
        <v>3413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2714</v>
      </c>
    </row>
    <row r="736" spans="1:17" ht="14" customHeight="1" x14ac:dyDescent="0.3">
      <c r="A736" s="1" t="s">
        <v>1099</v>
      </c>
      <c r="B736" s="1">
        <v>37</v>
      </c>
      <c r="C736" s="1" t="s">
        <v>611</v>
      </c>
      <c r="D736" s="1"/>
      <c r="E736" s="1"/>
      <c r="F736" s="1">
        <v>109</v>
      </c>
      <c r="G736" s="1">
        <v>117</v>
      </c>
      <c r="H736" s="1" t="s">
        <v>1100</v>
      </c>
      <c r="I736" s="1">
        <v>120</v>
      </c>
      <c r="J736" s="1" t="s">
        <v>3413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2715</v>
      </c>
    </row>
    <row r="737" spans="1:17" ht="14" customHeight="1" x14ac:dyDescent="0.3">
      <c r="A737" s="1" t="s">
        <v>1101</v>
      </c>
      <c r="B737" s="1">
        <v>25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1102</v>
      </c>
      <c r="I737" s="1">
        <v>150</v>
      </c>
      <c r="J737" s="1" t="s">
        <v>3413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2716</v>
      </c>
    </row>
    <row r="738" spans="1:17" ht="14" customHeight="1" x14ac:dyDescent="0.3">
      <c r="A738" s="1" t="s">
        <v>1103</v>
      </c>
      <c r="B738" s="1">
        <v>23</v>
      </c>
      <c r="C738" s="1" t="s">
        <v>708</v>
      </c>
      <c r="D738" s="1"/>
      <c r="E738" s="1"/>
      <c r="F738" s="1">
        <v>120</v>
      </c>
      <c r="G738" s="1">
        <v>136</v>
      </c>
      <c r="H738" s="1" t="s">
        <v>972</v>
      </c>
      <c r="I738" s="1">
        <v>170</v>
      </c>
      <c r="J738" s="1" t="s">
        <v>1104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2717</v>
      </c>
    </row>
    <row r="739" spans="1:17" ht="14" customHeight="1" x14ac:dyDescent="0.3">
      <c r="A739" s="1" t="s">
        <v>1105</v>
      </c>
      <c r="B739" s="1">
        <v>24</v>
      </c>
      <c r="C739" s="1" t="s">
        <v>611</v>
      </c>
      <c r="D739" s="1"/>
      <c r="E739" s="1"/>
      <c r="F739" s="1">
        <v>120</v>
      </c>
      <c r="G739" s="1">
        <v>140</v>
      </c>
      <c r="H739" s="1" t="s">
        <v>1106</v>
      </c>
      <c r="I739" s="1">
        <v>160</v>
      </c>
      <c r="J739" s="1" t="s">
        <v>1104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2718</v>
      </c>
    </row>
    <row r="740" spans="1:17" ht="14" customHeight="1" x14ac:dyDescent="0.3">
      <c r="A740" s="1" t="s">
        <v>1107</v>
      </c>
      <c r="B740" s="1">
        <v>25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1104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2719</v>
      </c>
    </row>
    <row r="741" spans="1:17" ht="14" customHeight="1" x14ac:dyDescent="0.3">
      <c r="A741" s="1" t="s">
        <v>1108</v>
      </c>
      <c r="B741" s="1">
        <v>28</v>
      </c>
      <c r="C741" s="1" t="s">
        <v>644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1104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2720</v>
      </c>
    </row>
    <row r="742" spans="1:17" ht="14" customHeight="1" x14ac:dyDescent="0.3">
      <c r="A742" s="1" t="s">
        <v>1109</v>
      </c>
      <c r="B742" s="1">
        <v>34</v>
      </c>
      <c r="C742" s="1" t="s">
        <v>1110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1104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2721</v>
      </c>
    </row>
    <row r="743" spans="1:17" ht="14" customHeight="1" x14ac:dyDescent="0.3">
      <c r="A743" s="1" t="s">
        <v>1111</v>
      </c>
      <c r="B743" s="1">
        <v>31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1112</v>
      </c>
      <c r="I743" s="1">
        <v>60</v>
      </c>
      <c r="J743" s="1" t="s">
        <v>1104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2722</v>
      </c>
    </row>
    <row r="744" spans="1:17" ht="14" customHeight="1" x14ac:dyDescent="0.3">
      <c r="A744" s="1" t="s">
        <v>1113</v>
      </c>
      <c r="B744" s="1">
        <v>29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1064</v>
      </c>
      <c r="I744" s="1">
        <v>40</v>
      </c>
      <c r="J744" s="1" t="s">
        <v>1104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2723</v>
      </c>
    </row>
    <row r="745" spans="1:17" ht="14" customHeight="1" x14ac:dyDescent="0.3">
      <c r="A745" s="1" t="s">
        <v>1114</v>
      </c>
      <c r="B745" s="1">
        <v>32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1064</v>
      </c>
      <c r="I745" s="1">
        <v>60</v>
      </c>
      <c r="J745" s="1" t="s">
        <v>1104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2724</v>
      </c>
    </row>
    <row r="746" spans="1:17" ht="14" customHeight="1" x14ac:dyDescent="0.3">
      <c r="A746" s="1" t="s">
        <v>1115</v>
      </c>
      <c r="B746" s="1">
        <v>29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1104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2725</v>
      </c>
    </row>
    <row r="747" spans="1:17" ht="14" customHeight="1" x14ac:dyDescent="0.3">
      <c r="A747" s="1" t="s">
        <v>1116</v>
      </c>
      <c r="B747" s="1">
        <v>31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1117</v>
      </c>
      <c r="I747" s="1">
        <v>24</v>
      </c>
      <c r="J747" s="1" t="s">
        <v>1104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2726</v>
      </c>
    </row>
    <row r="748" spans="1:17" ht="14" customHeight="1" x14ac:dyDescent="0.3">
      <c r="A748" s="1" t="s">
        <v>1118</v>
      </c>
      <c r="B748" s="1">
        <v>19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1104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2727</v>
      </c>
    </row>
    <row r="749" spans="1:17" ht="14" customHeight="1" x14ac:dyDescent="0.3">
      <c r="A749" s="1" t="s">
        <v>1119</v>
      </c>
      <c r="B749" s="1">
        <v>20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1104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2728</v>
      </c>
    </row>
    <row r="750" spans="1:17" ht="14" customHeight="1" x14ac:dyDescent="0.3">
      <c r="A750" s="1" t="s">
        <v>1120</v>
      </c>
      <c r="B750" s="1">
        <v>28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834</v>
      </c>
      <c r="I750" s="1">
        <v>24</v>
      </c>
      <c r="J750" s="1" t="s">
        <v>1104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2729</v>
      </c>
    </row>
    <row r="751" spans="1:17" ht="14" customHeight="1" x14ac:dyDescent="0.3">
      <c r="A751" s="1" t="s">
        <v>1121</v>
      </c>
      <c r="B751" s="1">
        <v>30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3413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2730</v>
      </c>
    </row>
    <row r="752" spans="1:17" ht="14" customHeight="1" x14ac:dyDescent="0.3">
      <c r="A752" s="1" t="s">
        <v>1122</v>
      </c>
      <c r="B752" s="1">
        <v>26</v>
      </c>
      <c r="C752" s="1" t="s">
        <v>287</v>
      </c>
      <c r="D752" s="1"/>
      <c r="E752" s="1"/>
      <c r="F752" s="1">
        <v>118</v>
      </c>
      <c r="G752" s="1">
        <v>118</v>
      </c>
      <c r="H752" s="1" t="s">
        <v>357</v>
      </c>
      <c r="I752" s="1">
        <v>38</v>
      </c>
      <c r="J752" s="1" t="s">
        <v>3413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2731</v>
      </c>
    </row>
    <row r="753" spans="1:17" ht="14" customHeight="1" x14ac:dyDescent="0.3">
      <c r="A753" s="1" t="s">
        <v>1123</v>
      </c>
      <c r="B753" s="1">
        <v>28</v>
      </c>
      <c r="C753" s="1" t="s">
        <v>1124</v>
      </c>
      <c r="D753" s="1"/>
      <c r="E753" s="1"/>
      <c r="F753" s="1">
        <v>120</v>
      </c>
      <c r="G753" s="1">
        <v>122</v>
      </c>
      <c r="H753" s="1" t="s">
        <v>1125</v>
      </c>
      <c r="I753" s="1">
        <v>190</v>
      </c>
      <c r="J753" s="1" t="s">
        <v>1104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2732</v>
      </c>
    </row>
    <row r="754" spans="1:17" ht="14" customHeight="1" x14ac:dyDescent="0.3">
      <c r="A754" s="1" t="s">
        <v>1126</v>
      </c>
      <c r="B754" s="1">
        <v>23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1104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2733</v>
      </c>
    </row>
    <row r="755" spans="1:17" ht="14" customHeight="1" x14ac:dyDescent="0.3">
      <c r="A755" s="1" t="s">
        <v>1127</v>
      </c>
      <c r="B755" s="1">
        <v>34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1104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2734</v>
      </c>
    </row>
    <row r="756" spans="1:17" ht="14" customHeight="1" x14ac:dyDescent="0.3">
      <c r="A756" s="1" t="s">
        <v>1128</v>
      </c>
      <c r="B756" s="1">
        <v>30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1104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2735</v>
      </c>
    </row>
    <row r="757" spans="1:17" ht="14" customHeight="1" x14ac:dyDescent="0.3">
      <c r="A757" s="1" t="s">
        <v>1129</v>
      </c>
      <c r="B757" s="1">
        <v>33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1130</v>
      </c>
      <c r="I757" s="1">
        <v>24</v>
      </c>
      <c r="J757" s="1" t="s">
        <v>1104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2736</v>
      </c>
    </row>
    <row r="758" spans="1:17" ht="14" customHeight="1" x14ac:dyDescent="0.3">
      <c r="A758" s="1" t="s">
        <v>1131</v>
      </c>
      <c r="B758" s="1">
        <v>34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550</v>
      </c>
      <c r="I758" s="1">
        <v>40</v>
      </c>
      <c r="J758" s="1" t="s">
        <v>1104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2737</v>
      </c>
    </row>
    <row r="759" spans="1:17" ht="14" customHeight="1" x14ac:dyDescent="0.3">
      <c r="A759" s="1" t="s">
        <v>1132</v>
      </c>
      <c r="B759" s="1">
        <v>32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1104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2738</v>
      </c>
    </row>
    <row r="760" spans="1:17" ht="14" customHeight="1" x14ac:dyDescent="0.3">
      <c r="A760" s="1" t="s">
        <v>1133</v>
      </c>
      <c r="B760" s="1">
        <v>30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834</v>
      </c>
      <c r="I760" s="1">
        <v>30</v>
      </c>
      <c r="J760" s="1" t="s">
        <v>1104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2739</v>
      </c>
    </row>
    <row r="761" spans="1:17" ht="14" customHeight="1" x14ac:dyDescent="0.3">
      <c r="A761" s="1" t="s">
        <v>1134</v>
      </c>
      <c r="B761" s="1">
        <v>34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1104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2740</v>
      </c>
    </row>
    <row r="762" spans="1:17" ht="14" customHeight="1" x14ac:dyDescent="0.3">
      <c r="A762" s="1" t="s">
        <v>1135</v>
      </c>
      <c r="B762" s="1">
        <v>33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1104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2741</v>
      </c>
    </row>
    <row r="763" spans="1:17" ht="14" customHeight="1" x14ac:dyDescent="0.3">
      <c r="A763" s="1" t="s">
        <v>1136</v>
      </c>
      <c r="B763" s="1">
        <v>25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1104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2742</v>
      </c>
    </row>
    <row r="764" spans="1:17" ht="14" customHeight="1" x14ac:dyDescent="0.3">
      <c r="A764" s="1" t="s">
        <v>1137</v>
      </c>
      <c r="B764" s="1">
        <v>34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1104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2743</v>
      </c>
    </row>
    <row r="765" spans="1:17" ht="14" customHeight="1" x14ac:dyDescent="0.3">
      <c r="A765" s="1" t="s">
        <v>1138</v>
      </c>
      <c r="B765" s="1">
        <v>20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1104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2744</v>
      </c>
    </row>
    <row r="766" spans="1:17" ht="14" customHeight="1" x14ac:dyDescent="0.3">
      <c r="A766" s="1" t="s">
        <v>1139</v>
      </c>
      <c r="B766" s="1">
        <v>27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1104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2745</v>
      </c>
    </row>
    <row r="767" spans="1:17" ht="14" customHeight="1" x14ac:dyDescent="0.3">
      <c r="A767" s="1" t="s">
        <v>1140</v>
      </c>
      <c r="B767" s="1">
        <v>27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1141</v>
      </c>
      <c r="I767" s="1">
        <v>24</v>
      </c>
      <c r="J767" s="1" t="s">
        <v>1104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2746</v>
      </c>
    </row>
    <row r="768" spans="1:17" ht="14" customHeight="1" x14ac:dyDescent="0.3">
      <c r="A768" s="1" t="s">
        <v>1142</v>
      </c>
      <c r="B768" s="1">
        <v>22</v>
      </c>
      <c r="C768" s="1" t="s">
        <v>1063</v>
      </c>
      <c r="D768" s="1"/>
      <c r="E768" s="1"/>
      <c r="F768" s="1">
        <v>140</v>
      </c>
      <c r="G768" s="1">
        <v>150</v>
      </c>
      <c r="H768" s="1" t="s">
        <v>1143</v>
      </c>
      <c r="I768" s="1">
        <v>230</v>
      </c>
      <c r="J768" s="1" t="s">
        <v>1762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2747</v>
      </c>
    </row>
    <row r="769" spans="1:17" ht="14" customHeight="1" x14ac:dyDescent="0.3">
      <c r="A769" s="1" t="s">
        <v>1144</v>
      </c>
      <c r="B769" s="1">
        <v>25</v>
      </c>
      <c r="C769" s="1" t="s">
        <v>1145</v>
      </c>
      <c r="D769" s="1"/>
      <c r="E769" s="1"/>
      <c r="F769" s="1">
        <v>136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2748</v>
      </c>
    </row>
    <row r="770" spans="1:17" ht="14" customHeight="1" x14ac:dyDescent="0.3">
      <c r="A770" s="1" t="s">
        <v>1146</v>
      </c>
      <c r="B770" s="1">
        <v>30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ref="L770:L833" si="12">I770*5</f>
        <v>900</v>
      </c>
      <c r="M770" s="1" t="s">
        <v>38</v>
      </c>
      <c r="N770" s="1"/>
      <c r="O770" s="12" t="str">
        <f>IF($J770=Sheet2!$A$2, ROW(), "")</f>
        <v/>
      </c>
      <c r="Q770" s="23" t="s">
        <v>2749</v>
      </c>
    </row>
    <row r="771" spans="1:17" ht="14" customHeight="1" x14ac:dyDescent="0.3">
      <c r="A771" s="1" t="s">
        <v>1147</v>
      </c>
      <c r="B771" s="1">
        <v>22</v>
      </c>
      <c r="C771" s="1" t="s">
        <v>1148</v>
      </c>
      <c r="D771" s="1"/>
      <c r="E771" s="1"/>
      <c r="F771" s="1">
        <v>133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si="12"/>
        <v>900</v>
      </c>
      <c r="M771" s="1" t="s">
        <v>38</v>
      </c>
      <c r="N771" s="1"/>
      <c r="O771" s="12" t="str">
        <f>IF($J771=Sheet2!$A$2, ROW(), "")</f>
        <v/>
      </c>
      <c r="Q771" s="23" t="s">
        <v>2750</v>
      </c>
    </row>
    <row r="772" spans="1:17" ht="14" customHeight="1" x14ac:dyDescent="0.3">
      <c r="A772" s="1" t="s">
        <v>1149</v>
      </c>
      <c r="B772" s="1">
        <v>27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1659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2751</v>
      </c>
    </row>
    <row r="773" spans="1:17" ht="14" customHeight="1" x14ac:dyDescent="0.3">
      <c r="A773" s="1" t="s">
        <v>1150</v>
      </c>
      <c r="B773" s="1">
        <v>35</v>
      </c>
      <c r="C773" s="1" t="s">
        <v>1151</v>
      </c>
      <c r="D773" s="1"/>
      <c r="E773" s="1"/>
      <c r="F773" s="1">
        <v>116</v>
      </c>
      <c r="G773" s="1">
        <v>140</v>
      </c>
      <c r="H773" s="1" t="s">
        <v>1038</v>
      </c>
      <c r="I773" s="1">
        <v>200</v>
      </c>
      <c r="J773" s="1" t="s">
        <v>520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2752</v>
      </c>
    </row>
    <row r="774" spans="1:17" ht="14" customHeight="1" x14ac:dyDescent="0.3">
      <c r="A774" s="1" t="s">
        <v>1152</v>
      </c>
      <c r="B774" s="1">
        <v>30</v>
      </c>
      <c r="C774" s="1" t="s">
        <v>1153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520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2753</v>
      </c>
    </row>
    <row r="775" spans="1:17" ht="14" customHeight="1" x14ac:dyDescent="0.3">
      <c r="A775" s="1" t="s">
        <v>1154</v>
      </c>
      <c r="B775" s="1">
        <v>33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520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2754</v>
      </c>
    </row>
    <row r="776" spans="1:17" ht="14" customHeight="1" x14ac:dyDescent="0.3">
      <c r="A776" s="1" t="s">
        <v>1155</v>
      </c>
      <c r="B776" s="1">
        <v>40</v>
      </c>
      <c r="C776" s="1" t="s">
        <v>1110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1735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2755</v>
      </c>
    </row>
    <row r="777" spans="1:17" ht="14" customHeight="1" x14ac:dyDescent="0.3">
      <c r="A777" s="1" t="s">
        <v>1157</v>
      </c>
      <c r="B777" s="1">
        <v>26</v>
      </c>
      <c r="C777" s="1" t="s">
        <v>611</v>
      </c>
      <c r="D777" s="1"/>
      <c r="E777" s="1"/>
      <c r="F777" s="1">
        <v>128</v>
      </c>
      <c r="G777" s="1">
        <v>154</v>
      </c>
      <c r="H777" s="1" t="s">
        <v>260</v>
      </c>
      <c r="I777" s="1">
        <v>180</v>
      </c>
      <c r="J777" s="1" t="s">
        <v>1164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2756</v>
      </c>
    </row>
    <row r="778" spans="1:17" ht="14" customHeight="1" x14ac:dyDescent="0.3">
      <c r="A778" s="1" t="s">
        <v>1158</v>
      </c>
      <c r="B778" s="1">
        <v>32</v>
      </c>
      <c r="C778" s="1" t="s">
        <v>1159</v>
      </c>
      <c r="D778" s="1"/>
      <c r="E778" s="1"/>
      <c r="F778" s="1">
        <v>120</v>
      </c>
      <c r="G778" s="1">
        <v>126</v>
      </c>
      <c r="H778" s="1" t="s">
        <v>845</v>
      </c>
      <c r="I778" s="1">
        <v>180</v>
      </c>
      <c r="J778" s="1" t="s">
        <v>520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2757</v>
      </c>
    </row>
    <row r="779" spans="1:17" ht="14" customHeight="1" x14ac:dyDescent="0.3">
      <c r="A779" s="1" t="s">
        <v>1160</v>
      </c>
      <c r="B779" s="1">
        <v>24</v>
      </c>
      <c r="C779" s="1" t="s">
        <v>1161</v>
      </c>
      <c r="D779" s="1"/>
      <c r="E779" s="1"/>
      <c r="F779" s="1">
        <v>130</v>
      </c>
      <c r="G779" s="1">
        <v>130</v>
      </c>
      <c r="H779" s="1" t="s">
        <v>545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2758</v>
      </c>
    </row>
    <row r="780" spans="1:17" ht="14" customHeight="1" x14ac:dyDescent="0.3">
      <c r="A780" s="1" t="s">
        <v>1162</v>
      </c>
      <c r="B780" s="1">
        <v>22</v>
      </c>
      <c r="C780" s="1" t="s">
        <v>642</v>
      </c>
      <c r="D780" s="1"/>
      <c r="E780" s="1"/>
      <c r="F780" s="1">
        <v>135</v>
      </c>
      <c r="G780" s="1">
        <v>150</v>
      </c>
      <c r="H780" s="1" t="s">
        <v>317</v>
      </c>
      <c r="I780" s="1">
        <v>240</v>
      </c>
      <c r="J780" s="1" t="s">
        <v>1164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2759</v>
      </c>
    </row>
    <row r="781" spans="1:17" ht="14" customHeight="1" x14ac:dyDescent="0.3">
      <c r="A781" s="1" t="s">
        <v>1163</v>
      </c>
      <c r="B781" s="1">
        <v>25</v>
      </c>
      <c r="C781" s="1" t="s">
        <v>283</v>
      </c>
      <c r="D781" s="1"/>
      <c r="E781" s="1"/>
      <c r="F781" s="1">
        <v>120</v>
      </c>
      <c r="G781" s="1">
        <v>120</v>
      </c>
      <c r="H781" s="1" t="s">
        <v>260</v>
      </c>
      <c r="I781" s="1">
        <v>180</v>
      </c>
      <c r="J781" s="1" t="s">
        <v>3311</v>
      </c>
      <c r="K781" s="1">
        <v>5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2760</v>
      </c>
    </row>
    <row r="782" spans="1:17" ht="14" customHeight="1" x14ac:dyDescent="0.3">
      <c r="A782" s="1" t="s">
        <v>1165</v>
      </c>
      <c r="B782" s="1">
        <v>23</v>
      </c>
      <c r="C782" s="1" t="s">
        <v>283</v>
      </c>
      <c r="D782" s="1"/>
      <c r="E782" s="1"/>
      <c r="F782" s="1">
        <v>123</v>
      </c>
      <c r="G782" s="1">
        <v>136</v>
      </c>
      <c r="H782" s="1" t="s">
        <v>1</v>
      </c>
      <c r="I782" s="1">
        <v>180</v>
      </c>
      <c r="J782" s="1" t="s">
        <v>1659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2761</v>
      </c>
    </row>
    <row r="783" spans="1:17" ht="14" customHeight="1" x14ac:dyDescent="0.3">
      <c r="A783" s="1" t="s">
        <v>1166</v>
      </c>
      <c r="B783" s="1">
        <v>17</v>
      </c>
      <c r="C783" s="1" t="s">
        <v>287</v>
      </c>
      <c r="D783" s="1"/>
      <c r="E783" s="1"/>
      <c r="F783" s="1">
        <v>117</v>
      </c>
      <c r="G783" s="1">
        <v>124</v>
      </c>
      <c r="H783" s="1" t="s">
        <v>1</v>
      </c>
      <c r="I783" s="1">
        <v>24</v>
      </c>
      <c r="J783" s="1" t="s">
        <v>1782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2762</v>
      </c>
    </row>
    <row r="784" spans="1:17" ht="14" customHeight="1" x14ac:dyDescent="0.3">
      <c r="A784" s="1" t="s">
        <v>1167</v>
      </c>
      <c r="B784" s="1">
        <v>28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770</v>
      </c>
      <c r="I784" s="1">
        <v>180</v>
      </c>
      <c r="J784" s="1" t="s">
        <v>1718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2763</v>
      </c>
    </row>
    <row r="785" spans="1:17" ht="14" customHeight="1" x14ac:dyDescent="0.3">
      <c r="A785" s="1" t="s">
        <v>1168</v>
      </c>
      <c r="B785" s="1">
        <v>30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1735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2764</v>
      </c>
    </row>
    <row r="786" spans="1:17" ht="14" customHeight="1" x14ac:dyDescent="0.3">
      <c r="A786" s="1" t="s">
        <v>1169</v>
      </c>
      <c r="B786" s="1">
        <v>29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1170</v>
      </c>
      <c r="I786" s="1">
        <v>80</v>
      </c>
      <c r="J786" s="1" t="s">
        <v>520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2765</v>
      </c>
    </row>
    <row r="787" spans="1:17" ht="14" customHeight="1" x14ac:dyDescent="0.3">
      <c r="A787" s="1" t="s">
        <v>1171</v>
      </c>
      <c r="B787" s="1">
        <v>35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520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2766</v>
      </c>
    </row>
    <row r="788" spans="1:17" ht="14" customHeight="1" x14ac:dyDescent="0.3">
      <c r="A788" s="1" t="s">
        <v>1172</v>
      </c>
      <c r="B788" s="1">
        <v>21</v>
      </c>
      <c r="C788" s="1" t="s">
        <v>283</v>
      </c>
      <c r="D788" s="1"/>
      <c r="E788" s="1"/>
      <c r="F788" s="1">
        <v>113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 t="shared" si="12"/>
        <v>200</v>
      </c>
      <c r="M788" s="1" t="s">
        <v>38</v>
      </c>
      <c r="N788" s="1"/>
      <c r="O788" s="12" t="str">
        <f>IF($J788=Sheet2!$A$2, ROW(), "")</f>
        <v/>
      </c>
      <c r="Q788" s="23" t="s">
        <v>2767</v>
      </c>
    </row>
    <row r="789" spans="1:17" ht="14" customHeight="1" x14ac:dyDescent="0.3">
      <c r="A789" s="1" t="s">
        <v>1173</v>
      </c>
      <c r="B789" s="1">
        <v>26</v>
      </c>
      <c r="C789" s="1" t="s">
        <v>1174</v>
      </c>
      <c r="D789" s="1"/>
      <c r="E789" s="1"/>
      <c r="F789" s="1">
        <v>128</v>
      </c>
      <c r="G789" s="1">
        <v>128</v>
      </c>
      <c r="H789" s="1" t="s">
        <v>1117</v>
      </c>
      <c r="I789" s="1">
        <v>220</v>
      </c>
      <c r="J789" s="1" t="s">
        <v>1717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2768</v>
      </c>
    </row>
    <row r="790" spans="1:17" ht="14" customHeight="1" x14ac:dyDescent="0.3">
      <c r="A790" s="1" t="s">
        <v>1175</v>
      </c>
      <c r="B790" s="1">
        <v>19</v>
      </c>
      <c r="C790" s="1" t="s">
        <v>708</v>
      </c>
      <c r="D790" s="1"/>
      <c r="E790" s="1"/>
      <c r="F790" s="1">
        <v>120</v>
      </c>
      <c r="G790" s="1">
        <v>160</v>
      </c>
      <c r="H790" s="1" t="s">
        <v>1176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2769</v>
      </c>
    </row>
    <row r="791" spans="1:17" ht="14" customHeight="1" x14ac:dyDescent="0.3">
      <c r="A791" s="1" t="s">
        <v>1177</v>
      </c>
      <c r="B791" s="1">
        <v>23</v>
      </c>
      <c r="C791" s="1" t="s">
        <v>1178</v>
      </c>
      <c r="D791" s="1"/>
      <c r="E791" s="1"/>
      <c r="F791" s="1">
        <v>126</v>
      </c>
      <c r="G791" s="1">
        <v>138</v>
      </c>
      <c r="H791" s="1" t="s">
        <v>1179</v>
      </c>
      <c r="I791" s="1">
        <v>200</v>
      </c>
      <c r="J791" s="1" t="s">
        <v>1865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2770</v>
      </c>
    </row>
    <row r="792" spans="1:17" ht="14" customHeight="1" x14ac:dyDescent="0.3">
      <c r="A792" s="1" t="s">
        <v>1180</v>
      </c>
      <c r="B792" s="1">
        <v>19</v>
      </c>
      <c r="C792" s="1" t="s">
        <v>0</v>
      </c>
      <c r="D792" s="1"/>
      <c r="E792" s="1"/>
      <c r="F792" s="1">
        <v>120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2771</v>
      </c>
    </row>
    <row r="793" spans="1:17" ht="14" customHeight="1" x14ac:dyDescent="0.3">
      <c r="A793" s="1" t="s">
        <v>1181</v>
      </c>
      <c r="B793" s="1">
        <v>19</v>
      </c>
      <c r="C793" s="1" t="s">
        <v>0</v>
      </c>
      <c r="D793" s="1"/>
      <c r="E793" s="1"/>
      <c r="F793" s="1">
        <v>123</v>
      </c>
      <c r="G793" s="1">
        <v>140</v>
      </c>
      <c r="H793" s="1" t="s">
        <v>545</v>
      </c>
      <c r="I793" s="1">
        <v>69</v>
      </c>
      <c r="J793" s="1" t="s">
        <v>1833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2772</v>
      </c>
    </row>
    <row r="794" spans="1:17" ht="14" customHeight="1" x14ac:dyDescent="0.3">
      <c r="A794" s="1" t="s">
        <v>1182</v>
      </c>
      <c r="B794" s="1">
        <v>22</v>
      </c>
      <c r="C794" s="1" t="s">
        <v>0</v>
      </c>
      <c r="D794" s="1"/>
      <c r="E794" s="1"/>
      <c r="F794" s="1">
        <v>131</v>
      </c>
      <c r="G794" s="1">
        <v>131</v>
      </c>
      <c r="H794" s="1" t="s">
        <v>1183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2773</v>
      </c>
    </row>
    <row r="795" spans="1:17" ht="14" customHeight="1" x14ac:dyDescent="0.3">
      <c r="A795" s="1" t="s">
        <v>1184</v>
      </c>
      <c r="B795" s="1">
        <v>19</v>
      </c>
      <c r="C795" s="1" t="s">
        <v>0</v>
      </c>
      <c r="D795" s="1"/>
      <c r="E795" s="1"/>
      <c r="F795" s="1">
        <v>120</v>
      </c>
      <c r="G795" s="1">
        <v>137</v>
      </c>
      <c r="H795" s="1" t="s">
        <v>1</v>
      </c>
      <c r="I795" s="1">
        <v>150</v>
      </c>
      <c r="J795" s="1" t="s">
        <v>1891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2774</v>
      </c>
    </row>
    <row r="796" spans="1:17" ht="14" customHeight="1" x14ac:dyDescent="0.3">
      <c r="A796" s="1" t="s">
        <v>1185</v>
      </c>
      <c r="B796" s="1">
        <v>21</v>
      </c>
      <c r="C796" s="1" t="s">
        <v>1186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2775</v>
      </c>
    </row>
    <row r="797" spans="1:17" ht="14" customHeight="1" x14ac:dyDescent="0.3">
      <c r="A797" s="1" t="s">
        <v>1187</v>
      </c>
      <c r="B797" s="1">
        <v>20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1188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2776</v>
      </c>
    </row>
    <row r="798" spans="1:17" ht="14" customHeight="1" x14ac:dyDescent="0.3">
      <c r="A798" s="1" t="s">
        <v>1189</v>
      </c>
      <c r="B798" s="1">
        <v>19</v>
      </c>
      <c r="C798" s="1" t="s">
        <v>0</v>
      </c>
      <c r="D798" s="1"/>
      <c r="E798" s="1"/>
      <c r="F798" s="1">
        <v>125</v>
      </c>
      <c r="G798" s="1">
        <v>162</v>
      </c>
      <c r="H798" s="1" t="s">
        <v>1</v>
      </c>
      <c r="I798" s="1">
        <v>24</v>
      </c>
      <c r="J798" s="1" t="s">
        <v>1718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2777</v>
      </c>
    </row>
    <row r="799" spans="1:17" ht="14" customHeight="1" x14ac:dyDescent="0.3">
      <c r="A799" s="1" t="s">
        <v>1190</v>
      </c>
      <c r="B799" s="1">
        <v>21</v>
      </c>
      <c r="C799" s="1" t="s">
        <v>1191</v>
      </c>
      <c r="D799" s="1"/>
      <c r="E799" s="1"/>
      <c r="F799" s="1">
        <v>100</v>
      </c>
      <c r="G799" s="1">
        <v>142</v>
      </c>
      <c r="H799" s="1" t="s">
        <v>15</v>
      </c>
      <c r="I799" s="1">
        <v>24</v>
      </c>
      <c r="J799" s="1" t="s">
        <v>609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2778</v>
      </c>
    </row>
    <row r="800" spans="1:17" ht="14" customHeight="1" x14ac:dyDescent="0.3">
      <c r="A800" s="1" t="s">
        <v>1192</v>
      </c>
      <c r="B800" s="1">
        <v>24</v>
      </c>
      <c r="C800" s="1" t="s">
        <v>1193</v>
      </c>
      <c r="D800" s="1"/>
      <c r="E800" s="1"/>
      <c r="F800" s="1">
        <v>132</v>
      </c>
      <c r="G800" s="1">
        <v>150</v>
      </c>
      <c r="H800" s="1" t="s">
        <v>357</v>
      </c>
      <c r="I800" s="1">
        <v>200</v>
      </c>
      <c r="J800" s="1" t="s">
        <v>1717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2779</v>
      </c>
    </row>
    <row r="801" spans="1:17" ht="14" customHeight="1" x14ac:dyDescent="0.3">
      <c r="A801" s="1" t="s">
        <v>1194</v>
      </c>
      <c r="B801" s="1">
        <v>22</v>
      </c>
      <c r="C801" s="1" t="s">
        <v>312</v>
      </c>
      <c r="D801" s="1"/>
      <c r="E801" s="1"/>
      <c r="F801" s="1">
        <v>128</v>
      </c>
      <c r="G801" s="1">
        <v>150</v>
      </c>
      <c r="H801" s="1" t="s">
        <v>895</v>
      </c>
      <c r="I801" s="1">
        <v>160</v>
      </c>
      <c r="J801" s="1" t="s">
        <v>1865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2780</v>
      </c>
    </row>
    <row r="802" spans="1:17" ht="14" customHeight="1" x14ac:dyDescent="0.3">
      <c r="A802" s="1" t="s">
        <v>1195</v>
      </c>
      <c r="B802" s="1">
        <v>38</v>
      </c>
      <c r="C802" s="1" t="s">
        <v>1196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3244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2781</v>
      </c>
    </row>
    <row r="803" spans="1:17" ht="14" customHeight="1" x14ac:dyDescent="0.3">
      <c r="A803" s="1" t="s">
        <v>1197</v>
      </c>
      <c r="B803" s="1">
        <v>35</v>
      </c>
      <c r="C803" s="1" t="s">
        <v>1198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2782</v>
      </c>
    </row>
    <row r="804" spans="1:17" ht="14" customHeight="1" x14ac:dyDescent="0.3">
      <c r="A804" s="1" t="s">
        <v>1199</v>
      </c>
      <c r="B804" s="1">
        <v>32</v>
      </c>
      <c r="C804" s="1" t="s">
        <v>1200</v>
      </c>
      <c r="D804" s="1"/>
      <c r="E804" s="1"/>
      <c r="F804" s="1">
        <v>120</v>
      </c>
      <c r="G804" s="1">
        <v>130</v>
      </c>
      <c r="H804" s="1" t="s">
        <v>1201</v>
      </c>
      <c r="I804" s="1">
        <v>120</v>
      </c>
      <c r="J804" s="1" t="s">
        <v>1721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2783</v>
      </c>
    </row>
    <row r="805" spans="1:17" ht="14" customHeight="1" x14ac:dyDescent="0.3">
      <c r="A805" s="1" t="s">
        <v>1202</v>
      </c>
      <c r="B805" s="1">
        <v>32</v>
      </c>
      <c r="C805" s="1" t="s">
        <v>1203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520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2784</v>
      </c>
    </row>
    <row r="806" spans="1:17" ht="14" customHeight="1" x14ac:dyDescent="0.3">
      <c r="A806" s="1" t="s">
        <v>1204</v>
      </c>
      <c r="B806" s="1">
        <v>39</v>
      </c>
      <c r="C806" s="1" t="s">
        <v>1205</v>
      </c>
      <c r="D806" s="1"/>
      <c r="E806" s="1"/>
      <c r="F806" s="1">
        <v>112</v>
      </c>
      <c r="G806" s="1">
        <v>158</v>
      </c>
      <c r="H806" s="1" t="s">
        <v>834</v>
      </c>
      <c r="I806" s="1">
        <v>25</v>
      </c>
      <c r="J806" s="1" t="s">
        <v>3244</v>
      </c>
      <c r="K806" s="1">
        <v>5</v>
      </c>
      <c r="L806" s="1">
        <f t="shared" si="12"/>
        <v>125</v>
      </c>
      <c r="M806" s="1" t="s">
        <v>38</v>
      </c>
      <c r="N806" s="1"/>
      <c r="O806" s="12" t="str">
        <f>IF($J806=Sheet2!$A$2, ROW(), "")</f>
        <v/>
      </c>
      <c r="Q806" s="23" t="s">
        <v>2785</v>
      </c>
    </row>
    <row r="807" spans="1:17" ht="14" customHeight="1" x14ac:dyDescent="0.3">
      <c r="A807" s="1" t="s">
        <v>1206</v>
      </c>
      <c r="B807" s="1">
        <v>30</v>
      </c>
      <c r="C807" s="1" t="s">
        <v>1207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2786</v>
      </c>
    </row>
    <row r="808" spans="1:17" ht="14" customHeight="1" x14ac:dyDescent="0.3">
      <c r="A808" s="1" t="s">
        <v>1208</v>
      </c>
      <c r="B808" s="1">
        <v>20</v>
      </c>
      <c r="C808" s="1" t="s">
        <v>1203</v>
      </c>
      <c r="D808" s="1"/>
      <c r="E808" s="1"/>
      <c r="F808" s="1">
        <v>118</v>
      </c>
      <c r="G808" s="1">
        <v>150</v>
      </c>
      <c r="H808" s="1" t="s">
        <v>15</v>
      </c>
      <c r="I808" s="1">
        <v>85</v>
      </c>
      <c r="J808" s="1" t="s">
        <v>1854</v>
      </c>
      <c r="K808" s="1">
        <v>6</v>
      </c>
      <c r="L808" s="1">
        <f t="shared" si="12"/>
        <v>425</v>
      </c>
      <c r="M808" s="1" t="s">
        <v>38</v>
      </c>
      <c r="N808" s="1"/>
      <c r="O808" s="12" t="str">
        <f>IF($J808=Sheet2!$A$2, ROW(), "")</f>
        <v/>
      </c>
      <c r="Q808" s="23" t="s">
        <v>2787</v>
      </c>
    </row>
    <row r="809" spans="1:17" ht="14" customHeight="1" x14ac:dyDescent="0.3">
      <c r="A809" s="1" t="s">
        <v>1209</v>
      </c>
      <c r="B809" s="1">
        <v>21</v>
      </c>
      <c r="C809" s="1" t="s">
        <v>1210</v>
      </c>
      <c r="D809" s="1"/>
      <c r="E809" s="1"/>
      <c r="F809" s="1">
        <v>126</v>
      </c>
      <c r="G809" s="1">
        <v>140</v>
      </c>
      <c r="H809" s="1" t="s">
        <v>317</v>
      </c>
      <c r="I809" s="1">
        <v>80</v>
      </c>
      <c r="J809" s="1" t="s">
        <v>1853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2788</v>
      </c>
    </row>
    <row r="810" spans="1:17" ht="14" customHeight="1" x14ac:dyDescent="0.3">
      <c r="A810" s="1" t="s">
        <v>1211</v>
      </c>
      <c r="B810" s="1">
        <v>21</v>
      </c>
      <c r="C810" s="1" t="s">
        <v>1203</v>
      </c>
      <c r="D810" s="1"/>
      <c r="E810" s="1"/>
      <c r="F810" s="1">
        <v>126</v>
      </c>
      <c r="G810" s="1">
        <v>140</v>
      </c>
      <c r="H810" s="1" t="s">
        <v>317</v>
      </c>
      <c r="I810" s="1">
        <v>70</v>
      </c>
      <c r="J810" s="1" t="s">
        <v>1887</v>
      </c>
      <c r="K810" s="1">
        <v>5</v>
      </c>
      <c r="L810" s="1">
        <f t="shared" si="12"/>
        <v>350</v>
      </c>
      <c r="M810" s="1" t="s">
        <v>38</v>
      </c>
      <c r="N810" s="1"/>
      <c r="O810" s="12" t="str">
        <f>IF($J810=Sheet2!$A$2, ROW(), "")</f>
        <v/>
      </c>
      <c r="Q810" s="23" t="s">
        <v>2789</v>
      </c>
    </row>
    <row r="811" spans="1:17" ht="14" customHeight="1" x14ac:dyDescent="0.3">
      <c r="A811" s="1" t="s">
        <v>1212</v>
      </c>
      <c r="B811" s="1">
        <v>22</v>
      </c>
      <c r="C811" s="1" t="s">
        <v>283</v>
      </c>
      <c r="D811" s="1"/>
      <c r="E811" s="1"/>
      <c r="F811" s="1">
        <v>129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2790</v>
      </c>
    </row>
    <row r="812" spans="1:17" ht="14" customHeight="1" x14ac:dyDescent="0.3">
      <c r="A812" s="1" t="s">
        <v>1213</v>
      </c>
      <c r="B812" s="1">
        <v>28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1917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2791</v>
      </c>
    </row>
    <row r="813" spans="1:17" ht="14" customHeight="1" x14ac:dyDescent="0.3">
      <c r="A813" s="1" t="s">
        <v>1214</v>
      </c>
      <c r="B813" s="1">
        <v>23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2792</v>
      </c>
    </row>
    <row r="814" spans="1:17" ht="14" customHeight="1" x14ac:dyDescent="0.3">
      <c r="A814" s="1" t="s">
        <v>1215</v>
      </c>
      <c r="B814" s="1">
        <v>31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835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2793</v>
      </c>
    </row>
    <row r="815" spans="1:17" ht="14" customHeight="1" x14ac:dyDescent="0.3">
      <c r="A815" s="1" t="s">
        <v>1216</v>
      </c>
      <c r="B815" s="1">
        <v>26</v>
      </c>
      <c r="C815" s="1" t="s">
        <v>1161</v>
      </c>
      <c r="D815" s="1"/>
      <c r="E815" s="1"/>
      <c r="F815" s="1">
        <v>126</v>
      </c>
      <c r="G815" s="1">
        <v>126</v>
      </c>
      <c r="H815" s="1" t="s">
        <v>969</v>
      </c>
      <c r="I815" s="1">
        <v>130</v>
      </c>
      <c r="J815" s="1" t="s">
        <v>1782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2794</v>
      </c>
    </row>
    <row r="816" spans="1:17" ht="14" customHeight="1" x14ac:dyDescent="0.3">
      <c r="A816" s="1" t="s">
        <v>1217</v>
      </c>
      <c r="B816" s="1">
        <v>22</v>
      </c>
      <c r="C816" s="1" t="s">
        <v>590</v>
      </c>
      <c r="D816" s="1"/>
      <c r="E816" s="1"/>
      <c r="F816" s="1">
        <v>131</v>
      </c>
      <c r="G816" s="1">
        <v>146</v>
      </c>
      <c r="H816" s="1" t="s">
        <v>939</v>
      </c>
      <c r="I816" s="1">
        <v>150</v>
      </c>
      <c r="J816" s="1" t="s">
        <v>1717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2795</v>
      </c>
    </row>
    <row r="817" spans="1:17" ht="14" customHeight="1" x14ac:dyDescent="0.3">
      <c r="A817" s="1" t="s">
        <v>1218</v>
      </c>
      <c r="B817" s="1">
        <v>28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561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2796</v>
      </c>
    </row>
    <row r="818" spans="1:17" ht="14" customHeight="1" x14ac:dyDescent="0.3">
      <c r="A818" s="1" t="s">
        <v>1219</v>
      </c>
      <c r="B818" s="1">
        <v>27</v>
      </c>
      <c r="C818" s="1" t="s">
        <v>1220</v>
      </c>
      <c r="D818" s="1"/>
      <c r="E818" s="1"/>
      <c r="F818" s="1">
        <v>122</v>
      </c>
      <c r="G818" s="1">
        <v>126</v>
      </c>
      <c r="H818" s="1" t="s">
        <v>1076</v>
      </c>
      <c r="I818" s="1">
        <v>110</v>
      </c>
      <c r="J818" s="1" t="s">
        <v>1762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2797</v>
      </c>
    </row>
    <row r="819" spans="1:17" ht="14" customHeight="1" x14ac:dyDescent="0.3">
      <c r="A819" s="1" t="s">
        <v>1221</v>
      </c>
      <c r="B819" s="1">
        <v>23</v>
      </c>
      <c r="C819" s="1" t="s">
        <v>285</v>
      </c>
      <c r="D819" s="1"/>
      <c r="E819" s="1"/>
      <c r="F819" s="1">
        <v>144</v>
      </c>
      <c r="G819" s="1">
        <v>146</v>
      </c>
      <c r="H819" s="1" t="s">
        <v>317</v>
      </c>
      <c r="I819" s="1">
        <v>110</v>
      </c>
      <c r="J819" s="1" t="s">
        <v>1762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2798</v>
      </c>
    </row>
    <row r="820" spans="1:17" ht="14" customHeight="1" x14ac:dyDescent="0.3">
      <c r="A820" s="1" t="s">
        <v>1222</v>
      </c>
      <c r="B820" s="1">
        <v>33</v>
      </c>
      <c r="C820" s="1" t="s">
        <v>1151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2799</v>
      </c>
    </row>
    <row r="821" spans="1:17" ht="14" customHeight="1" x14ac:dyDescent="0.3">
      <c r="A821" s="1" t="s">
        <v>1223</v>
      </c>
      <c r="B821" s="1">
        <v>31</v>
      </c>
      <c r="C821" s="1" t="s">
        <v>1224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1931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2800</v>
      </c>
    </row>
    <row r="822" spans="1:17" ht="14" customHeight="1" x14ac:dyDescent="0.3">
      <c r="A822" s="1" t="s">
        <v>1225</v>
      </c>
      <c r="B822" s="1">
        <v>29</v>
      </c>
      <c r="C822" s="1" t="s">
        <v>1161</v>
      </c>
      <c r="D822" s="1"/>
      <c r="E822" s="1"/>
      <c r="F822" s="1">
        <v>120</v>
      </c>
      <c r="G822" s="1">
        <v>126</v>
      </c>
      <c r="H822" s="1" t="s">
        <v>761</v>
      </c>
      <c r="I822" s="1">
        <v>170</v>
      </c>
      <c r="J822" s="1" t="s">
        <v>1782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2801</v>
      </c>
    </row>
    <row r="823" spans="1:17" ht="14" customHeight="1" x14ac:dyDescent="0.3">
      <c r="A823" s="1" t="s">
        <v>1226</v>
      </c>
      <c r="B823" s="1">
        <v>26</v>
      </c>
      <c r="C823" s="1" t="s">
        <v>1159</v>
      </c>
      <c r="D823" s="1"/>
      <c r="E823" s="1"/>
      <c r="F823" s="1">
        <v>127</v>
      </c>
      <c r="G823" s="1">
        <v>118</v>
      </c>
      <c r="H823" s="1" t="s">
        <v>1125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2802</v>
      </c>
    </row>
    <row r="824" spans="1:17" ht="14" customHeight="1" x14ac:dyDescent="0.3">
      <c r="A824" s="1" t="s">
        <v>1227</v>
      </c>
      <c r="B824" s="1">
        <v>24</v>
      </c>
      <c r="C824" s="1" t="s">
        <v>1228</v>
      </c>
      <c r="D824" s="1"/>
      <c r="E824" s="1"/>
      <c r="F824" s="1">
        <v>110</v>
      </c>
      <c r="G824" s="1">
        <v>126</v>
      </c>
      <c r="H824" s="1" t="s">
        <v>1229</v>
      </c>
      <c r="I824" s="1">
        <v>160</v>
      </c>
      <c r="J824" s="1" t="s">
        <v>1752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2803</v>
      </c>
    </row>
    <row r="825" spans="1:17" ht="14" customHeight="1" x14ac:dyDescent="0.3">
      <c r="A825" s="1" t="s">
        <v>1230</v>
      </c>
      <c r="B825" s="1">
        <v>26</v>
      </c>
      <c r="C825" s="1" t="s">
        <v>283</v>
      </c>
      <c r="D825" s="1"/>
      <c r="E825" s="1"/>
      <c r="F825" s="1">
        <v>131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2804</v>
      </c>
    </row>
    <row r="826" spans="1:17" ht="14" customHeight="1" x14ac:dyDescent="0.3">
      <c r="A826" s="1" t="s">
        <v>1231</v>
      </c>
      <c r="B826" s="1">
        <v>21</v>
      </c>
      <c r="C826" s="1" t="s">
        <v>1232</v>
      </c>
      <c r="D826" s="1"/>
      <c r="E826" s="1"/>
      <c r="F826" s="1">
        <v>127</v>
      </c>
      <c r="G826" s="1">
        <v>130</v>
      </c>
      <c r="H826" s="1" t="s">
        <v>1102</v>
      </c>
      <c r="I826" s="1">
        <v>40</v>
      </c>
      <c r="J826" s="1" t="s">
        <v>1931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2805</v>
      </c>
    </row>
    <row r="827" spans="1:17" ht="14" customHeight="1" x14ac:dyDescent="0.3">
      <c r="A827" s="1" t="s">
        <v>1233</v>
      </c>
      <c r="B827" s="1">
        <v>21</v>
      </c>
      <c r="C827" s="1" t="s">
        <v>1063</v>
      </c>
      <c r="D827" s="1"/>
      <c r="E827" s="1"/>
      <c r="F827" s="1">
        <v>123</v>
      </c>
      <c r="G827" s="1">
        <v>140</v>
      </c>
      <c r="H827" s="1" t="s">
        <v>1234</v>
      </c>
      <c r="I827" s="1">
        <v>40</v>
      </c>
      <c r="J827" s="1" t="s">
        <v>3229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2806</v>
      </c>
    </row>
    <row r="828" spans="1:17" ht="14" customHeight="1" x14ac:dyDescent="0.3">
      <c r="A828" s="1" t="s">
        <v>1235</v>
      </c>
      <c r="B828" s="1">
        <v>27</v>
      </c>
      <c r="C828" s="1" t="s">
        <v>642</v>
      </c>
      <c r="D828" s="1"/>
      <c r="E828" s="1"/>
      <c r="F828" s="1">
        <v>130</v>
      </c>
      <c r="G828" s="1">
        <v>142</v>
      </c>
      <c r="H828" s="1" t="s">
        <v>550</v>
      </c>
      <c r="I828" s="1">
        <v>180</v>
      </c>
      <c r="J828" s="1" t="s">
        <v>1718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2807</v>
      </c>
    </row>
    <row r="829" spans="1:17" ht="14" customHeight="1" x14ac:dyDescent="0.3">
      <c r="A829" s="1" t="s">
        <v>1236</v>
      </c>
      <c r="B829" s="1">
        <v>30</v>
      </c>
      <c r="C829" s="1" t="s">
        <v>1063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1763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2808</v>
      </c>
    </row>
    <row r="830" spans="1:17" ht="14" customHeight="1" x14ac:dyDescent="0.3">
      <c r="A830" s="1" t="s">
        <v>1237</v>
      </c>
      <c r="B830" s="1">
        <v>37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545</v>
      </c>
      <c r="I830" s="1">
        <v>40</v>
      </c>
      <c r="J830" s="1" t="s">
        <v>1762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2809</v>
      </c>
    </row>
    <row r="831" spans="1:17" ht="14" customHeight="1" x14ac:dyDescent="0.3">
      <c r="A831" s="1" t="s">
        <v>1238</v>
      </c>
      <c r="B831" s="1">
        <v>34</v>
      </c>
      <c r="C831" s="1" t="s">
        <v>611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520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2810</v>
      </c>
    </row>
    <row r="832" spans="1:17" ht="14" customHeight="1" x14ac:dyDescent="0.3">
      <c r="A832" s="1" t="s">
        <v>1239</v>
      </c>
      <c r="B832" s="1">
        <v>21</v>
      </c>
      <c r="C832" s="1" t="s">
        <v>1063</v>
      </c>
      <c r="D832" s="1"/>
      <c r="E832" s="1"/>
      <c r="F832" s="1">
        <v>121</v>
      </c>
      <c r="G832" s="1">
        <v>140</v>
      </c>
      <c r="H832" s="1" t="s">
        <v>1064</v>
      </c>
      <c r="I832" s="1">
        <v>40</v>
      </c>
      <c r="J832" s="1" t="s">
        <v>1975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2811</v>
      </c>
    </row>
    <row r="833" spans="1:17" ht="14" customHeight="1" x14ac:dyDescent="0.3">
      <c r="A833" s="1" t="s">
        <v>1240</v>
      </c>
      <c r="B833" s="1">
        <v>21</v>
      </c>
      <c r="C833" s="1" t="s">
        <v>1063</v>
      </c>
      <c r="D833" s="1"/>
      <c r="E833" s="1"/>
      <c r="F833" s="1">
        <v>126</v>
      </c>
      <c r="G833" s="1">
        <v>160</v>
      </c>
      <c r="H833" s="1" t="s">
        <v>1</v>
      </c>
      <c r="I833" s="1">
        <v>200</v>
      </c>
      <c r="J833" s="1" t="s">
        <v>1887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2812</v>
      </c>
    </row>
    <row r="834" spans="1:17" ht="14" customHeight="1" x14ac:dyDescent="0.3">
      <c r="A834" s="1" t="s">
        <v>1241</v>
      </c>
      <c r="B834" s="1">
        <v>26</v>
      </c>
      <c r="C834" s="1" t="s">
        <v>1148</v>
      </c>
      <c r="D834" s="1"/>
      <c r="E834" s="1"/>
      <c r="F834" s="1">
        <v>128</v>
      </c>
      <c r="G834" s="1">
        <v>135</v>
      </c>
      <c r="H834" s="1" t="s">
        <v>317</v>
      </c>
      <c r="I834" s="1">
        <v>170</v>
      </c>
      <c r="J834" s="1" t="s">
        <v>1853</v>
      </c>
      <c r="K834" s="1">
        <v>6</v>
      </c>
      <c r="L834" s="1">
        <f t="shared" ref="L834:L897" si="13">I834*5</f>
        <v>850</v>
      </c>
      <c r="M834" s="1" t="s">
        <v>38</v>
      </c>
      <c r="N834" s="1"/>
      <c r="O834" s="12" t="str">
        <f>IF($J834=Sheet2!$A$2, ROW(), "")</f>
        <v/>
      </c>
      <c r="Q834" s="23" t="s">
        <v>2813</v>
      </c>
    </row>
    <row r="835" spans="1:17" ht="14" customHeight="1" x14ac:dyDescent="0.3">
      <c r="A835" s="1" t="s">
        <v>1242</v>
      </c>
      <c r="B835" s="1">
        <v>24</v>
      </c>
      <c r="C835" s="1" t="s">
        <v>1200</v>
      </c>
      <c r="D835" s="1"/>
      <c r="E835" s="1"/>
      <c r="F835" s="1">
        <v>128</v>
      </c>
      <c r="G835" s="1">
        <v>128</v>
      </c>
      <c r="H835" s="1" t="s">
        <v>357</v>
      </c>
      <c r="I835" s="1">
        <v>80</v>
      </c>
      <c r="J835" s="1" t="s">
        <v>1931</v>
      </c>
      <c r="K835" s="1">
        <v>5</v>
      </c>
      <c r="L835" s="1">
        <f t="shared" si="13"/>
        <v>400</v>
      </c>
      <c r="M835" s="1" t="s">
        <v>38</v>
      </c>
      <c r="N835" s="1"/>
      <c r="O835" s="12" t="str">
        <f>IF($J835=Sheet2!$A$2, ROW(), "")</f>
        <v/>
      </c>
      <c r="Q835" s="23" t="s">
        <v>2814</v>
      </c>
    </row>
    <row r="836" spans="1:17" ht="14" customHeight="1" x14ac:dyDescent="0.3">
      <c r="A836" s="1" t="s">
        <v>1243</v>
      </c>
      <c r="B836" s="1">
        <v>26</v>
      </c>
      <c r="C836" s="1" t="s">
        <v>732</v>
      </c>
      <c r="D836" s="1"/>
      <c r="E836" s="1"/>
      <c r="F836" s="1">
        <v>118</v>
      </c>
      <c r="G836" s="1">
        <v>118</v>
      </c>
      <c r="H836" s="1" t="s">
        <v>1244</v>
      </c>
      <c r="I836" s="1">
        <v>30</v>
      </c>
      <c r="J836" s="1" t="s">
        <v>1762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2815</v>
      </c>
    </row>
    <row r="837" spans="1:17" ht="14" customHeight="1" x14ac:dyDescent="0.3">
      <c r="A837" s="1" t="s">
        <v>1245</v>
      </c>
      <c r="B837" s="1">
        <v>29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1762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2816</v>
      </c>
    </row>
    <row r="838" spans="1:17" ht="14" customHeight="1" x14ac:dyDescent="0.3">
      <c r="A838" s="1" t="s">
        <v>1246</v>
      </c>
      <c r="B838" s="1">
        <v>28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1762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2817</v>
      </c>
    </row>
    <row r="839" spans="1:17" ht="14" customHeight="1" x14ac:dyDescent="0.3">
      <c r="A839" s="1" t="s">
        <v>1247</v>
      </c>
      <c r="B839" s="1">
        <v>30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1244</v>
      </c>
      <c r="I839" s="1">
        <v>65</v>
      </c>
      <c r="J839" s="1" t="s">
        <v>1762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2818</v>
      </c>
    </row>
    <row r="840" spans="1:17" ht="14" customHeight="1" x14ac:dyDescent="0.3">
      <c r="A840" s="1" t="s">
        <v>1248</v>
      </c>
      <c r="B840" s="1">
        <v>33</v>
      </c>
      <c r="C840" s="1" t="s">
        <v>1159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490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2819</v>
      </c>
    </row>
    <row r="841" spans="1:17" ht="14" customHeight="1" x14ac:dyDescent="0.3">
      <c r="A841" s="1" t="s">
        <v>1249</v>
      </c>
      <c r="B841" s="1">
        <v>20</v>
      </c>
      <c r="C841" s="1" t="s">
        <v>1110</v>
      </c>
      <c r="D841" s="1"/>
      <c r="E841" s="1"/>
      <c r="F841" s="1">
        <v>130</v>
      </c>
      <c r="G841" s="1">
        <v>150</v>
      </c>
      <c r="H841" s="1" t="s">
        <v>251</v>
      </c>
      <c r="I841" s="1">
        <v>190</v>
      </c>
      <c r="J841" s="1" t="s">
        <v>1718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2820</v>
      </c>
    </row>
    <row r="842" spans="1:17" ht="14" customHeight="1" x14ac:dyDescent="0.3">
      <c r="A842" s="1" t="s">
        <v>1250</v>
      </c>
      <c r="B842" s="1">
        <v>33</v>
      </c>
      <c r="C842" s="1" t="s">
        <v>1251</v>
      </c>
      <c r="D842" s="1"/>
      <c r="E842" s="1"/>
      <c r="F842" s="1">
        <v>110</v>
      </c>
      <c r="G842" s="1">
        <v>142</v>
      </c>
      <c r="H842" s="1" t="s">
        <v>969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2821</v>
      </c>
    </row>
    <row r="843" spans="1:17" ht="14" customHeight="1" x14ac:dyDescent="0.3">
      <c r="A843" s="1" t="s">
        <v>1252</v>
      </c>
      <c r="B843" s="1">
        <v>21</v>
      </c>
      <c r="C843" s="1" t="s">
        <v>1110</v>
      </c>
      <c r="D843" s="1"/>
      <c r="E843" s="1"/>
      <c r="F843" s="1">
        <v>144</v>
      </c>
      <c r="G843" s="1">
        <v>150</v>
      </c>
      <c r="H843" s="1" t="s">
        <v>1102</v>
      </c>
      <c r="I843" s="1">
        <v>150</v>
      </c>
      <c r="J843" s="1" t="s">
        <v>1762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2822</v>
      </c>
    </row>
    <row r="844" spans="1:17" ht="14" customHeight="1" x14ac:dyDescent="0.3">
      <c r="A844" s="1" t="s">
        <v>1253</v>
      </c>
      <c r="B844" s="1">
        <v>27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2823</v>
      </c>
    </row>
    <row r="845" spans="1:17" ht="14" customHeight="1" x14ac:dyDescent="0.3">
      <c r="A845" s="1" t="s">
        <v>1254</v>
      </c>
      <c r="B845" s="1">
        <v>33</v>
      </c>
      <c r="C845" s="1" t="s">
        <v>1161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2824</v>
      </c>
    </row>
    <row r="846" spans="1:17" ht="14" customHeight="1" x14ac:dyDescent="0.3">
      <c r="A846" s="1" t="s">
        <v>1255</v>
      </c>
      <c r="B846" s="1">
        <v>26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1106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2825</v>
      </c>
    </row>
    <row r="847" spans="1:17" ht="14" customHeight="1" x14ac:dyDescent="0.3">
      <c r="A847" s="1" t="s">
        <v>1256</v>
      </c>
      <c r="B847" s="1">
        <v>32</v>
      </c>
      <c r="C847" s="1" t="s">
        <v>1159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2826</v>
      </c>
    </row>
    <row r="848" spans="1:17" ht="14" customHeight="1" x14ac:dyDescent="0.3">
      <c r="A848" s="1" t="s">
        <v>1257</v>
      </c>
      <c r="B848" s="1">
        <v>28</v>
      </c>
      <c r="C848" s="1" t="s">
        <v>1153</v>
      </c>
      <c r="D848" s="1"/>
      <c r="E848" s="1"/>
      <c r="F848" s="1">
        <v>120</v>
      </c>
      <c r="G848" s="1">
        <v>120</v>
      </c>
      <c r="H848" s="1" t="s">
        <v>709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2827</v>
      </c>
    </row>
    <row r="849" spans="1:17" ht="14" customHeight="1" x14ac:dyDescent="0.3">
      <c r="A849" s="1" t="s">
        <v>1258</v>
      </c>
      <c r="B849" s="1">
        <v>30</v>
      </c>
      <c r="C849" s="1" t="s">
        <v>1159</v>
      </c>
      <c r="D849" s="1"/>
      <c r="E849" s="1"/>
      <c r="F849" s="1">
        <v>118</v>
      </c>
      <c r="G849" s="1">
        <v>130</v>
      </c>
      <c r="H849" s="1" t="s">
        <v>674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2828</v>
      </c>
    </row>
    <row r="850" spans="1:17" ht="14" customHeight="1" x14ac:dyDescent="0.3">
      <c r="A850" s="1" t="s">
        <v>1259</v>
      </c>
      <c r="B850" s="1">
        <v>23</v>
      </c>
      <c r="C850" s="1" t="s">
        <v>592</v>
      </c>
      <c r="D850" s="1"/>
      <c r="E850" s="1"/>
      <c r="F850" s="1">
        <v>139</v>
      </c>
      <c r="G850" s="1">
        <v>146</v>
      </c>
      <c r="H850" s="1" t="s">
        <v>307</v>
      </c>
      <c r="I850" s="1">
        <v>180</v>
      </c>
      <c r="J850" s="1" t="s">
        <v>1762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2829</v>
      </c>
    </row>
    <row r="851" spans="1:17" ht="14" customHeight="1" x14ac:dyDescent="0.3">
      <c r="A851" s="1" t="s">
        <v>1260</v>
      </c>
      <c r="B851" s="1">
        <v>34</v>
      </c>
      <c r="C851" s="1" t="s">
        <v>1159</v>
      </c>
      <c r="D851" s="1"/>
      <c r="E851" s="1"/>
      <c r="F851" s="1">
        <v>118</v>
      </c>
      <c r="G851" s="1">
        <v>130</v>
      </c>
      <c r="H851" s="1" t="s">
        <v>1261</v>
      </c>
      <c r="I851" s="1">
        <v>80</v>
      </c>
      <c r="J851" s="1" t="s">
        <v>3244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2830</v>
      </c>
    </row>
    <row r="852" spans="1:17" ht="14" customHeight="1" x14ac:dyDescent="0.3">
      <c r="A852" s="1" t="s">
        <v>1171</v>
      </c>
      <c r="B852" s="1">
        <v>34</v>
      </c>
      <c r="C852" s="1" t="s">
        <v>1159</v>
      </c>
      <c r="D852" s="1"/>
      <c r="E852" s="1"/>
      <c r="F852" s="1">
        <v>116</v>
      </c>
      <c r="G852" s="1">
        <v>124</v>
      </c>
      <c r="H852" s="1" t="s">
        <v>1262</v>
      </c>
      <c r="I852" s="1">
        <v>80</v>
      </c>
      <c r="J852" s="1" t="s">
        <v>3244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2831</v>
      </c>
    </row>
    <row r="853" spans="1:17" ht="14" customHeight="1" x14ac:dyDescent="0.3">
      <c r="A853" s="1" t="s">
        <v>1263</v>
      </c>
      <c r="B853" s="1">
        <v>28</v>
      </c>
      <c r="C853" s="1" t="s">
        <v>1178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1759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2832</v>
      </c>
    </row>
    <row r="854" spans="1:17" ht="14" customHeight="1" x14ac:dyDescent="0.3">
      <c r="A854" s="1" t="s">
        <v>1264</v>
      </c>
      <c r="B854" s="1">
        <v>23</v>
      </c>
      <c r="C854" s="1" t="s">
        <v>1110</v>
      </c>
      <c r="D854" s="1"/>
      <c r="E854" s="1"/>
      <c r="F854" s="1">
        <v>134</v>
      </c>
      <c r="G854" s="1">
        <v>150</v>
      </c>
      <c r="H854" s="1" t="s">
        <v>1102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2833</v>
      </c>
    </row>
    <row r="855" spans="1:17" ht="14" customHeight="1" x14ac:dyDescent="0.3">
      <c r="A855" s="1" t="s">
        <v>1265</v>
      </c>
      <c r="B855" s="1">
        <v>31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2834</v>
      </c>
    </row>
    <row r="856" spans="1:17" ht="14" customHeight="1" x14ac:dyDescent="0.3">
      <c r="A856" s="1" t="s">
        <v>1266</v>
      </c>
      <c r="B856" s="1">
        <v>23</v>
      </c>
      <c r="C856" s="1" t="s">
        <v>285</v>
      </c>
      <c r="D856" s="1"/>
      <c r="E856" s="1"/>
      <c r="F856" s="1">
        <v>140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2835</v>
      </c>
    </row>
    <row r="857" spans="1:17" ht="14" customHeight="1" x14ac:dyDescent="0.3">
      <c r="A857" s="1" t="s">
        <v>1267</v>
      </c>
      <c r="B857" s="1">
        <v>28</v>
      </c>
      <c r="C857" s="1" t="s">
        <v>849</v>
      </c>
      <c r="D857" s="1"/>
      <c r="E857" s="1"/>
      <c r="F857" s="1">
        <v>144</v>
      </c>
      <c r="G857" s="1">
        <v>160</v>
      </c>
      <c r="H857" s="1" t="s">
        <v>1268</v>
      </c>
      <c r="I857" s="1">
        <v>0</v>
      </c>
      <c r="J857" s="1" t="s">
        <v>1762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2836</v>
      </c>
    </row>
    <row r="858" spans="1:17" ht="14" customHeight="1" x14ac:dyDescent="0.3">
      <c r="A858" s="1" t="s">
        <v>1269</v>
      </c>
      <c r="B858" s="1">
        <v>29</v>
      </c>
      <c r="C858" s="1" t="s">
        <v>1270</v>
      </c>
      <c r="D858" s="1"/>
      <c r="E858" s="1"/>
      <c r="F858" s="1">
        <v>135</v>
      </c>
      <c r="G858" s="1">
        <v>150</v>
      </c>
      <c r="H858" s="1" t="s">
        <v>1271</v>
      </c>
      <c r="I858" s="1">
        <v>240</v>
      </c>
      <c r="J858" s="1" t="s">
        <v>1272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2837</v>
      </c>
    </row>
    <row r="859" spans="1:17" ht="14" customHeight="1" x14ac:dyDescent="0.3">
      <c r="A859" s="1" t="s">
        <v>1273</v>
      </c>
      <c r="B859" s="1">
        <v>30</v>
      </c>
      <c r="C859" s="1" t="s">
        <v>611</v>
      </c>
      <c r="D859" s="1"/>
      <c r="E859" s="1"/>
      <c r="F859" s="1">
        <v>135</v>
      </c>
      <c r="G859" s="1">
        <v>152</v>
      </c>
      <c r="H859" s="1" t="s">
        <v>969</v>
      </c>
      <c r="I859" s="1">
        <v>370</v>
      </c>
      <c r="J859" s="1" t="s">
        <v>1272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2838</v>
      </c>
    </row>
    <row r="860" spans="1:17" ht="14" customHeight="1" x14ac:dyDescent="0.3">
      <c r="A860" s="1" t="s">
        <v>1274</v>
      </c>
      <c r="B860" s="1">
        <v>37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1272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2839</v>
      </c>
    </row>
    <row r="861" spans="1:17" ht="14" customHeight="1" x14ac:dyDescent="0.3">
      <c r="A861" s="1" t="s">
        <v>1275</v>
      </c>
      <c r="B861" s="1">
        <v>36</v>
      </c>
      <c r="C861" s="1" t="s">
        <v>611</v>
      </c>
      <c r="D861" s="1"/>
      <c r="E861" s="1"/>
      <c r="F861" s="1">
        <v>134</v>
      </c>
      <c r="G861" s="1">
        <v>151</v>
      </c>
      <c r="H861" s="1" t="s">
        <v>1276</v>
      </c>
      <c r="I861" s="1">
        <v>244</v>
      </c>
      <c r="J861" s="1" t="s">
        <v>1272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2840</v>
      </c>
    </row>
    <row r="862" spans="1:17" ht="14" customHeight="1" x14ac:dyDescent="0.3">
      <c r="A862" s="1" t="s">
        <v>1277</v>
      </c>
      <c r="B862" s="1">
        <v>37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1272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2841</v>
      </c>
    </row>
    <row r="863" spans="1:17" ht="14" customHeight="1" x14ac:dyDescent="0.3">
      <c r="A863" s="1" t="s">
        <v>1278</v>
      </c>
      <c r="B863" s="1">
        <v>34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1279</v>
      </c>
      <c r="I863" s="1">
        <v>0</v>
      </c>
      <c r="J863" s="1" t="s">
        <v>1762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2842</v>
      </c>
    </row>
    <row r="864" spans="1:17" ht="14" customHeight="1" x14ac:dyDescent="0.3">
      <c r="A864" s="1" t="s">
        <v>1280</v>
      </c>
      <c r="B864" s="1">
        <v>38</v>
      </c>
      <c r="C864" s="1" t="s">
        <v>1281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1272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2843</v>
      </c>
    </row>
    <row r="865" spans="1:17" ht="14" customHeight="1" x14ac:dyDescent="0.3">
      <c r="A865" s="1" t="s">
        <v>1282</v>
      </c>
      <c r="B865" s="1">
        <v>34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1762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2844</v>
      </c>
    </row>
    <row r="866" spans="1:17" ht="14" customHeight="1" x14ac:dyDescent="0.3">
      <c r="A866" s="1" t="s">
        <v>1283</v>
      </c>
      <c r="B866" s="1">
        <v>39</v>
      </c>
      <c r="C866" s="1" t="s">
        <v>611</v>
      </c>
      <c r="D866" s="1"/>
      <c r="E866" s="1"/>
      <c r="F866" s="1">
        <v>145</v>
      </c>
      <c r="G866" s="1">
        <v>174</v>
      </c>
      <c r="H866" s="1" t="s">
        <v>1284</v>
      </c>
      <c r="I866" s="1">
        <v>0</v>
      </c>
      <c r="J866" s="1" t="s">
        <v>1762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2845</v>
      </c>
    </row>
    <row r="867" spans="1:17" ht="14" customHeight="1" x14ac:dyDescent="0.3">
      <c r="A867" s="1" t="s">
        <v>1285</v>
      </c>
      <c r="B867" s="1">
        <v>24</v>
      </c>
      <c r="C867" s="1" t="s">
        <v>624</v>
      </c>
      <c r="D867" s="1"/>
      <c r="E867" s="1"/>
      <c r="F867" s="1">
        <v>125</v>
      </c>
      <c r="G867" s="1">
        <v>132</v>
      </c>
      <c r="H867" s="1" t="s">
        <v>824</v>
      </c>
      <c r="I867" s="1">
        <v>120</v>
      </c>
      <c r="J867" s="1" t="s">
        <v>835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2846</v>
      </c>
    </row>
    <row r="868" spans="1:17" ht="14" customHeight="1" x14ac:dyDescent="0.3">
      <c r="A868" s="1" t="s">
        <v>1286</v>
      </c>
      <c r="B868" s="1">
        <v>28</v>
      </c>
      <c r="C868" s="1" t="s">
        <v>517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835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2847</v>
      </c>
    </row>
    <row r="869" spans="1:17" ht="14" customHeight="1" x14ac:dyDescent="0.3">
      <c r="A869" s="1" t="s">
        <v>1287</v>
      </c>
      <c r="B869" s="1">
        <v>36</v>
      </c>
      <c r="C869" s="1" t="s">
        <v>699</v>
      </c>
      <c r="D869" s="1"/>
      <c r="E869" s="1"/>
      <c r="F869" s="1">
        <v>118</v>
      </c>
      <c r="G869" s="1">
        <v>148</v>
      </c>
      <c r="H869" s="1" t="s">
        <v>1288</v>
      </c>
      <c r="I869" s="1">
        <v>120</v>
      </c>
      <c r="J869" s="1" t="s">
        <v>835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2848</v>
      </c>
    </row>
    <row r="870" spans="1:17" ht="14" customHeight="1" x14ac:dyDescent="0.3">
      <c r="A870" s="1" t="s">
        <v>1289</v>
      </c>
      <c r="B870" s="1">
        <v>36</v>
      </c>
      <c r="C870" s="1" t="s">
        <v>1200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835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2849</v>
      </c>
    </row>
    <row r="871" spans="1:17" ht="14" customHeight="1" x14ac:dyDescent="0.3">
      <c r="A871" s="1" t="s">
        <v>1290</v>
      </c>
      <c r="B871" s="1">
        <v>29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1923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2850</v>
      </c>
    </row>
    <row r="872" spans="1:17" ht="14" customHeight="1" x14ac:dyDescent="0.3">
      <c r="A872" s="1" t="s">
        <v>1292</v>
      </c>
      <c r="B872" s="1">
        <v>33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1949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2851</v>
      </c>
    </row>
    <row r="873" spans="1:17" ht="14" customHeight="1" x14ac:dyDescent="0.3">
      <c r="A873" s="1" t="s">
        <v>1293</v>
      </c>
      <c r="B873" s="1">
        <v>36</v>
      </c>
      <c r="C873" s="1" t="s">
        <v>708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1890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2852</v>
      </c>
    </row>
    <row r="874" spans="1:17" ht="14" customHeight="1" x14ac:dyDescent="0.3">
      <c r="A874" s="1" t="s">
        <v>1294</v>
      </c>
      <c r="B874" s="1">
        <v>30</v>
      </c>
      <c r="C874" s="1" t="s">
        <v>924</v>
      </c>
      <c r="D874" s="1"/>
      <c r="E874" s="1"/>
      <c r="F874" s="1">
        <v>120</v>
      </c>
      <c r="G874" s="1">
        <v>135</v>
      </c>
      <c r="H874" s="1" t="s">
        <v>1295</v>
      </c>
      <c r="I874" s="1">
        <v>40</v>
      </c>
      <c r="J874" s="1" t="s">
        <v>1931</v>
      </c>
      <c r="K874" s="1">
        <v>6</v>
      </c>
      <c r="L874" s="1">
        <f t="shared" si="13"/>
        <v>200</v>
      </c>
      <c r="M874" s="1" t="s">
        <v>38</v>
      </c>
      <c r="N874" s="1"/>
      <c r="O874" s="12" t="str">
        <f>IF($J874=Sheet2!$A$2, ROW(), "")</f>
        <v/>
      </c>
      <c r="Q874" s="23" t="s">
        <v>2853</v>
      </c>
    </row>
    <row r="875" spans="1:17" ht="14" customHeight="1" x14ac:dyDescent="0.3">
      <c r="A875" s="1" t="s">
        <v>1296</v>
      </c>
      <c r="B875" s="1">
        <v>33</v>
      </c>
      <c r="C875" s="1" t="s">
        <v>1063</v>
      </c>
      <c r="D875" s="1"/>
      <c r="E875" s="1"/>
      <c r="F875" s="1">
        <v>120</v>
      </c>
      <c r="G875" s="1">
        <v>126</v>
      </c>
      <c r="H875" s="1" t="s">
        <v>895</v>
      </c>
      <c r="I875" s="1">
        <v>130</v>
      </c>
      <c r="J875" s="1" t="s">
        <v>1923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2854</v>
      </c>
    </row>
    <row r="876" spans="1:17" ht="14" customHeight="1" x14ac:dyDescent="0.3">
      <c r="A876" s="1" t="s">
        <v>1297</v>
      </c>
      <c r="B876" s="1">
        <v>24</v>
      </c>
      <c r="C876" s="1" t="s">
        <v>1298</v>
      </c>
      <c r="D876" s="1"/>
      <c r="E876" s="1"/>
      <c r="F876" s="1">
        <v>122</v>
      </c>
      <c r="G876" s="1">
        <v>141</v>
      </c>
      <c r="H876" s="1" t="s">
        <v>357</v>
      </c>
      <c r="I876" s="1">
        <v>150</v>
      </c>
      <c r="J876" s="1" t="s">
        <v>1156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2855</v>
      </c>
    </row>
    <row r="877" spans="1:17" ht="14" customHeight="1" x14ac:dyDescent="0.3">
      <c r="A877" s="1" t="s">
        <v>1299</v>
      </c>
      <c r="B877" s="1">
        <v>36</v>
      </c>
      <c r="C877" s="1" t="s">
        <v>624</v>
      </c>
      <c r="D877" s="1"/>
      <c r="E877" s="1"/>
      <c r="F877" s="1">
        <v>114</v>
      </c>
      <c r="G877" s="1">
        <v>139</v>
      </c>
      <c r="H877" s="1" t="s">
        <v>944</v>
      </c>
      <c r="I877" s="1">
        <v>120</v>
      </c>
      <c r="J877" s="1" t="s">
        <v>1156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2856</v>
      </c>
    </row>
    <row r="878" spans="1:17" ht="14" customHeight="1" x14ac:dyDescent="0.3">
      <c r="A878" s="1" t="s">
        <v>1300</v>
      </c>
      <c r="B878" s="1">
        <v>26</v>
      </c>
      <c r="C878" s="1" t="s">
        <v>624</v>
      </c>
      <c r="D878" s="1"/>
      <c r="E878" s="1"/>
      <c r="F878" s="1">
        <v>125</v>
      </c>
      <c r="G878" s="1">
        <v>132</v>
      </c>
      <c r="H878" s="1" t="s">
        <v>845</v>
      </c>
      <c r="I878" s="1">
        <v>150</v>
      </c>
      <c r="J878" s="1" t="s">
        <v>1156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2857</v>
      </c>
    </row>
    <row r="879" spans="1:17" ht="14" customHeight="1" x14ac:dyDescent="0.3">
      <c r="A879" s="1" t="s">
        <v>1301</v>
      </c>
      <c r="B879" s="1">
        <v>21</v>
      </c>
      <c r="C879" s="1" t="s">
        <v>499</v>
      </c>
      <c r="D879" s="1"/>
      <c r="E879" s="1"/>
      <c r="F879" s="1">
        <v>123</v>
      </c>
      <c r="G879" s="1">
        <v>160</v>
      </c>
      <c r="H879" s="1" t="s">
        <v>1302</v>
      </c>
      <c r="I879" s="1">
        <v>140</v>
      </c>
      <c r="J879" s="1" t="s">
        <v>1156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2858</v>
      </c>
    </row>
    <row r="880" spans="1:17" ht="14" customHeight="1" x14ac:dyDescent="0.3">
      <c r="A880" s="1" t="s">
        <v>1303</v>
      </c>
      <c r="B880" s="1">
        <v>19</v>
      </c>
      <c r="C880" s="1" t="s">
        <v>0</v>
      </c>
      <c r="D880" s="1"/>
      <c r="E880" s="1"/>
      <c r="F880" s="1">
        <v>126</v>
      </c>
      <c r="G880" s="1">
        <v>132</v>
      </c>
      <c r="H880" s="1" t="s">
        <v>1304</v>
      </c>
      <c r="I880" s="1">
        <v>24</v>
      </c>
      <c r="J880" s="1" t="s">
        <v>264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2859</v>
      </c>
    </row>
    <row r="881" spans="1:17" ht="14" customHeight="1" x14ac:dyDescent="0.3">
      <c r="A881" s="1" t="s">
        <v>1305</v>
      </c>
      <c r="B881" s="1">
        <v>19</v>
      </c>
      <c r="C881" s="1" t="s">
        <v>0</v>
      </c>
      <c r="D881" s="1"/>
      <c r="E881" s="1"/>
      <c r="F881" s="1">
        <v>126</v>
      </c>
      <c r="G881" s="1">
        <v>136</v>
      </c>
      <c r="H881" s="1" t="s">
        <v>1306</v>
      </c>
      <c r="I881" s="1">
        <v>24</v>
      </c>
      <c r="J881" s="1" t="s">
        <v>1887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2860</v>
      </c>
    </row>
    <row r="882" spans="1:17" ht="14" customHeight="1" x14ac:dyDescent="0.3">
      <c r="A882" s="1" t="s">
        <v>1307</v>
      </c>
      <c r="B882" s="1">
        <v>19</v>
      </c>
      <c r="C882" s="1" t="s">
        <v>0</v>
      </c>
      <c r="D882" s="1"/>
      <c r="E882" s="1"/>
      <c r="F882" s="1">
        <v>127</v>
      </c>
      <c r="G882" s="1">
        <v>136</v>
      </c>
      <c r="H882" s="1" t="s">
        <v>260</v>
      </c>
      <c r="I882" s="1">
        <v>24</v>
      </c>
      <c r="J882" s="1" t="s">
        <v>1164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2861</v>
      </c>
    </row>
    <row r="883" spans="1:17" ht="14" customHeight="1" x14ac:dyDescent="0.3">
      <c r="A883" s="1" t="s">
        <v>1308</v>
      </c>
      <c r="B883" s="1">
        <v>19</v>
      </c>
      <c r="C883" s="1" t="s">
        <v>863</v>
      </c>
      <c r="D883" s="1"/>
      <c r="E883" s="1"/>
      <c r="F883" s="1">
        <v>125</v>
      </c>
      <c r="G883" s="1">
        <v>138</v>
      </c>
      <c r="H883" s="1" t="s">
        <v>901</v>
      </c>
      <c r="I883" s="1">
        <v>24</v>
      </c>
      <c r="J883" s="1" t="s">
        <v>1854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2862</v>
      </c>
    </row>
    <row r="884" spans="1:17" ht="14" customHeight="1" x14ac:dyDescent="0.3">
      <c r="A884" s="1" t="s">
        <v>1309</v>
      </c>
      <c r="B884" s="1">
        <v>18</v>
      </c>
      <c r="C884" s="1" t="s">
        <v>0</v>
      </c>
      <c r="D884" s="1"/>
      <c r="E884" s="1"/>
      <c r="F884" s="1">
        <v>132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2863</v>
      </c>
    </row>
    <row r="885" spans="1:17" ht="14" customHeight="1" x14ac:dyDescent="0.3">
      <c r="A885" s="1" t="s">
        <v>1310</v>
      </c>
      <c r="B885" s="1">
        <v>17</v>
      </c>
      <c r="C885" s="1" t="s">
        <v>0</v>
      </c>
      <c r="D885" s="1"/>
      <c r="E885" s="1"/>
      <c r="F885" s="1">
        <v>126</v>
      </c>
      <c r="G885" s="1">
        <v>134</v>
      </c>
      <c r="H885" s="1" t="s">
        <v>1311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2864</v>
      </c>
    </row>
    <row r="886" spans="1:17" ht="14" customHeight="1" x14ac:dyDescent="0.3">
      <c r="A886" s="1" t="s">
        <v>1312</v>
      </c>
      <c r="B886" s="1">
        <v>18</v>
      </c>
      <c r="C886" s="1" t="s">
        <v>0</v>
      </c>
      <c r="D886" s="1"/>
      <c r="E886" s="1"/>
      <c r="F886" s="1">
        <v>129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9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2865</v>
      </c>
    </row>
    <row r="887" spans="1:17" ht="14" customHeight="1" x14ac:dyDescent="0.3">
      <c r="A887" s="1" t="s">
        <v>1313</v>
      </c>
      <c r="B887" s="1">
        <v>19</v>
      </c>
      <c r="C887" s="1" t="s">
        <v>1314</v>
      </c>
      <c r="D887" s="1"/>
      <c r="E887" s="1"/>
      <c r="F887" s="1">
        <v>127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2866</v>
      </c>
    </row>
    <row r="888" spans="1:17" ht="14" customHeight="1" x14ac:dyDescent="0.3">
      <c r="A888" s="1" t="s">
        <v>1315</v>
      </c>
      <c r="B888" s="1">
        <v>18</v>
      </c>
      <c r="C888" s="1" t="s">
        <v>0</v>
      </c>
      <c r="D888" s="1"/>
      <c r="E888" s="1"/>
      <c r="F888" s="1">
        <v>127</v>
      </c>
      <c r="G888" s="1">
        <v>137</v>
      </c>
      <c r="H888" s="1" t="s">
        <v>864</v>
      </c>
      <c r="I888" s="1">
        <v>24</v>
      </c>
      <c r="J888" s="1" t="s">
        <v>1847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2867</v>
      </c>
    </row>
    <row r="889" spans="1:17" ht="14" customHeight="1" x14ac:dyDescent="0.3">
      <c r="A889" s="1" t="s">
        <v>1316</v>
      </c>
      <c r="B889" s="1">
        <v>18</v>
      </c>
      <c r="C889" s="1" t="s">
        <v>0</v>
      </c>
      <c r="D889" s="1"/>
      <c r="E889" s="1"/>
      <c r="F889" s="1">
        <v>126</v>
      </c>
      <c r="G889" s="1">
        <v>138</v>
      </c>
      <c r="H889" s="1" t="s">
        <v>1317</v>
      </c>
      <c r="I889" s="1">
        <v>24</v>
      </c>
      <c r="J889" s="1" t="s">
        <v>1721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2868</v>
      </c>
    </row>
    <row r="890" spans="1:17" ht="14" customHeight="1" x14ac:dyDescent="0.3">
      <c r="A890" s="1" t="s">
        <v>1318</v>
      </c>
      <c r="B890" s="1">
        <v>19</v>
      </c>
      <c r="C890" s="1" t="s">
        <v>0</v>
      </c>
      <c r="D890" s="1"/>
      <c r="E890" s="1"/>
      <c r="F890" s="1">
        <v>126</v>
      </c>
      <c r="G890" s="1">
        <v>139</v>
      </c>
      <c r="H890" s="1" t="s">
        <v>317</v>
      </c>
      <c r="I890" s="1">
        <v>24</v>
      </c>
      <c r="J890" s="1" t="s">
        <v>1718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2869</v>
      </c>
    </row>
    <row r="891" spans="1:17" ht="14" customHeight="1" x14ac:dyDescent="0.3">
      <c r="A891" s="1" t="s">
        <v>1319</v>
      </c>
      <c r="B891" s="1">
        <v>20</v>
      </c>
      <c r="C891" s="1" t="s">
        <v>1320</v>
      </c>
      <c r="D891" s="1"/>
      <c r="E891" s="1"/>
      <c r="F891" s="1">
        <v>127</v>
      </c>
      <c r="G891" s="1">
        <v>136</v>
      </c>
      <c r="H891" s="1" t="s">
        <v>834</v>
      </c>
      <c r="I891" s="1">
        <v>24</v>
      </c>
      <c r="J891" s="1" t="s">
        <v>1887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2870</v>
      </c>
    </row>
    <row r="892" spans="1:17" ht="14" customHeight="1" x14ac:dyDescent="0.3">
      <c r="A892" s="1" t="s">
        <v>1321</v>
      </c>
      <c r="B892" s="1">
        <v>15</v>
      </c>
      <c r="C892" s="1" t="s">
        <v>1322</v>
      </c>
      <c r="D892" s="1"/>
      <c r="E892" s="1"/>
      <c r="F892" s="1">
        <v>124</v>
      </c>
      <c r="G892" s="1">
        <v>142</v>
      </c>
      <c r="H892" s="1" t="s">
        <v>1323</v>
      </c>
      <c r="I892" s="1">
        <v>24</v>
      </c>
      <c r="J892" s="1" t="s">
        <v>1766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2871</v>
      </c>
    </row>
    <row r="893" spans="1:17" ht="14" customHeight="1" x14ac:dyDescent="0.3">
      <c r="A893" s="1" t="s">
        <v>1324</v>
      </c>
      <c r="B893" s="1">
        <v>17</v>
      </c>
      <c r="C893" s="1" t="s">
        <v>1325</v>
      </c>
      <c r="D893" s="1"/>
      <c r="E893" s="1"/>
      <c r="F893" s="1">
        <v>124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2872</v>
      </c>
    </row>
    <row r="894" spans="1:17" ht="14" customHeight="1" x14ac:dyDescent="0.3">
      <c r="A894" s="1" t="s">
        <v>1326</v>
      </c>
      <c r="B894" s="1">
        <v>19</v>
      </c>
      <c r="C894" s="1" t="s">
        <v>745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1717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2873</v>
      </c>
    </row>
    <row r="895" spans="1:17" ht="14" customHeight="1" x14ac:dyDescent="0.3">
      <c r="A895" s="1" t="s">
        <v>1327</v>
      </c>
      <c r="B895" s="1">
        <v>24</v>
      </c>
      <c r="C895" s="1" t="s">
        <v>592</v>
      </c>
      <c r="D895" s="1"/>
      <c r="E895" s="1"/>
      <c r="F895" s="1">
        <v>134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2874</v>
      </c>
    </row>
    <row r="896" spans="1:17" ht="14" customHeight="1" x14ac:dyDescent="0.3">
      <c r="A896" s="1" t="s">
        <v>1328</v>
      </c>
      <c r="B896" s="1">
        <v>22</v>
      </c>
      <c r="C896" s="1" t="s">
        <v>1011</v>
      </c>
      <c r="D896" s="1"/>
      <c r="E896" s="1"/>
      <c r="F896" s="1">
        <v>132</v>
      </c>
      <c r="G896" s="1">
        <v>146</v>
      </c>
      <c r="H896" s="1" t="s">
        <v>834</v>
      </c>
      <c r="I896" s="1">
        <v>140</v>
      </c>
      <c r="J896" s="1" t="s">
        <v>1717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2875</v>
      </c>
    </row>
    <row r="897" spans="1:17" ht="14" customHeight="1" x14ac:dyDescent="0.3">
      <c r="A897" s="1" t="s">
        <v>1329</v>
      </c>
      <c r="B897" s="1">
        <v>24</v>
      </c>
      <c r="C897" s="1" t="s">
        <v>1011</v>
      </c>
      <c r="D897" s="1"/>
      <c r="E897" s="1"/>
      <c r="F897" s="1">
        <v>120</v>
      </c>
      <c r="G897" s="1">
        <v>150</v>
      </c>
      <c r="H897" s="1" t="s">
        <v>697</v>
      </c>
      <c r="I897" s="1">
        <v>190</v>
      </c>
      <c r="J897" s="1" t="s">
        <v>233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2876</v>
      </c>
    </row>
    <row r="898" spans="1:17" ht="14" customHeight="1" x14ac:dyDescent="0.3">
      <c r="A898" s="1" t="s">
        <v>1330</v>
      </c>
      <c r="B898" s="1">
        <v>20</v>
      </c>
      <c r="C898" s="1" t="s">
        <v>1011</v>
      </c>
      <c r="D898" s="1"/>
      <c r="E898" s="1"/>
      <c r="F898" s="1">
        <v>118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ref="L898:L961" si="14">I898*5</f>
        <v>800</v>
      </c>
      <c r="M898" s="1" t="s">
        <v>38</v>
      </c>
      <c r="N898" s="1"/>
      <c r="O898" s="12" t="str">
        <f>IF($J898=Sheet2!$A$2, ROW(), "")</f>
        <v/>
      </c>
      <c r="Q898" s="23" t="s">
        <v>2877</v>
      </c>
    </row>
    <row r="899" spans="1:17" ht="14" customHeight="1" x14ac:dyDescent="0.3">
      <c r="A899" s="1" t="s">
        <v>1331</v>
      </c>
      <c r="B899" s="1">
        <v>20</v>
      </c>
      <c r="C899" s="1" t="s">
        <v>1063</v>
      </c>
      <c r="D899" s="1"/>
      <c r="E899" s="1"/>
      <c r="F899" s="1">
        <v>112</v>
      </c>
      <c r="G899" s="1">
        <v>150</v>
      </c>
      <c r="H899" s="1" t="s">
        <v>1295</v>
      </c>
      <c r="I899" s="1">
        <v>170</v>
      </c>
      <c r="J899" s="1" t="s">
        <v>233</v>
      </c>
      <c r="K899" s="1">
        <v>5</v>
      </c>
      <c r="L899" s="1">
        <f t="shared" si="14"/>
        <v>850</v>
      </c>
      <c r="M899" s="1" t="s">
        <v>38</v>
      </c>
      <c r="N899" s="1"/>
      <c r="O899" s="12" t="str">
        <f>IF($J899=Sheet2!$A$2, ROW(), "")</f>
        <v/>
      </c>
      <c r="Q899" s="23" t="s">
        <v>2878</v>
      </c>
    </row>
    <row r="900" spans="1:17" ht="14" customHeight="1" x14ac:dyDescent="0.3">
      <c r="A900" s="1" t="s">
        <v>1332</v>
      </c>
      <c r="B900" s="1">
        <v>34</v>
      </c>
      <c r="C900" s="1" t="s">
        <v>1011</v>
      </c>
      <c r="D900" s="1"/>
      <c r="E900" s="1"/>
      <c r="F900" s="1">
        <v>122</v>
      </c>
      <c r="G900" s="1">
        <v>130</v>
      </c>
      <c r="H900" s="1" t="s">
        <v>969</v>
      </c>
      <c r="I900" s="1">
        <v>110</v>
      </c>
      <c r="J900" s="1" t="s">
        <v>1659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2879</v>
      </c>
    </row>
    <row r="901" spans="1:17" ht="14" customHeight="1" x14ac:dyDescent="0.3">
      <c r="A901" s="1" t="s">
        <v>1333</v>
      </c>
      <c r="B901" s="1">
        <v>22</v>
      </c>
      <c r="C901" s="1" t="s">
        <v>611</v>
      </c>
      <c r="D901" s="1"/>
      <c r="E901" s="1"/>
      <c r="F901" s="1">
        <v>130</v>
      </c>
      <c r="G901" s="1">
        <v>152</v>
      </c>
      <c r="H901" s="1" t="s">
        <v>1770</v>
      </c>
      <c r="I901" s="1">
        <v>210</v>
      </c>
      <c r="J901" s="1" t="s">
        <v>1865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2880</v>
      </c>
    </row>
    <row r="902" spans="1:17" ht="14" customHeight="1" x14ac:dyDescent="0.3">
      <c r="A902" s="1" t="s">
        <v>1334</v>
      </c>
      <c r="B902" s="1">
        <v>24</v>
      </c>
      <c r="C902" s="1" t="s">
        <v>1011</v>
      </c>
      <c r="D902" s="1"/>
      <c r="E902" s="1"/>
      <c r="F902" s="1">
        <v>128</v>
      </c>
      <c r="G902" s="1">
        <v>134</v>
      </c>
      <c r="H902" s="1" t="s">
        <v>317</v>
      </c>
      <c r="I902" s="1">
        <v>150</v>
      </c>
      <c r="J902" s="1" t="s">
        <v>1853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2881</v>
      </c>
    </row>
    <row r="903" spans="1:17" ht="14" customHeight="1" x14ac:dyDescent="0.3">
      <c r="A903" s="1" t="s">
        <v>1335</v>
      </c>
      <c r="B903" s="1">
        <v>23</v>
      </c>
      <c r="C903" s="1" t="s">
        <v>734</v>
      </c>
      <c r="D903" s="1"/>
      <c r="E903" s="1"/>
      <c r="F903" s="1">
        <v>120</v>
      </c>
      <c r="G903" s="1">
        <v>133</v>
      </c>
      <c r="H903" s="1" t="s">
        <v>697</v>
      </c>
      <c r="I903" s="1">
        <v>85</v>
      </c>
      <c r="J903" s="1" t="s">
        <v>1782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2882</v>
      </c>
    </row>
    <row r="904" spans="1:17" ht="14" customHeight="1" x14ac:dyDescent="0.3">
      <c r="A904" s="1" t="s">
        <v>1336</v>
      </c>
      <c r="B904" s="1">
        <v>19</v>
      </c>
      <c r="C904" s="1" t="s">
        <v>624</v>
      </c>
      <c r="D904" s="1"/>
      <c r="E904" s="1"/>
      <c r="F904" s="1">
        <v>130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2883</v>
      </c>
    </row>
    <row r="905" spans="1:17" ht="14" customHeight="1" x14ac:dyDescent="0.3">
      <c r="A905" s="1" t="s">
        <v>1337</v>
      </c>
      <c r="B905" s="1">
        <v>27</v>
      </c>
      <c r="C905" s="1" t="s">
        <v>734</v>
      </c>
      <c r="D905" s="1"/>
      <c r="E905" s="1"/>
      <c r="F905" s="1">
        <v>118</v>
      </c>
      <c r="G905" s="1">
        <v>136</v>
      </c>
      <c r="H905" s="1" t="s">
        <v>901</v>
      </c>
      <c r="I905" s="1">
        <v>115</v>
      </c>
      <c r="J905" s="1" t="s">
        <v>1039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2884</v>
      </c>
    </row>
    <row r="906" spans="1:17" ht="14" customHeight="1" x14ac:dyDescent="0.3">
      <c r="A906" s="1" t="s">
        <v>1338</v>
      </c>
      <c r="B906" s="1">
        <v>23</v>
      </c>
      <c r="C906" s="1" t="s">
        <v>1339</v>
      </c>
      <c r="D906" s="1"/>
      <c r="E906" s="1"/>
      <c r="F906" s="1">
        <v>126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2885</v>
      </c>
    </row>
    <row r="907" spans="1:17" ht="14" customHeight="1" x14ac:dyDescent="0.3">
      <c r="A907" s="1" t="s">
        <v>1340</v>
      </c>
      <c r="B907" s="1">
        <v>24</v>
      </c>
      <c r="C907" s="1" t="s">
        <v>1341</v>
      </c>
      <c r="D907" s="1"/>
      <c r="E907" s="1"/>
      <c r="F907" s="1">
        <v>124</v>
      </c>
      <c r="G907" s="1">
        <v>136</v>
      </c>
      <c r="H907" s="1" t="s">
        <v>317</v>
      </c>
      <c r="I907" s="1">
        <v>140</v>
      </c>
      <c r="J907" s="1" t="s">
        <v>1923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2886</v>
      </c>
    </row>
    <row r="908" spans="1:17" ht="14" customHeight="1" x14ac:dyDescent="0.3">
      <c r="A908" s="1" t="s">
        <v>1342</v>
      </c>
      <c r="B908" s="1">
        <v>22</v>
      </c>
      <c r="C908" s="1" t="s">
        <v>1343</v>
      </c>
      <c r="D908" s="1"/>
      <c r="E908" s="1"/>
      <c r="F908" s="1">
        <v>127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2887</v>
      </c>
    </row>
    <row r="909" spans="1:17" ht="14" customHeight="1" x14ac:dyDescent="0.3">
      <c r="A909" s="1" t="s">
        <v>1344</v>
      </c>
      <c r="B909" s="1">
        <v>28</v>
      </c>
      <c r="C909" s="1" t="s">
        <v>849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2888</v>
      </c>
    </row>
    <row r="910" spans="1:17" ht="14" customHeight="1" x14ac:dyDescent="0.3">
      <c r="A910" s="1" t="s">
        <v>1345</v>
      </c>
      <c r="B910" s="1">
        <v>24</v>
      </c>
      <c r="C910" s="1" t="s">
        <v>1346</v>
      </c>
      <c r="D910" s="1"/>
      <c r="E910" s="1"/>
      <c r="F910" s="1">
        <v>126</v>
      </c>
      <c r="G910" s="1">
        <v>136</v>
      </c>
      <c r="H910" s="1" t="s">
        <v>1347</v>
      </c>
      <c r="I910" s="1">
        <v>120</v>
      </c>
      <c r="J910" s="1" t="s">
        <v>271</v>
      </c>
      <c r="K910" s="1">
        <v>5</v>
      </c>
      <c r="L910" s="1">
        <f t="shared" si="14"/>
        <v>600</v>
      </c>
      <c r="M910" s="1" t="s">
        <v>38</v>
      </c>
      <c r="N910" s="1"/>
      <c r="O910" s="12" t="str">
        <f>IF($J910=Sheet2!$A$2, ROW(), "")</f>
        <v/>
      </c>
      <c r="Q910" s="23" t="s">
        <v>2889</v>
      </c>
    </row>
    <row r="911" spans="1:17" ht="14" customHeight="1" x14ac:dyDescent="0.3">
      <c r="A911" s="1" t="s">
        <v>1348</v>
      </c>
      <c r="B911" s="1">
        <v>23</v>
      </c>
      <c r="C911" s="1" t="s">
        <v>1349</v>
      </c>
      <c r="D911" s="1"/>
      <c r="E911" s="1"/>
      <c r="F911" s="1">
        <v>127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2890</v>
      </c>
    </row>
    <row r="912" spans="1:17" ht="14" customHeight="1" x14ac:dyDescent="0.3">
      <c r="A912" s="1" t="s">
        <v>1350</v>
      </c>
      <c r="B912" s="1">
        <v>17</v>
      </c>
      <c r="C912" s="1" t="s">
        <v>843</v>
      </c>
      <c r="D912" s="1"/>
      <c r="E912" s="1"/>
      <c r="F912" s="1">
        <v>126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2891</v>
      </c>
    </row>
    <row r="913" spans="1:17" ht="14" customHeight="1" x14ac:dyDescent="0.3">
      <c r="A913" s="1" t="s">
        <v>1351</v>
      </c>
      <c r="B913" s="1">
        <v>20</v>
      </c>
      <c r="C913" s="1" t="s">
        <v>708</v>
      </c>
      <c r="D913" s="1"/>
      <c r="E913" s="1"/>
      <c r="F913" s="1">
        <v>128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2892</v>
      </c>
    </row>
    <row r="914" spans="1:17" ht="14" customHeight="1" x14ac:dyDescent="0.3">
      <c r="A914" s="1" t="s">
        <v>1352</v>
      </c>
      <c r="B914" s="1">
        <v>27</v>
      </c>
      <c r="C914" s="1" t="s">
        <v>1063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520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2893</v>
      </c>
    </row>
    <row r="915" spans="1:17" ht="14" customHeight="1" x14ac:dyDescent="0.3">
      <c r="A915" s="1" t="s">
        <v>1353</v>
      </c>
      <c r="B915" s="1">
        <v>30</v>
      </c>
      <c r="C915" s="1" t="s">
        <v>1354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1659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2894</v>
      </c>
    </row>
    <row r="916" spans="1:17" ht="14" customHeight="1" x14ac:dyDescent="0.3">
      <c r="A916" s="1" t="s">
        <v>1355</v>
      </c>
      <c r="B916" s="1">
        <v>24</v>
      </c>
      <c r="C916" s="1" t="s">
        <v>1356</v>
      </c>
      <c r="D916" s="1"/>
      <c r="E916" s="1"/>
      <c r="F916" s="1">
        <v>127</v>
      </c>
      <c r="G916" s="1">
        <v>134</v>
      </c>
      <c r="H916" s="1" t="s">
        <v>1</v>
      </c>
      <c r="I916" s="1">
        <v>145</v>
      </c>
      <c r="J916" s="1" t="s">
        <v>1039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2895</v>
      </c>
    </row>
    <row r="917" spans="1:17" ht="14" customHeight="1" x14ac:dyDescent="0.3">
      <c r="A917" s="1" t="s">
        <v>1357</v>
      </c>
      <c r="B917" s="1">
        <v>18</v>
      </c>
      <c r="C917" s="1" t="s">
        <v>1063</v>
      </c>
      <c r="D917" s="1"/>
      <c r="E917" s="1"/>
      <c r="F917" s="1">
        <v>122</v>
      </c>
      <c r="G917" s="1">
        <v>180</v>
      </c>
      <c r="H917" s="1" t="s">
        <v>1358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2896</v>
      </c>
    </row>
    <row r="918" spans="1:17" ht="14" customHeight="1" x14ac:dyDescent="0.3">
      <c r="A918" s="1" t="s">
        <v>1359</v>
      </c>
      <c r="B918" s="1">
        <v>19</v>
      </c>
      <c r="C918" s="1" t="s">
        <v>611</v>
      </c>
      <c r="D918" s="1"/>
      <c r="E918" s="1"/>
      <c r="F918" s="1">
        <v>132</v>
      </c>
      <c r="G918" s="1">
        <v>170</v>
      </c>
      <c r="H918" s="1" t="s">
        <v>697</v>
      </c>
      <c r="I918" s="1">
        <v>310</v>
      </c>
      <c r="J918" s="1" t="s">
        <v>689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2897</v>
      </c>
    </row>
    <row r="919" spans="1:17" ht="14" customHeight="1" x14ac:dyDescent="0.3">
      <c r="A919" s="1" t="s">
        <v>1360</v>
      </c>
      <c r="B919" s="1">
        <v>25</v>
      </c>
      <c r="C919" s="1" t="s">
        <v>1011</v>
      </c>
      <c r="D919" s="1"/>
      <c r="E919" s="1"/>
      <c r="F919" s="1">
        <v>130</v>
      </c>
      <c r="G919" s="1">
        <v>130</v>
      </c>
      <c r="H919" s="1" t="s">
        <v>260</v>
      </c>
      <c r="I919" s="1">
        <v>100</v>
      </c>
      <c r="J919" s="1" t="s">
        <v>683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2898</v>
      </c>
    </row>
    <row r="920" spans="1:17" ht="14" customHeight="1" x14ac:dyDescent="0.3">
      <c r="A920" s="1" t="s">
        <v>1361</v>
      </c>
      <c r="B920" s="1">
        <v>36</v>
      </c>
      <c r="C920" s="1" t="s">
        <v>1011</v>
      </c>
      <c r="D920" s="1"/>
      <c r="E920" s="1"/>
      <c r="F920" s="1">
        <v>116</v>
      </c>
      <c r="G920" s="1">
        <v>124</v>
      </c>
      <c r="H920" s="1" t="s">
        <v>1000</v>
      </c>
      <c r="I920" s="1">
        <v>40</v>
      </c>
      <c r="J920" s="1" t="s">
        <v>683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2899</v>
      </c>
    </row>
    <row r="921" spans="1:17" ht="14" customHeight="1" x14ac:dyDescent="0.3">
      <c r="A921" s="1" t="s">
        <v>1362</v>
      </c>
      <c r="B921" s="1">
        <v>24</v>
      </c>
      <c r="C921" s="1" t="s">
        <v>283</v>
      </c>
      <c r="D921" s="1"/>
      <c r="E921" s="1"/>
      <c r="F921" s="1">
        <v>130</v>
      </c>
      <c r="G921" s="1">
        <v>130</v>
      </c>
      <c r="H921" s="1" t="s">
        <v>317</v>
      </c>
      <c r="I921" s="1">
        <v>70</v>
      </c>
      <c r="J921" s="1" t="s">
        <v>683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2900</v>
      </c>
    </row>
    <row r="922" spans="1:17" ht="14" customHeight="1" x14ac:dyDescent="0.3">
      <c r="A922" s="1" t="s">
        <v>1363</v>
      </c>
      <c r="B922" s="1">
        <v>21</v>
      </c>
      <c r="C922" s="1" t="s">
        <v>590</v>
      </c>
      <c r="D922" s="1"/>
      <c r="E922" s="1"/>
      <c r="F922" s="1">
        <v>127</v>
      </c>
      <c r="G922" s="1">
        <v>142</v>
      </c>
      <c r="H922" s="1" t="s">
        <v>697</v>
      </c>
      <c r="I922" s="1">
        <v>180</v>
      </c>
      <c r="J922" s="1" t="s">
        <v>3229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2901</v>
      </c>
    </row>
    <row r="923" spans="1:17" ht="14" customHeight="1" x14ac:dyDescent="0.3">
      <c r="A923" s="1" t="s">
        <v>1364</v>
      </c>
      <c r="B923" s="1">
        <v>21</v>
      </c>
      <c r="C923" s="1" t="s">
        <v>1349</v>
      </c>
      <c r="D923" s="1"/>
      <c r="E923" s="1"/>
      <c r="F923" s="1">
        <v>119</v>
      </c>
      <c r="G923" s="1">
        <v>136</v>
      </c>
      <c r="H923" s="1" t="s">
        <v>260</v>
      </c>
      <c r="I923" s="1">
        <v>110</v>
      </c>
      <c r="J923" s="1" t="s">
        <v>3229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2902</v>
      </c>
    </row>
    <row r="924" spans="1:17" ht="14" customHeight="1" x14ac:dyDescent="0.3">
      <c r="A924" s="1" t="s">
        <v>1365</v>
      </c>
      <c r="B924" s="1">
        <v>28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901</v>
      </c>
      <c r="I924" s="1">
        <v>190</v>
      </c>
      <c r="J924" s="1" t="s">
        <v>1766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2903</v>
      </c>
    </row>
    <row r="925" spans="1:17" ht="14" customHeight="1" x14ac:dyDescent="0.3">
      <c r="A925" s="1" t="s">
        <v>1366</v>
      </c>
      <c r="B925" s="1">
        <v>25</v>
      </c>
      <c r="C925" s="1" t="s">
        <v>1367</v>
      </c>
      <c r="D925" s="1"/>
      <c r="E925" s="1"/>
      <c r="F925" s="1">
        <v>130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2904</v>
      </c>
    </row>
    <row r="926" spans="1:17" ht="14" customHeight="1" x14ac:dyDescent="0.3">
      <c r="A926" s="1" t="s">
        <v>1368</v>
      </c>
      <c r="B926" s="1">
        <v>19</v>
      </c>
      <c r="C926" s="1" t="s">
        <v>256</v>
      </c>
      <c r="D926" s="1"/>
      <c r="E926" s="1"/>
      <c r="F926" s="1">
        <v>121</v>
      </c>
      <c r="G926" s="1">
        <v>170</v>
      </c>
      <c r="H926" s="1" t="s">
        <v>260</v>
      </c>
      <c r="I926" s="1">
        <v>200</v>
      </c>
      <c r="J926" s="1" t="s">
        <v>3411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2905</v>
      </c>
    </row>
    <row r="927" spans="1:17" ht="14" customHeight="1" x14ac:dyDescent="0.3">
      <c r="A927" s="1" t="s">
        <v>1369</v>
      </c>
      <c r="B927" s="1">
        <v>29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824</v>
      </c>
      <c r="I927" s="1">
        <v>120</v>
      </c>
      <c r="J927" s="1" t="s">
        <v>1766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2906</v>
      </c>
    </row>
    <row r="928" spans="1:17" ht="14" customHeight="1" x14ac:dyDescent="0.3">
      <c r="A928" s="1" t="s">
        <v>1370</v>
      </c>
      <c r="B928" s="1">
        <v>27</v>
      </c>
      <c r="C928" s="1" t="s">
        <v>582</v>
      </c>
      <c r="D928" s="1"/>
      <c r="E928" s="1"/>
      <c r="F928" s="1">
        <v>116</v>
      </c>
      <c r="G928" s="1">
        <v>130</v>
      </c>
      <c r="H928" s="1" t="s">
        <v>1076</v>
      </c>
      <c r="I928" s="1">
        <v>180</v>
      </c>
      <c r="J928" s="1" t="s">
        <v>520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2907</v>
      </c>
    </row>
    <row r="929" spans="1:17" ht="14" customHeight="1" x14ac:dyDescent="0.3">
      <c r="A929" s="1" t="s">
        <v>1371</v>
      </c>
      <c r="B929" s="1">
        <v>21</v>
      </c>
      <c r="C929" s="1" t="s">
        <v>843</v>
      </c>
      <c r="D929" s="1"/>
      <c r="E929" s="1"/>
      <c r="F929" s="1">
        <v>132</v>
      </c>
      <c r="G929" s="1">
        <v>160</v>
      </c>
      <c r="H929" s="1" t="s">
        <v>1372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2908</v>
      </c>
    </row>
    <row r="930" spans="1:17" ht="14" customHeight="1" x14ac:dyDescent="0.3">
      <c r="A930" s="1" t="s">
        <v>1373</v>
      </c>
      <c r="B930" s="1">
        <v>21</v>
      </c>
      <c r="C930" s="1" t="s">
        <v>1027</v>
      </c>
      <c r="D930" s="1"/>
      <c r="E930" s="1"/>
      <c r="F930" s="1">
        <v>134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2909</v>
      </c>
    </row>
    <row r="931" spans="1:17" ht="14" customHeight="1" x14ac:dyDescent="0.3">
      <c r="A931" s="1" t="s">
        <v>1374</v>
      </c>
      <c r="B931" s="1">
        <v>26</v>
      </c>
      <c r="C931" s="1" t="s">
        <v>230</v>
      </c>
      <c r="D931" s="1"/>
      <c r="E931" s="1"/>
      <c r="F931" s="1">
        <v>126</v>
      </c>
      <c r="G931" s="1">
        <v>126</v>
      </c>
      <c r="H931" s="1" t="s">
        <v>1375</v>
      </c>
      <c r="I931" s="1">
        <v>110</v>
      </c>
      <c r="J931" s="1" t="s">
        <v>520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2910</v>
      </c>
    </row>
    <row r="932" spans="1:17" ht="14" customHeight="1" x14ac:dyDescent="0.3">
      <c r="A932" s="1" t="s">
        <v>1376</v>
      </c>
      <c r="B932" s="1">
        <v>27</v>
      </c>
      <c r="C932" s="1" t="s">
        <v>1063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2911</v>
      </c>
    </row>
    <row r="933" spans="1:17" ht="14" customHeight="1" x14ac:dyDescent="0.3">
      <c r="A933" s="1" t="s">
        <v>1377</v>
      </c>
      <c r="B933" s="1">
        <v>23</v>
      </c>
      <c r="C933" s="1" t="s">
        <v>1378</v>
      </c>
      <c r="D933" s="1"/>
      <c r="E933" s="1"/>
      <c r="F933" s="1">
        <v>126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2912</v>
      </c>
    </row>
    <row r="934" spans="1:17" ht="14" customHeight="1" x14ac:dyDescent="0.3">
      <c r="A934" s="1" t="s">
        <v>1379</v>
      </c>
      <c r="B934" s="1">
        <v>21</v>
      </c>
      <c r="C934" s="1" t="s">
        <v>1011</v>
      </c>
      <c r="D934" s="1"/>
      <c r="E934" s="1"/>
      <c r="F934" s="1">
        <v>122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2913</v>
      </c>
    </row>
    <row r="935" spans="1:17" ht="14" customHeight="1" x14ac:dyDescent="0.3">
      <c r="A935" s="1" t="s">
        <v>1380</v>
      </c>
      <c r="B935" s="1">
        <v>23</v>
      </c>
      <c r="C935" s="1" t="s">
        <v>1011</v>
      </c>
      <c r="D935" s="1"/>
      <c r="E935" s="1"/>
      <c r="F935" s="1">
        <v>120</v>
      </c>
      <c r="G935" s="1">
        <v>140</v>
      </c>
      <c r="H935" s="1" t="s">
        <v>357</v>
      </c>
      <c r="I935" s="1">
        <v>140</v>
      </c>
      <c r="J935" s="1" t="s">
        <v>1759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2914</v>
      </c>
    </row>
    <row r="936" spans="1:17" ht="14" customHeight="1" x14ac:dyDescent="0.3">
      <c r="A936" s="1" t="s">
        <v>1381</v>
      </c>
      <c r="B936" s="1">
        <v>28</v>
      </c>
      <c r="C936" s="1" t="s">
        <v>734</v>
      </c>
      <c r="D936" s="1"/>
      <c r="E936" s="1"/>
      <c r="F936" s="1">
        <v>114</v>
      </c>
      <c r="G936" s="1">
        <v>132</v>
      </c>
      <c r="H936" s="1" t="s">
        <v>1382</v>
      </c>
      <c r="I936" s="1">
        <v>120</v>
      </c>
      <c r="J936" s="1" t="s">
        <v>1759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2915</v>
      </c>
    </row>
    <row r="937" spans="1:17" ht="14" customHeight="1" x14ac:dyDescent="0.3">
      <c r="A937" s="1" t="s">
        <v>1383</v>
      </c>
      <c r="B937" s="1">
        <v>38</v>
      </c>
      <c r="C937" s="1" t="s">
        <v>1011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1721</v>
      </c>
      <c r="K937" s="1">
        <v>5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2916</v>
      </c>
    </row>
    <row r="938" spans="1:17" ht="14" customHeight="1" x14ac:dyDescent="0.3">
      <c r="A938" s="1" t="s">
        <v>1384</v>
      </c>
      <c r="B938" s="1">
        <v>23</v>
      </c>
      <c r="C938" s="1" t="s">
        <v>1011</v>
      </c>
      <c r="D938" s="1"/>
      <c r="E938" s="1"/>
      <c r="F938" s="1">
        <v>128</v>
      </c>
      <c r="G938" s="1">
        <v>140</v>
      </c>
      <c r="H938" s="1" t="s">
        <v>1385</v>
      </c>
      <c r="I938" s="1">
        <v>150</v>
      </c>
      <c r="J938" s="1" t="s">
        <v>1865</v>
      </c>
      <c r="K938" s="1">
        <v>5</v>
      </c>
      <c r="L938" s="1">
        <f t="shared" si="14"/>
        <v>750</v>
      </c>
      <c r="M938" s="1" t="s">
        <v>38</v>
      </c>
      <c r="N938" s="1"/>
      <c r="O938" s="12" t="str">
        <f>IF($J938=Sheet2!$A$2, ROW(), "")</f>
        <v/>
      </c>
      <c r="Q938" s="23" t="s">
        <v>2917</v>
      </c>
    </row>
    <row r="939" spans="1:17" ht="14" customHeight="1" x14ac:dyDescent="0.3">
      <c r="A939" s="1" t="s">
        <v>1386</v>
      </c>
      <c r="B939" s="1">
        <v>26</v>
      </c>
      <c r="C939" s="1" t="s">
        <v>305</v>
      </c>
      <c r="D939" s="1"/>
      <c r="E939" s="1"/>
      <c r="F939" s="1">
        <v>118</v>
      </c>
      <c r="G939" s="1">
        <v>140</v>
      </c>
      <c r="H939" s="1" t="s">
        <v>357</v>
      </c>
      <c r="I939" s="1">
        <v>130</v>
      </c>
      <c r="J939" s="1" t="s">
        <v>609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2918</v>
      </c>
    </row>
    <row r="940" spans="1:17" ht="14" customHeight="1" x14ac:dyDescent="0.3">
      <c r="A940" s="1" t="s">
        <v>1387</v>
      </c>
      <c r="B940" s="1">
        <v>26</v>
      </c>
      <c r="C940" s="1" t="s">
        <v>1388</v>
      </c>
      <c r="D940" s="1"/>
      <c r="E940" s="1"/>
      <c r="F940" s="1">
        <v>121</v>
      </c>
      <c r="G940" s="1">
        <v>121</v>
      </c>
      <c r="H940" s="1" t="s">
        <v>317</v>
      </c>
      <c r="I940" s="1">
        <v>90</v>
      </c>
      <c r="J940" s="1" t="s">
        <v>1923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2919</v>
      </c>
    </row>
    <row r="941" spans="1:17" ht="14" customHeight="1" x14ac:dyDescent="0.3">
      <c r="A941" s="1" t="s">
        <v>1389</v>
      </c>
      <c r="B941" s="1">
        <v>21</v>
      </c>
      <c r="C941" s="1" t="s">
        <v>611</v>
      </c>
      <c r="D941" s="1"/>
      <c r="E941" s="1"/>
      <c r="F941" s="1">
        <v>127</v>
      </c>
      <c r="G941" s="1">
        <v>160</v>
      </c>
      <c r="H941" s="1" t="s">
        <v>1170</v>
      </c>
      <c r="I941" s="1">
        <v>260</v>
      </c>
      <c r="J941" s="1" t="s">
        <v>1720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2920</v>
      </c>
    </row>
    <row r="942" spans="1:17" ht="14" customHeight="1" x14ac:dyDescent="0.3">
      <c r="A942" s="1" t="s">
        <v>1390</v>
      </c>
      <c r="B942" s="1">
        <v>34</v>
      </c>
      <c r="C942" s="1" t="s">
        <v>1011</v>
      </c>
      <c r="D942" s="1"/>
      <c r="E942" s="1"/>
      <c r="F942" s="1">
        <v>110</v>
      </c>
      <c r="G942" s="1">
        <v>132</v>
      </c>
      <c r="H942" s="1" t="s">
        <v>969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2921</v>
      </c>
    </row>
    <row r="943" spans="1:17" ht="14" customHeight="1" x14ac:dyDescent="0.3">
      <c r="A943" s="1" t="s">
        <v>1391</v>
      </c>
      <c r="B943" s="1">
        <v>21</v>
      </c>
      <c r="C943" s="1" t="s">
        <v>1392</v>
      </c>
      <c r="D943" s="1"/>
      <c r="E943" s="1"/>
      <c r="F943" s="1">
        <v>100</v>
      </c>
      <c r="G943" s="1">
        <v>140</v>
      </c>
      <c r="H943" s="1" t="s">
        <v>357</v>
      </c>
      <c r="I943" s="1">
        <v>80</v>
      </c>
      <c r="J943" s="1" t="s">
        <v>1039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2922</v>
      </c>
    </row>
    <row r="944" spans="1:17" ht="14" customHeight="1" x14ac:dyDescent="0.3">
      <c r="A944" s="1" t="s">
        <v>1393</v>
      </c>
      <c r="B944" s="1">
        <v>21</v>
      </c>
      <c r="C944" s="1" t="s">
        <v>1394</v>
      </c>
      <c r="D944" s="1"/>
      <c r="E944" s="1"/>
      <c r="F944" s="1">
        <v>132</v>
      </c>
      <c r="G944" s="1">
        <v>150</v>
      </c>
      <c r="H944" s="1" t="s">
        <v>1395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2923</v>
      </c>
    </row>
    <row r="945" spans="1:17" ht="14" customHeight="1" x14ac:dyDescent="0.3">
      <c r="A945" s="1" t="s">
        <v>1396</v>
      </c>
      <c r="B945" s="1">
        <v>30</v>
      </c>
      <c r="C945" s="1" t="s">
        <v>1397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1721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2924</v>
      </c>
    </row>
    <row r="946" spans="1:17" ht="14" customHeight="1" x14ac:dyDescent="0.3">
      <c r="A946" s="1" t="s">
        <v>1398</v>
      </c>
      <c r="B946" s="1">
        <v>20</v>
      </c>
      <c r="C946" s="1" t="s">
        <v>1399</v>
      </c>
      <c r="D946" s="1"/>
      <c r="E946" s="1"/>
      <c r="F946" s="1">
        <v>117</v>
      </c>
      <c r="G946" s="1">
        <v>150</v>
      </c>
      <c r="H946" s="1" t="s">
        <v>1400</v>
      </c>
      <c r="I946" s="1">
        <v>140</v>
      </c>
      <c r="J946" s="1" t="s">
        <v>609</v>
      </c>
      <c r="K946" s="1">
        <v>5</v>
      </c>
      <c r="L946" s="1">
        <f t="shared" si="14"/>
        <v>700</v>
      </c>
      <c r="M946" s="1" t="s">
        <v>38</v>
      </c>
      <c r="N946" s="1"/>
      <c r="O946" s="12" t="str">
        <f>IF($J946=Sheet2!$A$2, ROW(), "")</f>
        <v/>
      </c>
      <c r="Q946" s="23" t="s">
        <v>2925</v>
      </c>
    </row>
    <row r="947" spans="1:17" ht="14" customHeight="1" x14ac:dyDescent="0.3">
      <c r="A947" s="1" t="s">
        <v>1401</v>
      </c>
      <c r="B947" s="1">
        <v>36</v>
      </c>
      <c r="C947" s="1" t="s">
        <v>582</v>
      </c>
      <c r="D947" s="1"/>
      <c r="E947" s="1"/>
      <c r="F947" s="1">
        <v>118</v>
      </c>
      <c r="G947" s="1">
        <v>140</v>
      </c>
      <c r="H947" s="1" t="s">
        <v>553</v>
      </c>
      <c r="I947" s="1">
        <v>130</v>
      </c>
      <c r="J947" s="1" t="s">
        <v>520</v>
      </c>
      <c r="K947" s="1">
        <v>5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2926</v>
      </c>
    </row>
    <row r="948" spans="1:17" ht="14" customHeight="1" x14ac:dyDescent="0.3">
      <c r="A948" s="1" t="s">
        <v>1402</v>
      </c>
      <c r="B948" s="1">
        <v>24</v>
      </c>
      <c r="C948" s="1" t="s">
        <v>647</v>
      </c>
      <c r="D948" s="1"/>
      <c r="E948" s="1"/>
      <c r="F948" s="1">
        <v>134</v>
      </c>
      <c r="G948" s="1">
        <v>140</v>
      </c>
      <c r="H948" s="1" t="s">
        <v>357</v>
      </c>
      <c r="I948" s="1">
        <v>160</v>
      </c>
      <c r="J948" s="1" t="s">
        <v>683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2927</v>
      </c>
    </row>
    <row r="949" spans="1:17" ht="14" customHeight="1" x14ac:dyDescent="0.3">
      <c r="A949" s="1" t="s">
        <v>1403</v>
      </c>
      <c r="B949" s="1">
        <v>32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1931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2928</v>
      </c>
    </row>
    <row r="950" spans="1:17" ht="14" customHeight="1" x14ac:dyDescent="0.3">
      <c r="A950" s="1" t="s">
        <v>1404</v>
      </c>
      <c r="B950" s="1">
        <v>27</v>
      </c>
      <c r="C950" s="1" t="s">
        <v>1405</v>
      </c>
      <c r="D950" s="1"/>
      <c r="E950" s="1"/>
      <c r="F950" s="1">
        <v>108</v>
      </c>
      <c r="G950" s="1">
        <v>125</v>
      </c>
      <c r="H950" s="1" t="s">
        <v>892</v>
      </c>
      <c r="I950" s="1">
        <v>130</v>
      </c>
      <c r="J950" s="1" t="s">
        <v>1890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2929</v>
      </c>
    </row>
    <row r="951" spans="1:17" ht="14" customHeight="1" x14ac:dyDescent="0.3">
      <c r="A951" s="1" t="s">
        <v>1406</v>
      </c>
      <c r="B951" s="1">
        <v>27</v>
      </c>
      <c r="C951" s="1" t="s">
        <v>1407</v>
      </c>
      <c r="D951" s="1"/>
      <c r="E951" s="1"/>
      <c r="F951" s="1">
        <v>114</v>
      </c>
      <c r="G951" s="1">
        <v>124</v>
      </c>
      <c r="H951" s="1" t="s">
        <v>1382</v>
      </c>
      <c r="I951" s="1">
        <v>130</v>
      </c>
      <c r="J951" s="1" t="s">
        <v>1890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2930</v>
      </c>
    </row>
    <row r="952" spans="1:17" ht="14" customHeight="1" x14ac:dyDescent="0.3">
      <c r="A952" s="1" t="s">
        <v>1408</v>
      </c>
      <c r="B952" s="1">
        <v>22</v>
      </c>
      <c r="C952" s="1" t="s">
        <v>1409</v>
      </c>
      <c r="D952" s="1"/>
      <c r="E952" s="1"/>
      <c r="F952" s="1">
        <v>130</v>
      </c>
      <c r="G952" s="1">
        <v>145</v>
      </c>
      <c r="H952" s="1" t="s">
        <v>307</v>
      </c>
      <c r="I952" s="1">
        <v>200</v>
      </c>
      <c r="J952" s="1" t="s">
        <v>1717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2931</v>
      </c>
    </row>
    <row r="953" spans="1:17" ht="14" customHeight="1" x14ac:dyDescent="0.3">
      <c r="A953" s="1" t="s">
        <v>1410</v>
      </c>
      <c r="B953" s="1">
        <v>37</v>
      </c>
      <c r="C953" s="1" t="s">
        <v>1411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1659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2932</v>
      </c>
    </row>
    <row r="954" spans="1:17" ht="14" customHeight="1" x14ac:dyDescent="0.3">
      <c r="A954" s="1" t="s">
        <v>1412</v>
      </c>
      <c r="B954" s="1">
        <v>25</v>
      </c>
      <c r="C954" s="1" t="s">
        <v>256</v>
      </c>
      <c r="D954" s="1"/>
      <c r="E954" s="1"/>
      <c r="F954" s="1">
        <v>130</v>
      </c>
      <c r="G954" s="1">
        <v>130</v>
      </c>
      <c r="H954" s="1" t="s">
        <v>895</v>
      </c>
      <c r="I954" s="1">
        <v>130</v>
      </c>
      <c r="J954" s="1" t="s">
        <v>1659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2933</v>
      </c>
    </row>
    <row r="955" spans="1:17" ht="14" customHeight="1" x14ac:dyDescent="0.3">
      <c r="A955" s="1" t="s">
        <v>1413</v>
      </c>
      <c r="B955" s="1">
        <v>24</v>
      </c>
      <c r="C955" s="1" t="s">
        <v>1414</v>
      </c>
      <c r="D955" s="1"/>
      <c r="E955" s="1"/>
      <c r="F955" s="1">
        <v>132</v>
      </c>
      <c r="G955" s="1">
        <v>134</v>
      </c>
      <c r="H955" s="1" t="s">
        <v>1170</v>
      </c>
      <c r="I955" s="1">
        <v>130</v>
      </c>
      <c r="J955" s="1" t="s">
        <v>1659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2934</v>
      </c>
    </row>
    <row r="956" spans="1:17" ht="14" customHeight="1" x14ac:dyDescent="0.3">
      <c r="A956" s="1" t="s">
        <v>1415</v>
      </c>
      <c r="B956" s="1">
        <v>22</v>
      </c>
      <c r="C956" s="1" t="s">
        <v>1063</v>
      </c>
      <c r="D956" s="1"/>
      <c r="E956" s="1"/>
      <c r="F956" s="1">
        <v>124</v>
      </c>
      <c r="G956" s="1">
        <v>138</v>
      </c>
      <c r="H956" s="1" t="s">
        <v>1102</v>
      </c>
      <c r="I956" s="1">
        <v>70</v>
      </c>
      <c r="J956" s="1" t="s">
        <v>1766</v>
      </c>
      <c r="K956" s="1">
        <v>5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2935</v>
      </c>
    </row>
    <row r="957" spans="1:17" ht="14" customHeight="1" x14ac:dyDescent="0.3">
      <c r="A957" s="1" t="s">
        <v>1416</v>
      </c>
      <c r="B957" s="1">
        <v>25</v>
      </c>
      <c r="C957" s="1" t="s">
        <v>849</v>
      </c>
      <c r="D957" s="1"/>
      <c r="E957" s="1"/>
      <c r="F957" s="1">
        <v>130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2936</v>
      </c>
    </row>
    <row r="958" spans="1:17" ht="14" customHeight="1" x14ac:dyDescent="0.3">
      <c r="A958" s="1" t="s">
        <v>1417</v>
      </c>
      <c r="B958" s="1">
        <v>29</v>
      </c>
      <c r="C958" s="1" t="s">
        <v>1063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1766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2937</v>
      </c>
    </row>
    <row r="959" spans="1:17" ht="14" customHeight="1" x14ac:dyDescent="0.3">
      <c r="A959" s="1" t="s">
        <v>1418</v>
      </c>
      <c r="B959" s="1">
        <v>24</v>
      </c>
      <c r="C959" s="1" t="s">
        <v>1011</v>
      </c>
      <c r="D959" s="1"/>
      <c r="E959" s="1"/>
      <c r="F959" s="1">
        <v>116</v>
      </c>
      <c r="G959" s="1">
        <v>140</v>
      </c>
      <c r="H959" s="1" t="s">
        <v>1049</v>
      </c>
      <c r="I959" s="1">
        <v>100</v>
      </c>
      <c r="J959" s="1" t="s">
        <v>683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2938</v>
      </c>
    </row>
    <row r="960" spans="1:17" ht="14" customHeight="1" x14ac:dyDescent="0.3">
      <c r="A960" s="1" t="s">
        <v>1419</v>
      </c>
      <c r="B960" s="1">
        <v>23</v>
      </c>
      <c r="C960" s="1" t="s">
        <v>1011</v>
      </c>
      <c r="D960" s="1"/>
      <c r="E960" s="1"/>
      <c r="F960" s="1">
        <v>127</v>
      </c>
      <c r="G960" s="1">
        <v>140</v>
      </c>
      <c r="H960" s="1" t="s">
        <v>277</v>
      </c>
      <c r="I960" s="1">
        <v>120</v>
      </c>
      <c r="J960" s="1" t="s">
        <v>683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2939</v>
      </c>
    </row>
    <row r="961" spans="1:17" ht="14" customHeight="1" x14ac:dyDescent="0.3">
      <c r="A961" s="1" t="s">
        <v>1420</v>
      </c>
      <c r="B961" s="1">
        <v>28</v>
      </c>
      <c r="C961" s="1" t="s">
        <v>1421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274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2940</v>
      </c>
    </row>
    <row r="962" spans="1:17" ht="14" customHeight="1" x14ac:dyDescent="0.3">
      <c r="A962" s="1" t="s">
        <v>1422</v>
      </c>
      <c r="B962" s="1">
        <v>26</v>
      </c>
      <c r="C962" s="1" t="s">
        <v>1148</v>
      </c>
      <c r="D962" s="1"/>
      <c r="E962" s="1"/>
      <c r="F962" s="1">
        <v>125</v>
      </c>
      <c r="G962" s="1">
        <v>125</v>
      </c>
      <c r="H962" s="1" t="s">
        <v>260</v>
      </c>
      <c r="I962" s="1">
        <v>120</v>
      </c>
      <c r="J962" s="1" t="s">
        <v>1721</v>
      </c>
      <c r="K962" s="1">
        <v>5</v>
      </c>
      <c r="L962" s="1">
        <f t="shared" ref="L962:L1025" si="15">I962*5</f>
        <v>600</v>
      </c>
      <c r="M962" s="1" t="s">
        <v>38</v>
      </c>
      <c r="N962" s="1"/>
      <c r="O962" s="12" t="str">
        <f>IF($J962=Sheet2!$A$2, ROW(), "")</f>
        <v/>
      </c>
      <c r="Q962" s="23" t="s">
        <v>2941</v>
      </c>
    </row>
    <row r="963" spans="1:17" ht="14" customHeight="1" x14ac:dyDescent="0.3">
      <c r="A963" s="1" t="s">
        <v>1423</v>
      </c>
      <c r="B963" s="1">
        <v>22</v>
      </c>
      <c r="C963" s="1" t="s">
        <v>1424</v>
      </c>
      <c r="D963" s="1"/>
      <c r="E963" s="1"/>
      <c r="F963" s="1">
        <v>130</v>
      </c>
      <c r="G963" s="1">
        <v>160</v>
      </c>
      <c r="H963" s="1" t="s">
        <v>357</v>
      </c>
      <c r="I963" s="1">
        <v>300</v>
      </c>
      <c r="J963" s="1" t="s">
        <v>1164</v>
      </c>
      <c r="K963" s="1">
        <v>5</v>
      </c>
      <c r="L963" s="1">
        <f t="shared" si="15"/>
        <v>1500</v>
      </c>
      <c r="M963" s="1" t="s">
        <v>38</v>
      </c>
      <c r="N963" s="1"/>
      <c r="O963" s="12" t="str">
        <f>IF($J963=Sheet2!$A$2, ROW(), "")</f>
        <v/>
      </c>
      <c r="Q963" s="23" t="s">
        <v>2942</v>
      </c>
    </row>
    <row r="964" spans="1:17" ht="14" customHeight="1" x14ac:dyDescent="0.3">
      <c r="A964" s="1" t="s">
        <v>1425</v>
      </c>
      <c r="B964" s="1">
        <v>19</v>
      </c>
      <c r="C964" s="1" t="s">
        <v>843</v>
      </c>
      <c r="D964" s="1"/>
      <c r="E964" s="1"/>
      <c r="F964" s="1">
        <v>120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2943</v>
      </c>
    </row>
    <row r="965" spans="1:17" ht="14" customHeight="1" x14ac:dyDescent="0.3">
      <c r="A965" s="1" t="s">
        <v>1426</v>
      </c>
      <c r="B965" s="1">
        <v>23</v>
      </c>
      <c r="C965" s="1" t="s">
        <v>1427</v>
      </c>
      <c r="D965" s="1"/>
      <c r="E965" s="1"/>
      <c r="F965" s="1">
        <v>120</v>
      </c>
      <c r="G965" s="1">
        <v>132</v>
      </c>
      <c r="H965" s="1" t="s">
        <v>1771</v>
      </c>
      <c r="I965" s="1">
        <v>140</v>
      </c>
      <c r="J965" s="1" t="s">
        <v>1759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2944</v>
      </c>
    </row>
    <row r="966" spans="1:17" ht="14" customHeight="1" x14ac:dyDescent="0.3">
      <c r="A966" s="1" t="s">
        <v>1428</v>
      </c>
      <c r="B966" s="1">
        <v>21</v>
      </c>
      <c r="C966" s="1" t="s">
        <v>320</v>
      </c>
      <c r="D966" s="1"/>
      <c r="E966" s="1"/>
      <c r="F966" s="1">
        <v>128</v>
      </c>
      <c r="G966" s="1">
        <v>160</v>
      </c>
      <c r="H966" s="1" t="s">
        <v>1</v>
      </c>
      <c r="I966" s="1">
        <v>180</v>
      </c>
      <c r="J966" s="1" t="s">
        <v>683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2945</v>
      </c>
    </row>
    <row r="967" spans="1:17" ht="14" customHeight="1" x14ac:dyDescent="0.3">
      <c r="A967" s="1" t="s">
        <v>1429</v>
      </c>
      <c r="B967" s="1">
        <v>19</v>
      </c>
      <c r="C967" s="1" t="s">
        <v>1430</v>
      </c>
      <c r="D967" s="1"/>
      <c r="E967" s="1"/>
      <c r="F967" s="1">
        <v>110</v>
      </c>
      <c r="G967" s="1">
        <v>150</v>
      </c>
      <c r="H967" s="1" t="s">
        <v>1431</v>
      </c>
      <c r="I967" s="1">
        <v>100</v>
      </c>
      <c r="J967" s="1" t="s">
        <v>609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2946</v>
      </c>
    </row>
    <row r="968" spans="1:17" ht="14" customHeight="1" x14ac:dyDescent="0.3">
      <c r="A968" s="1" t="s">
        <v>1432</v>
      </c>
      <c r="B968" s="1">
        <v>21</v>
      </c>
      <c r="C968" s="1" t="s">
        <v>1378</v>
      </c>
      <c r="D968" s="1"/>
      <c r="E968" s="1"/>
      <c r="F968" s="1">
        <v>120</v>
      </c>
      <c r="G968" s="1">
        <v>150</v>
      </c>
      <c r="H968" s="1" t="s">
        <v>1433</v>
      </c>
      <c r="I968" s="1">
        <v>120</v>
      </c>
      <c r="J968" s="1" t="s">
        <v>1721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2947</v>
      </c>
    </row>
    <row r="969" spans="1:17" ht="14" customHeight="1" x14ac:dyDescent="0.3">
      <c r="A969" s="1" t="s">
        <v>1434</v>
      </c>
      <c r="B969" s="1">
        <v>23</v>
      </c>
      <c r="C969" s="1" t="s">
        <v>1378</v>
      </c>
      <c r="D969" s="1"/>
      <c r="E969" s="1"/>
      <c r="F969" s="1">
        <v>119</v>
      </c>
      <c r="G969" s="1">
        <v>126</v>
      </c>
      <c r="H969" s="1" t="s">
        <v>1435</v>
      </c>
      <c r="I969" s="1">
        <v>100</v>
      </c>
      <c r="J969" s="1" t="s">
        <v>490</v>
      </c>
      <c r="K969" s="1">
        <v>5</v>
      </c>
      <c r="L969" s="1">
        <f t="shared" si="15"/>
        <v>500</v>
      </c>
      <c r="M969" s="1" t="s">
        <v>38</v>
      </c>
      <c r="N969" s="1"/>
      <c r="O969" s="12" t="str">
        <f>IF($J969=Sheet2!$A$2, ROW(), "")</f>
        <v/>
      </c>
      <c r="Q969" s="23" t="s">
        <v>2948</v>
      </c>
    </row>
    <row r="970" spans="1:17" ht="14" customHeight="1" x14ac:dyDescent="0.3">
      <c r="A970" s="1" t="s">
        <v>1436</v>
      </c>
      <c r="B970" s="1">
        <v>23</v>
      </c>
      <c r="C970" s="1" t="s">
        <v>1437</v>
      </c>
      <c r="D970" s="1"/>
      <c r="E970" s="1"/>
      <c r="F970" s="1">
        <v>109</v>
      </c>
      <c r="G970" s="1">
        <v>128</v>
      </c>
      <c r="H970" s="1" t="s">
        <v>761</v>
      </c>
      <c r="I970" s="1">
        <v>90</v>
      </c>
      <c r="J970" s="1" t="s">
        <v>1039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2949</v>
      </c>
    </row>
    <row r="971" spans="1:17" ht="14" customHeight="1" x14ac:dyDescent="0.3">
      <c r="A971" s="1" t="s">
        <v>1438</v>
      </c>
      <c r="B971" s="1">
        <v>21</v>
      </c>
      <c r="C971" s="1" t="s">
        <v>1063</v>
      </c>
      <c r="D971" s="1"/>
      <c r="E971" s="1"/>
      <c r="F971" s="1">
        <v>120</v>
      </c>
      <c r="G971" s="1">
        <v>136</v>
      </c>
      <c r="H971" s="1" t="s">
        <v>357</v>
      </c>
      <c r="I971" s="1">
        <v>70</v>
      </c>
      <c r="J971" s="1" t="s">
        <v>1891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2950</v>
      </c>
    </row>
    <row r="972" spans="1:17" ht="14" customHeight="1" x14ac:dyDescent="0.3">
      <c r="A972" s="1" t="s">
        <v>1439</v>
      </c>
      <c r="B972" s="1">
        <v>25</v>
      </c>
      <c r="C972" s="1" t="s">
        <v>1397</v>
      </c>
      <c r="D972" s="1"/>
      <c r="E972" s="1"/>
      <c r="F972" s="1">
        <v>124</v>
      </c>
      <c r="G972" s="1">
        <v>138</v>
      </c>
      <c r="H972" s="1" t="s">
        <v>1440</v>
      </c>
      <c r="I972" s="1">
        <v>160</v>
      </c>
      <c r="J972" s="1" t="s">
        <v>1717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2951</v>
      </c>
    </row>
    <row r="973" spans="1:17" ht="14" customHeight="1" x14ac:dyDescent="0.3">
      <c r="A973" s="1" t="s">
        <v>1441</v>
      </c>
      <c r="B973" s="1">
        <v>35</v>
      </c>
      <c r="C973" s="1" t="s">
        <v>1442</v>
      </c>
      <c r="D973" s="1"/>
      <c r="E973" s="1"/>
      <c r="F973" s="1">
        <v>112</v>
      </c>
      <c r="G973" s="1">
        <v>132</v>
      </c>
      <c r="H973" s="1" t="s">
        <v>545</v>
      </c>
      <c r="I973" s="1">
        <v>110</v>
      </c>
      <c r="J973" s="1" t="s">
        <v>1039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2952</v>
      </c>
    </row>
    <row r="974" spans="1:17" ht="14" customHeight="1" x14ac:dyDescent="0.3">
      <c r="A974" s="1" t="s">
        <v>1443</v>
      </c>
      <c r="B974" s="1">
        <v>18</v>
      </c>
      <c r="C974" s="1" t="s">
        <v>246</v>
      </c>
      <c r="D974" s="1"/>
      <c r="E974" s="1"/>
      <c r="F974" s="1">
        <v>120</v>
      </c>
      <c r="G974" s="1">
        <v>180</v>
      </c>
      <c r="H974" s="1" t="s">
        <v>364</v>
      </c>
      <c r="I974" s="1">
        <v>70</v>
      </c>
      <c r="J974" s="1" t="s">
        <v>1763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2953</v>
      </c>
    </row>
    <row r="975" spans="1:17" ht="14" customHeight="1" x14ac:dyDescent="0.3">
      <c r="A975" s="1" t="s">
        <v>1445</v>
      </c>
      <c r="B975" s="1">
        <v>24</v>
      </c>
      <c r="C975" s="1" t="s">
        <v>312</v>
      </c>
      <c r="D975" s="1"/>
      <c r="E975" s="1"/>
      <c r="F975" s="1">
        <v>131</v>
      </c>
      <c r="G975" s="1">
        <v>136</v>
      </c>
      <c r="H975" s="1" t="s">
        <v>969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2954</v>
      </c>
    </row>
    <row r="976" spans="1:17" ht="14" customHeight="1" x14ac:dyDescent="0.3">
      <c r="A976" s="1" t="s">
        <v>1446</v>
      </c>
      <c r="B976" s="1">
        <v>26</v>
      </c>
      <c r="C976" s="1" t="s">
        <v>1011</v>
      </c>
      <c r="D976" s="1"/>
      <c r="E976" s="1"/>
      <c r="F976" s="1">
        <v>129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2955</v>
      </c>
    </row>
    <row r="977" spans="1:17" ht="14" customHeight="1" x14ac:dyDescent="0.3">
      <c r="A977" s="1" t="s">
        <v>1447</v>
      </c>
      <c r="B977" s="1">
        <v>18</v>
      </c>
      <c r="C977" s="1" t="s">
        <v>1027</v>
      </c>
      <c r="D977" s="1"/>
      <c r="E977" s="1"/>
      <c r="F977" s="1">
        <v>109</v>
      </c>
      <c r="G977" s="1">
        <v>150</v>
      </c>
      <c r="H977" s="1" t="s">
        <v>969</v>
      </c>
      <c r="I977" s="1">
        <v>120</v>
      </c>
      <c r="J977" s="1" t="s">
        <v>1847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2956</v>
      </c>
    </row>
    <row r="978" spans="1:17" ht="14" customHeight="1" x14ac:dyDescent="0.3">
      <c r="A978" s="1" t="s">
        <v>1448</v>
      </c>
      <c r="B978" s="1">
        <v>23</v>
      </c>
      <c r="C978" s="1" t="s">
        <v>312</v>
      </c>
      <c r="D978" s="1"/>
      <c r="E978" s="1"/>
      <c r="F978" s="1">
        <v>126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2957</v>
      </c>
    </row>
    <row r="979" spans="1:17" ht="14" customHeight="1" x14ac:dyDescent="0.3">
      <c r="A979" s="1" t="s">
        <v>1449</v>
      </c>
      <c r="B979" s="1">
        <v>22</v>
      </c>
      <c r="C979" s="1" t="s">
        <v>312</v>
      </c>
      <c r="D979" s="1"/>
      <c r="E979" s="1"/>
      <c r="F979" s="1">
        <v>127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2958</v>
      </c>
    </row>
    <row r="980" spans="1:17" ht="14" customHeight="1" x14ac:dyDescent="0.3">
      <c r="A980" s="1" t="s">
        <v>1450</v>
      </c>
      <c r="B980" s="1">
        <v>35</v>
      </c>
      <c r="C980" s="1" t="s">
        <v>1451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1718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2959</v>
      </c>
    </row>
    <row r="981" spans="1:17" ht="14" customHeight="1" x14ac:dyDescent="0.3">
      <c r="A981" s="1" t="s">
        <v>1452</v>
      </c>
      <c r="B981" s="1">
        <v>21</v>
      </c>
      <c r="C981" s="1" t="s">
        <v>668</v>
      </c>
      <c r="D981" s="1"/>
      <c r="E981" s="1"/>
      <c r="F981" s="1">
        <v>126</v>
      </c>
      <c r="G981" s="1">
        <v>150</v>
      </c>
      <c r="H981" s="1" t="s">
        <v>965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2960</v>
      </c>
    </row>
    <row r="982" spans="1:17" ht="14" customHeight="1" x14ac:dyDescent="0.3">
      <c r="A982" s="1" t="s">
        <v>1453</v>
      </c>
      <c r="B982" s="1">
        <v>23</v>
      </c>
      <c r="C982" s="1" t="s">
        <v>590</v>
      </c>
      <c r="D982" s="1"/>
      <c r="E982" s="1"/>
      <c r="F982" s="1">
        <v>129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2961</v>
      </c>
    </row>
    <row r="983" spans="1:17" ht="14" customHeight="1" x14ac:dyDescent="0.3">
      <c r="A983" s="1" t="s">
        <v>1454</v>
      </c>
      <c r="B983" s="1">
        <v>20</v>
      </c>
      <c r="C983" s="1" t="s">
        <v>624</v>
      </c>
      <c r="D983" s="1"/>
      <c r="E983" s="1"/>
      <c r="F983" s="1">
        <v>127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2962</v>
      </c>
    </row>
    <row r="984" spans="1:17" ht="14" customHeight="1" x14ac:dyDescent="0.3">
      <c r="A984" s="1" t="s">
        <v>1455</v>
      </c>
      <c r="B984" s="1">
        <v>27</v>
      </c>
      <c r="C984" s="1" t="s">
        <v>1063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2963</v>
      </c>
    </row>
    <row r="985" spans="1:17" ht="14" customHeight="1" x14ac:dyDescent="0.3">
      <c r="A985" s="1" t="s">
        <v>1456</v>
      </c>
      <c r="B985" s="1">
        <v>21</v>
      </c>
      <c r="C985" s="1" t="s">
        <v>1457</v>
      </c>
      <c r="D985" s="1"/>
      <c r="E985" s="1"/>
      <c r="F985" s="1">
        <v>123</v>
      </c>
      <c r="G985" s="1">
        <v>150</v>
      </c>
      <c r="H985" s="1" t="s">
        <v>260</v>
      </c>
      <c r="I985" s="1">
        <v>120</v>
      </c>
      <c r="J985" s="1" t="s">
        <v>609</v>
      </c>
      <c r="K985" s="1">
        <v>5</v>
      </c>
      <c r="L985" s="1">
        <f t="shared" si="15"/>
        <v>600</v>
      </c>
      <c r="M985" s="1" t="s">
        <v>38</v>
      </c>
      <c r="N985" s="1"/>
      <c r="O985" s="12" t="str">
        <f>IF($J985=Sheet2!$A$2, ROW(), "")</f>
        <v/>
      </c>
      <c r="Q985" s="23" t="s">
        <v>2964</v>
      </c>
    </row>
    <row r="986" spans="1:17" ht="14" customHeight="1" x14ac:dyDescent="0.3">
      <c r="A986" s="1" t="s">
        <v>1458</v>
      </c>
      <c r="B986" s="1">
        <v>26</v>
      </c>
      <c r="C986" s="1" t="s">
        <v>1459</v>
      </c>
      <c r="D986" s="1"/>
      <c r="E986" s="1"/>
      <c r="F986" s="1">
        <v>114</v>
      </c>
      <c r="G986" s="1">
        <v>135</v>
      </c>
      <c r="H986" s="1" t="s">
        <v>1460</v>
      </c>
      <c r="I986" s="1">
        <v>140</v>
      </c>
      <c r="J986" s="1" t="s">
        <v>609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2965</v>
      </c>
    </row>
    <row r="987" spans="1:17" ht="14" customHeight="1" x14ac:dyDescent="0.3">
      <c r="A987" s="1" t="s">
        <v>1461</v>
      </c>
      <c r="B987" s="1">
        <v>24</v>
      </c>
      <c r="C987" s="1" t="s">
        <v>1457</v>
      </c>
      <c r="D987" s="1"/>
      <c r="E987" s="1"/>
      <c r="F987" s="1">
        <v>122</v>
      </c>
      <c r="G987" s="1">
        <v>126</v>
      </c>
      <c r="H987" s="1" t="s">
        <v>1462</v>
      </c>
      <c r="I987" s="1">
        <v>100</v>
      </c>
      <c r="J987" s="1" t="s">
        <v>609</v>
      </c>
      <c r="K987" s="1">
        <v>5</v>
      </c>
      <c r="L987" s="1">
        <f t="shared" si="15"/>
        <v>500</v>
      </c>
      <c r="M987" s="1" t="s">
        <v>38</v>
      </c>
      <c r="N987" s="1"/>
      <c r="O987" s="12" t="str">
        <f>IF($J987=Sheet2!$A$2, ROW(), "")</f>
        <v/>
      </c>
      <c r="Q987" s="23" t="s">
        <v>2966</v>
      </c>
    </row>
    <row r="988" spans="1:17" ht="14" customHeight="1" x14ac:dyDescent="0.3">
      <c r="A988" s="1" t="s">
        <v>1463</v>
      </c>
      <c r="B988" s="1">
        <v>22</v>
      </c>
      <c r="C988" s="1" t="s">
        <v>1464</v>
      </c>
      <c r="D988" s="1"/>
      <c r="E988" s="1"/>
      <c r="F988" s="1">
        <v>110</v>
      </c>
      <c r="G988" s="1">
        <v>140</v>
      </c>
      <c r="H988" s="1" t="s">
        <v>1465</v>
      </c>
      <c r="I988" s="1">
        <v>90</v>
      </c>
      <c r="J988" s="1" t="s">
        <v>609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2967</v>
      </c>
    </row>
    <row r="989" spans="1:17" ht="14" customHeight="1" x14ac:dyDescent="0.3">
      <c r="A989" s="1" t="s">
        <v>1466</v>
      </c>
      <c r="B989" s="1">
        <v>23</v>
      </c>
      <c r="C989" s="1" t="s">
        <v>1459</v>
      </c>
      <c r="D989" s="1"/>
      <c r="E989" s="1"/>
      <c r="F989" s="1">
        <v>128</v>
      </c>
      <c r="G989" s="1">
        <v>134</v>
      </c>
      <c r="H989" s="1" t="s">
        <v>1467</v>
      </c>
      <c r="I989" s="1">
        <v>180</v>
      </c>
      <c r="J989" s="1" t="s">
        <v>3229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2968</v>
      </c>
    </row>
    <row r="990" spans="1:17" ht="14" customHeight="1" x14ac:dyDescent="0.3">
      <c r="A990" s="1" t="s">
        <v>1468</v>
      </c>
      <c r="B990" s="1">
        <v>26</v>
      </c>
      <c r="C990" s="1" t="s">
        <v>1459</v>
      </c>
      <c r="D990" s="1"/>
      <c r="E990" s="1"/>
      <c r="F990" s="1">
        <v>126</v>
      </c>
      <c r="G990" s="1">
        <v>126</v>
      </c>
      <c r="H990" s="1" t="s">
        <v>317</v>
      </c>
      <c r="I990" s="1">
        <v>140</v>
      </c>
      <c r="J990" s="1" t="s">
        <v>1763</v>
      </c>
      <c r="K990" s="1">
        <v>5</v>
      </c>
      <c r="L990" s="1">
        <f t="shared" si="15"/>
        <v>700</v>
      </c>
      <c r="M990" s="1" t="s">
        <v>38</v>
      </c>
      <c r="N990" s="1"/>
      <c r="O990" s="12">
        <f>IF($J990=Sheet2!$A$2, ROW(), "")</f>
        <v>990</v>
      </c>
      <c r="Q990" s="23" t="s">
        <v>2969</v>
      </c>
    </row>
    <row r="991" spans="1:17" ht="14" customHeight="1" x14ac:dyDescent="0.3">
      <c r="A991" s="1" t="s">
        <v>1469</v>
      </c>
      <c r="B991" s="1">
        <v>27</v>
      </c>
      <c r="C991" s="1" t="s">
        <v>1397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2970</v>
      </c>
    </row>
    <row r="992" spans="1:17" ht="14" customHeight="1" x14ac:dyDescent="0.3">
      <c r="A992" s="1" t="s">
        <v>1470</v>
      </c>
      <c r="B992" s="1">
        <v>31</v>
      </c>
      <c r="C992" s="1" t="s">
        <v>1063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1759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2971</v>
      </c>
    </row>
    <row r="993" spans="1:17" ht="14" customHeight="1" x14ac:dyDescent="0.3">
      <c r="A993" s="1" t="s">
        <v>1471</v>
      </c>
      <c r="B993" s="1">
        <v>37</v>
      </c>
      <c r="C993" s="1" t="s">
        <v>1063</v>
      </c>
      <c r="D993" s="1"/>
      <c r="E993" s="1"/>
      <c r="F993" s="1">
        <v>114</v>
      </c>
      <c r="G993" s="1">
        <v>126</v>
      </c>
      <c r="H993" s="1" t="s">
        <v>1472</v>
      </c>
      <c r="I993" s="1">
        <v>100</v>
      </c>
      <c r="J993" s="1" t="s">
        <v>689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2972</v>
      </c>
    </row>
    <row r="994" spans="1:17" ht="14" customHeight="1" x14ac:dyDescent="0.3">
      <c r="A994" s="1" t="s">
        <v>1473</v>
      </c>
      <c r="B994" s="1">
        <v>25</v>
      </c>
      <c r="C994" s="1" t="s">
        <v>1474</v>
      </c>
      <c r="D994" s="1"/>
      <c r="E994" s="1"/>
      <c r="F994" s="1">
        <v>130</v>
      </c>
      <c r="G994" s="1">
        <v>130</v>
      </c>
      <c r="H994" s="1" t="s">
        <v>1475</v>
      </c>
      <c r="I994" s="1">
        <v>120</v>
      </c>
      <c r="J994" s="1" t="s">
        <v>111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2973</v>
      </c>
    </row>
    <row r="995" spans="1:17" ht="14" customHeight="1" x14ac:dyDescent="0.3">
      <c r="A995" s="1" t="s">
        <v>1476</v>
      </c>
      <c r="B995" s="1">
        <v>21</v>
      </c>
      <c r="C995" s="1" t="s">
        <v>312</v>
      </c>
      <c r="D995" s="1"/>
      <c r="E995" s="1"/>
      <c r="F995" s="1">
        <v>124</v>
      </c>
      <c r="G995" s="1">
        <v>150</v>
      </c>
      <c r="H995" s="1" t="s">
        <v>1382</v>
      </c>
      <c r="I995" s="1">
        <v>260</v>
      </c>
      <c r="J995" s="1" t="s">
        <v>1917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2974</v>
      </c>
    </row>
    <row r="996" spans="1:17" ht="14" customHeight="1" x14ac:dyDescent="0.3">
      <c r="A996" s="1" t="s">
        <v>1477</v>
      </c>
      <c r="B996" s="1">
        <v>36</v>
      </c>
      <c r="C996" s="1" t="s">
        <v>1063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3244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2975</v>
      </c>
    </row>
    <row r="997" spans="1:17" ht="14" customHeight="1" x14ac:dyDescent="0.3">
      <c r="A997" s="1" t="s">
        <v>1478</v>
      </c>
      <c r="B997" s="1">
        <v>29</v>
      </c>
      <c r="C997" s="1" t="s">
        <v>1479</v>
      </c>
      <c r="D997" s="1"/>
      <c r="E997" s="1"/>
      <c r="F997" s="1">
        <v>116</v>
      </c>
      <c r="G997" s="1">
        <v>128</v>
      </c>
      <c r="H997" s="1" t="s">
        <v>1467</v>
      </c>
      <c r="I997" s="1">
        <v>120</v>
      </c>
      <c r="J997" s="1" t="s">
        <v>561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2976</v>
      </c>
    </row>
    <row r="998" spans="1:17" ht="14" customHeight="1" x14ac:dyDescent="0.3">
      <c r="A998" s="1" t="s">
        <v>1480</v>
      </c>
      <c r="B998" s="1">
        <v>25</v>
      </c>
      <c r="C998" s="1" t="s">
        <v>647</v>
      </c>
      <c r="D998" s="1"/>
      <c r="E998" s="1"/>
      <c r="F998" s="1">
        <v>134</v>
      </c>
      <c r="G998" s="1">
        <v>134</v>
      </c>
      <c r="H998" s="1" t="s">
        <v>969</v>
      </c>
      <c r="I998" s="1">
        <v>120</v>
      </c>
      <c r="J998" s="1" t="s">
        <v>111</v>
      </c>
      <c r="K998" s="1">
        <v>5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2977</v>
      </c>
    </row>
    <row r="999" spans="1:17" ht="14" customHeight="1" x14ac:dyDescent="0.3">
      <c r="A999" s="1" t="s">
        <v>1481</v>
      </c>
      <c r="B999" s="1">
        <v>29</v>
      </c>
      <c r="C999" s="1" t="s">
        <v>1011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1164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2978</v>
      </c>
    </row>
    <row r="1000" spans="1:17" ht="14" customHeight="1" x14ac:dyDescent="0.3">
      <c r="A1000" s="1" t="s">
        <v>1482</v>
      </c>
      <c r="B1000" s="1">
        <v>37</v>
      </c>
      <c r="C1000" s="1" t="s">
        <v>1011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1164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2979</v>
      </c>
    </row>
    <row r="1001" spans="1:17" ht="14" customHeight="1" x14ac:dyDescent="0.3">
      <c r="A1001" s="1" t="s">
        <v>1483</v>
      </c>
      <c r="B1001" s="1">
        <v>30</v>
      </c>
      <c r="C1001" s="1" t="s">
        <v>1484</v>
      </c>
      <c r="D1001" s="1"/>
      <c r="E1001" s="1"/>
      <c r="F1001" s="1">
        <v>120</v>
      </c>
      <c r="G1001" s="1">
        <v>125</v>
      </c>
      <c r="H1001" s="1" t="s">
        <v>1485</v>
      </c>
      <c r="I1001" s="1">
        <v>120</v>
      </c>
      <c r="J1001" s="1" t="s">
        <v>1736</v>
      </c>
      <c r="K1001" s="1">
        <v>5</v>
      </c>
      <c r="L1001" s="1">
        <f t="shared" si="15"/>
        <v>600</v>
      </c>
      <c r="M1001" s="1" t="s">
        <v>38</v>
      </c>
      <c r="N1001" s="1"/>
      <c r="O1001" s="12" t="str">
        <f>IF($J1001=Sheet2!$A$2, ROW(), "")</f>
        <v/>
      </c>
      <c r="Q1001" s="23" t="s">
        <v>2980</v>
      </c>
    </row>
    <row r="1002" spans="1:17" ht="14" customHeight="1" x14ac:dyDescent="0.3">
      <c r="A1002" s="1" t="s">
        <v>1486</v>
      </c>
      <c r="B1002" s="1">
        <v>35</v>
      </c>
      <c r="C1002" s="1" t="s">
        <v>1011</v>
      </c>
      <c r="D1002" s="1"/>
      <c r="E1002" s="1"/>
      <c r="F1002" s="1">
        <v>122</v>
      </c>
      <c r="G1002" s="1">
        <v>122</v>
      </c>
      <c r="H1002" s="1" t="s">
        <v>1440</v>
      </c>
      <c r="I1002" s="1">
        <v>120</v>
      </c>
      <c r="J1002" s="1" t="s">
        <v>1736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2981</v>
      </c>
    </row>
    <row r="1003" spans="1:17" ht="14" customHeight="1" x14ac:dyDescent="0.3">
      <c r="A1003" s="1" t="s">
        <v>1487</v>
      </c>
      <c r="B1003" s="1">
        <v>35</v>
      </c>
      <c r="C1003" s="1" t="s">
        <v>1011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1931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2982</v>
      </c>
    </row>
    <row r="1004" spans="1:17" ht="14" customHeight="1" x14ac:dyDescent="0.3">
      <c r="A1004" s="1" t="s">
        <v>1488</v>
      </c>
      <c r="B1004" s="1">
        <v>27</v>
      </c>
      <c r="C1004" s="1" t="s">
        <v>1011</v>
      </c>
      <c r="D1004" s="1"/>
      <c r="E1004" s="1"/>
      <c r="F1004" s="1">
        <v>122</v>
      </c>
      <c r="G1004" s="1">
        <v>124</v>
      </c>
      <c r="H1004" s="1" t="s">
        <v>969</v>
      </c>
      <c r="I1004" s="1">
        <v>130</v>
      </c>
      <c r="J1004" s="1" t="s">
        <v>1740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2983</v>
      </c>
    </row>
    <row r="1005" spans="1:17" ht="14" customHeight="1" x14ac:dyDescent="0.3">
      <c r="A1005" s="1" t="s">
        <v>1489</v>
      </c>
      <c r="B1005" s="1">
        <v>21</v>
      </c>
      <c r="C1005" s="1" t="s">
        <v>1011</v>
      </c>
      <c r="D1005" s="1"/>
      <c r="E1005" s="1"/>
      <c r="F1005" s="1">
        <v>128</v>
      </c>
      <c r="G1005" s="1">
        <v>145</v>
      </c>
      <c r="H1005" s="1" t="s">
        <v>317</v>
      </c>
      <c r="I1005" s="1">
        <v>120</v>
      </c>
      <c r="J1005" s="1" t="s">
        <v>1854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2984</v>
      </c>
    </row>
    <row r="1006" spans="1:17" ht="14" customHeight="1" x14ac:dyDescent="0.3">
      <c r="A1006" s="1" t="s">
        <v>1490</v>
      </c>
      <c r="B1006" s="1">
        <v>20</v>
      </c>
      <c r="C1006" s="1" t="s">
        <v>246</v>
      </c>
      <c r="D1006" s="1"/>
      <c r="E1006" s="1"/>
      <c r="F1006" s="1">
        <v>124</v>
      </c>
      <c r="G1006" s="1">
        <v>170</v>
      </c>
      <c r="H1006" s="1" t="s">
        <v>1143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2985</v>
      </c>
    </row>
    <row r="1007" spans="1:17" ht="14" customHeight="1" x14ac:dyDescent="0.3">
      <c r="A1007" s="1" t="s">
        <v>1491</v>
      </c>
      <c r="B1007" s="1">
        <v>26</v>
      </c>
      <c r="C1007" s="1" t="s">
        <v>1492</v>
      </c>
      <c r="D1007" s="1"/>
      <c r="E1007" s="1"/>
      <c r="F1007" s="1">
        <v>130</v>
      </c>
      <c r="G1007" s="1">
        <v>140</v>
      </c>
      <c r="H1007" s="1" t="s">
        <v>357</v>
      </c>
      <c r="I1007" s="1">
        <v>190</v>
      </c>
      <c r="J1007" s="1" t="s">
        <v>1887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2986</v>
      </c>
    </row>
    <row r="1008" spans="1:17" ht="14" customHeight="1" x14ac:dyDescent="0.3">
      <c r="A1008" s="1" t="s">
        <v>1493</v>
      </c>
      <c r="B1008" s="1">
        <v>29</v>
      </c>
      <c r="C1008" s="1" t="s">
        <v>730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1164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2987</v>
      </c>
    </row>
    <row r="1009" spans="1:17" ht="14" customHeight="1" x14ac:dyDescent="0.3">
      <c r="A1009" s="1" t="s">
        <v>1494</v>
      </c>
      <c r="B1009" s="1">
        <v>22</v>
      </c>
      <c r="C1009" s="1" t="s">
        <v>227</v>
      </c>
      <c r="D1009" s="1"/>
      <c r="E1009" s="1"/>
      <c r="F1009" s="1">
        <v>126</v>
      </c>
      <c r="G1009" s="1">
        <v>148</v>
      </c>
      <c r="H1009" s="1" t="s">
        <v>260</v>
      </c>
      <c r="I1009" s="1">
        <v>300</v>
      </c>
      <c r="J1009" s="1" t="s">
        <v>1949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2988</v>
      </c>
    </row>
    <row r="1010" spans="1:17" ht="14" customHeight="1" x14ac:dyDescent="0.3">
      <c r="A1010" s="1" t="s">
        <v>1495</v>
      </c>
      <c r="B1010" s="1">
        <v>24</v>
      </c>
      <c r="C1010" s="1" t="s">
        <v>1011</v>
      </c>
      <c r="D1010" s="1"/>
      <c r="E1010" s="1"/>
      <c r="F1010" s="1">
        <v>126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2989</v>
      </c>
    </row>
    <row r="1011" spans="1:17" ht="14" customHeight="1" x14ac:dyDescent="0.3">
      <c r="A1011" s="1" t="s">
        <v>1496</v>
      </c>
      <c r="B1011" s="1">
        <v>23</v>
      </c>
      <c r="C1011" s="1" t="s">
        <v>1497</v>
      </c>
      <c r="D1011" s="1"/>
      <c r="E1011" s="1"/>
      <c r="F1011" s="1">
        <v>130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2990</v>
      </c>
    </row>
    <row r="1012" spans="1:17" ht="14" customHeight="1" x14ac:dyDescent="0.3">
      <c r="A1012" s="1" t="s">
        <v>1498</v>
      </c>
      <c r="B1012" s="1">
        <v>34</v>
      </c>
      <c r="C1012" s="1" t="s">
        <v>1011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689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2991</v>
      </c>
    </row>
    <row r="1013" spans="1:17" ht="14" customHeight="1" x14ac:dyDescent="0.3">
      <c r="A1013" s="1" t="s">
        <v>1499</v>
      </c>
      <c r="B1013" s="1">
        <v>31</v>
      </c>
      <c r="C1013" s="1" t="s">
        <v>734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2992</v>
      </c>
    </row>
    <row r="1014" spans="1:17" ht="14" customHeight="1" x14ac:dyDescent="0.3">
      <c r="A1014" s="1" t="s">
        <v>1500</v>
      </c>
      <c r="B1014" s="1">
        <v>25</v>
      </c>
      <c r="C1014" s="1" t="s">
        <v>734</v>
      </c>
      <c r="D1014" s="1"/>
      <c r="E1014" s="1"/>
      <c r="F1014" s="1">
        <v>119</v>
      </c>
      <c r="G1014" s="1">
        <v>126</v>
      </c>
      <c r="H1014" s="1" t="s">
        <v>1170</v>
      </c>
      <c r="I1014" s="1">
        <v>120</v>
      </c>
      <c r="J1014" s="1" t="s">
        <v>689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2993</v>
      </c>
    </row>
    <row r="1015" spans="1:17" ht="14" customHeight="1" x14ac:dyDescent="0.3">
      <c r="A1015" s="1" t="s">
        <v>1501</v>
      </c>
      <c r="B1015" s="1">
        <v>20</v>
      </c>
      <c r="C1015" s="1" t="s">
        <v>256</v>
      </c>
      <c r="D1015" s="1"/>
      <c r="E1015" s="1"/>
      <c r="F1015" s="1">
        <v>127</v>
      </c>
      <c r="G1015" s="1">
        <v>180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2994</v>
      </c>
    </row>
    <row r="1016" spans="1:17" ht="14" customHeight="1" x14ac:dyDescent="0.3">
      <c r="A1016" s="1" t="s">
        <v>1502</v>
      </c>
      <c r="B1016" s="1">
        <v>25</v>
      </c>
      <c r="C1016" s="1" t="s">
        <v>730</v>
      </c>
      <c r="D1016" s="1"/>
      <c r="E1016" s="1"/>
      <c r="F1016" s="1">
        <v>130</v>
      </c>
      <c r="G1016" s="1">
        <v>130</v>
      </c>
      <c r="H1016" s="1" t="s">
        <v>965</v>
      </c>
      <c r="I1016" s="1">
        <v>200</v>
      </c>
      <c r="J1016" s="1" t="s">
        <v>1718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2995</v>
      </c>
    </row>
    <row r="1017" spans="1:17" ht="14" customHeight="1" x14ac:dyDescent="0.3">
      <c r="A1017" s="1" t="s">
        <v>1503</v>
      </c>
      <c r="B1017" s="1">
        <v>24</v>
      </c>
      <c r="C1017" s="1" t="s">
        <v>815</v>
      </c>
      <c r="D1017" s="1"/>
      <c r="E1017" s="1"/>
      <c r="F1017" s="1">
        <v>130</v>
      </c>
      <c r="G1017" s="1">
        <v>130</v>
      </c>
      <c r="H1017" s="1" t="s">
        <v>364</v>
      </c>
      <c r="I1017" s="1">
        <v>200</v>
      </c>
      <c r="J1017" s="1" t="s">
        <v>1840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2996</v>
      </c>
    </row>
    <row r="1018" spans="1:17" ht="14" customHeight="1" x14ac:dyDescent="0.3">
      <c r="A1018" s="1" t="s">
        <v>1504</v>
      </c>
      <c r="B1018" s="1">
        <v>28</v>
      </c>
      <c r="C1018" s="1" t="s">
        <v>815</v>
      </c>
      <c r="D1018" s="1"/>
      <c r="E1018" s="1"/>
      <c r="F1018" s="1">
        <v>120</v>
      </c>
      <c r="G1018" s="1">
        <v>132</v>
      </c>
      <c r="H1018" s="1" t="s">
        <v>1505</v>
      </c>
      <c r="I1018" s="1">
        <v>200</v>
      </c>
      <c r="J1018" s="1" t="s">
        <v>1718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2997</v>
      </c>
    </row>
    <row r="1019" spans="1:17" ht="14" customHeight="1" x14ac:dyDescent="0.3">
      <c r="A1019" s="1" t="s">
        <v>1506</v>
      </c>
      <c r="B1019" s="1">
        <v>24</v>
      </c>
      <c r="C1019" s="1" t="s">
        <v>730</v>
      </c>
      <c r="D1019" s="1"/>
      <c r="E1019" s="1"/>
      <c r="F1019" s="1">
        <v>126</v>
      </c>
      <c r="G1019" s="1">
        <v>130</v>
      </c>
      <c r="H1019" s="1" t="s">
        <v>260</v>
      </c>
      <c r="I1019" s="1">
        <v>200</v>
      </c>
      <c r="J1019" s="1" t="s">
        <v>1717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2998</v>
      </c>
    </row>
    <row r="1020" spans="1:17" ht="14" customHeight="1" x14ac:dyDescent="0.3">
      <c r="A1020" s="1" t="s">
        <v>1507</v>
      </c>
      <c r="B1020" s="1">
        <v>27</v>
      </c>
      <c r="C1020" s="1" t="s">
        <v>730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233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2999</v>
      </c>
    </row>
    <row r="1021" spans="1:17" ht="14" customHeight="1" x14ac:dyDescent="0.3">
      <c r="A1021" s="1" t="s">
        <v>1508</v>
      </c>
      <c r="B1021" s="1">
        <v>21</v>
      </c>
      <c r="C1021" s="1" t="s">
        <v>730</v>
      </c>
      <c r="D1021" s="1"/>
      <c r="E1021" s="1"/>
      <c r="F1021" s="1">
        <v>118</v>
      </c>
      <c r="G1021" s="1">
        <v>140</v>
      </c>
      <c r="H1021" s="1" t="s">
        <v>697</v>
      </c>
      <c r="I1021" s="1">
        <v>140</v>
      </c>
      <c r="J1021" s="1" t="s">
        <v>490</v>
      </c>
      <c r="K1021" s="1">
        <v>5</v>
      </c>
      <c r="L1021" s="1">
        <f t="shared" si="15"/>
        <v>700</v>
      </c>
      <c r="M1021" s="1" t="s">
        <v>38</v>
      </c>
      <c r="N1021" s="1"/>
      <c r="O1021" s="12" t="str">
        <f>IF($J1021=Sheet2!$A$2, ROW(), "")</f>
        <v/>
      </c>
      <c r="Q1021" s="23" t="s">
        <v>3000</v>
      </c>
    </row>
    <row r="1022" spans="1:17" ht="14" customHeight="1" x14ac:dyDescent="0.3">
      <c r="A1022" s="1" t="s">
        <v>1509</v>
      </c>
      <c r="B1022" s="1">
        <v>27</v>
      </c>
      <c r="C1022" s="1" t="s">
        <v>730</v>
      </c>
      <c r="D1022" s="1"/>
      <c r="E1022" s="1"/>
      <c r="F1022" s="1">
        <v>120</v>
      </c>
      <c r="G1022" s="1">
        <v>130</v>
      </c>
      <c r="H1022" s="1" t="s">
        <v>1510</v>
      </c>
      <c r="I1022" s="1">
        <v>140</v>
      </c>
      <c r="J1022" s="1" t="s">
        <v>308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3001</v>
      </c>
    </row>
    <row r="1023" spans="1:17" ht="14" customHeight="1" x14ac:dyDescent="0.3">
      <c r="A1023" s="1" t="s">
        <v>1511</v>
      </c>
      <c r="B1023" s="1">
        <v>29</v>
      </c>
      <c r="C1023" s="1" t="s">
        <v>1011</v>
      </c>
      <c r="D1023" s="1"/>
      <c r="E1023" s="1"/>
      <c r="F1023" s="1">
        <v>118</v>
      </c>
      <c r="G1023" s="1">
        <v>120</v>
      </c>
      <c r="H1023" s="1" t="s">
        <v>1512</v>
      </c>
      <c r="I1023" s="1">
        <v>140</v>
      </c>
      <c r="J1023" s="1" t="s">
        <v>683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3002</v>
      </c>
    </row>
    <row r="1024" spans="1:17" ht="14" customHeight="1" x14ac:dyDescent="0.3">
      <c r="A1024" s="1" t="s">
        <v>1513</v>
      </c>
      <c r="B1024" s="1">
        <v>30</v>
      </c>
      <c r="C1024" s="1" t="s">
        <v>1011</v>
      </c>
      <c r="D1024" s="1"/>
      <c r="E1024" s="1"/>
      <c r="F1024" s="1">
        <v>116</v>
      </c>
      <c r="G1024" s="1">
        <v>125</v>
      </c>
      <c r="H1024" s="1" t="s">
        <v>1049</v>
      </c>
      <c r="I1024" s="1">
        <v>100</v>
      </c>
      <c r="J1024" s="1" t="s">
        <v>683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3003</v>
      </c>
    </row>
    <row r="1025" spans="1:17" ht="14" customHeight="1" x14ac:dyDescent="0.3">
      <c r="A1025" s="1" t="s">
        <v>1514</v>
      </c>
      <c r="B1025" s="1">
        <v>39</v>
      </c>
      <c r="C1025" s="1" t="s">
        <v>1063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683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3004</v>
      </c>
    </row>
    <row r="1026" spans="1:17" ht="14" customHeight="1" x14ac:dyDescent="0.3">
      <c r="A1026" s="1" t="s">
        <v>1515</v>
      </c>
      <c r="B1026" s="1">
        <v>30</v>
      </c>
      <c r="C1026" s="1" t="s">
        <v>1516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683</v>
      </c>
      <c r="K1026" s="1">
        <v>5</v>
      </c>
      <c r="L1026" s="1">
        <f t="shared" ref="L1026:L1089" si="16">I1026*5</f>
        <v>550</v>
      </c>
      <c r="M1026" s="1" t="s">
        <v>38</v>
      </c>
      <c r="N1026" s="1"/>
      <c r="O1026" s="12" t="str">
        <f>IF($J1026=Sheet2!$A$2, ROW(), "")</f>
        <v/>
      </c>
      <c r="Q1026" s="23" t="s">
        <v>3005</v>
      </c>
    </row>
    <row r="1027" spans="1:17" ht="14" customHeight="1" x14ac:dyDescent="0.3">
      <c r="A1027" s="1" t="s">
        <v>1517</v>
      </c>
      <c r="B1027" s="1">
        <v>25</v>
      </c>
      <c r="C1027" s="1" t="s">
        <v>1054</v>
      </c>
      <c r="D1027" s="1"/>
      <c r="E1027" s="1"/>
      <c r="F1027" s="1">
        <v>128</v>
      </c>
      <c r="G1027" s="1">
        <v>146</v>
      </c>
      <c r="H1027" s="1" t="s">
        <v>1372</v>
      </c>
      <c r="I1027" s="1">
        <v>200</v>
      </c>
      <c r="J1027" s="1" t="s">
        <v>308</v>
      </c>
      <c r="K1027" s="1">
        <v>5</v>
      </c>
      <c r="L1027" s="1">
        <f t="shared" si="16"/>
        <v>1000</v>
      </c>
      <c r="M1027" s="1" t="s">
        <v>38</v>
      </c>
      <c r="N1027" s="1"/>
      <c r="O1027" s="12" t="str">
        <f>IF($J1027=Sheet2!$A$2, ROW(), "")</f>
        <v/>
      </c>
      <c r="Q1027" s="23" t="s">
        <v>3006</v>
      </c>
    </row>
    <row r="1028" spans="1:17" ht="14" customHeight="1" x14ac:dyDescent="0.3">
      <c r="A1028" s="1" t="s">
        <v>1518</v>
      </c>
      <c r="B1028" s="1">
        <v>25</v>
      </c>
      <c r="C1028" s="1" t="s">
        <v>1519</v>
      </c>
      <c r="D1028" s="1"/>
      <c r="E1028" s="1"/>
      <c r="F1028" s="1">
        <v>130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3007</v>
      </c>
    </row>
    <row r="1029" spans="1:17" ht="14" customHeight="1" x14ac:dyDescent="0.3">
      <c r="A1029" s="1" t="s">
        <v>1520</v>
      </c>
      <c r="B1029" s="1">
        <v>25</v>
      </c>
      <c r="C1029" s="1" t="s">
        <v>1200</v>
      </c>
      <c r="D1029" s="1"/>
      <c r="E1029" s="1"/>
      <c r="F1029" s="1">
        <v>130</v>
      </c>
      <c r="G1029" s="1">
        <v>136</v>
      </c>
      <c r="H1029" s="1" t="s">
        <v>630</v>
      </c>
      <c r="I1029" s="1">
        <v>200</v>
      </c>
      <c r="J1029" s="1" t="s">
        <v>1717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3008</v>
      </c>
    </row>
    <row r="1030" spans="1:17" ht="14" customHeight="1" x14ac:dyDescent="0.3">
      <c r="A1030" s="1" t="s">
        <v>1521</v>
      </c>
      <c r="B1030" s="1">
        <v>27</v>
      </c>
      <c r="C1030" s="1" t="s">
        <v>730</v>
      </c>
      <c r="D1030" s="1"/>
      <c r="E1030" s="1"/>
      <c r="F1030" s="1">
        <v>118</v>
      </c>
      <c r="G1030" s="1">
        <v>128</v>
      </c>
      <c r="H1030" s="1" t="s">
        <v>969</v>
      </c>
      <c r="I1030" s="1">
        <v>150</v>
      </c>
      <c r="J1030" s="1" t="s">
        <v>1164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3009</v>
      </c>
    </row>
    <row r="1031" spans="1:17" ht="14" customHeight="1" x14ac:dyDescent="0.3">
      <c r="A1031" s="1" t="s">
        <v>1522</v>
      </c>
      <c r="B1031" s="1">
        <v>28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1523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3010</v>
      </c>
    </row>
    <row r="1032" spans="1:17" ht="14" customHeight="1" x14ac:dyDescent="0.3">
      <c r="A1032" s="1" t="s">
        <v>1524</v>
      </c>
      <c r="B1032" s="1">
        <v>23</v>
      </c>
      <c r="C1032" s="1" t="s">
        <v>1063</v>
      </c>
      <c r="D1032" s="1"/>
      <c r="E1032" s="1"/>
      <c r="F1032" s="1">
        <v>126</v>
      </c>
      <c r="G1032" s="1">
        <v>132</v>
      </c>
      <c r="H1032" s="1" t="s">
        <v>1525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3011</v>
      </c>
    </row>
    <row r="1033" spans="1:17" ht="14" customHeight="1" x14ac:dyDescent="0.3">
      <c r="A1033" s="1" t="s">
        <v>1526</v>
      </c>
      <c r="B1033" s="1">
        <v>28</v>
      </c>
      <c r="C1033" s="1" t="s">
        <v>924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835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3012</v>
      </c>
    </row>
    <row r="1034" spans="1:17" ht="14" customHeight="1" x14ac:dyDescent="0.3">
      <c r="A1034" s="1" t="s">
        <v>1527</v>
      </c>
      <c r="B1034" s="1">
        <v>37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1039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3013</v>
      </c>
    </row>
    <row r="1035" spans="1:17" ht="14" customHeight="1" x14ac:dyDescent="0.3">
      <c r="A1035" s="1" t="s">
        <v>1528</v>
      </c>
      <c r="B1035" s="1">
        <v>37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1529</v>
      </c>
      <c r="I1035" s="1">
        <v>24</v>
      </c>
      <c r="J1035" s="1" t="s">
        <v>1039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3014</v>
      </c>
    </row>
    <row r="1036" spans="1:17" ht="14" customHeight="1" x14ac:dyDescent="0.3">
      <c r="A1036" s="1" t="s">
        <v>1530</v>
      </c>
      <c r="B1036" s="1">
        <v>24</v>
      </c>
      <c r="C1036" s="1" t="s">
        <v>1011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1039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3015</v>
      </c>
    </row>
    <row r="1037" spans="1:17" ht="14" customHeight="1" x14ac:dyDescent="0.3">
      <c r="A1037" s="1" t="s">
        <v>1531</v>
      </c>
      <c r="B1037" s="1">
        <v>20</v>
      </c>
      <c r="C1037" s="1" t="s">
        <v>256</v>
      </c>
      <c r="D1037" s="1"/>
      <c r="E1037" s="1"/>
      <c r="F1037" s="1">
        <v>126</v>
      </c>
      <c r="G1037" s="1">
        <v>160</v>
      </c>
      <c r="H1037" s="1" t="s">
        <v>1532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3016</v>
      </c>
    </row>
    <row r="1038" spans="1:17" ht="14" customHeight="1" x14ac:dyDescent="0.3">
      <c r="A1038" s="1" t="s">
        <v>1533</v>
      </c>
      <c r="B1038" s="1">
        <v>22</v>
      </c>
      <c r="C1038" s="1" t="s">
        <v>510</v>
      </c>
      <c r="D1038" s="1"/>
      <c r="E1038" s="1"/>
      <c r="F1038" s="1">
        <v>123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3017</v>
      </c>
    </row>
    <row r="1039" spans="1:17" ht="14" customHeight="1" x14ac:dyDescent="0.3">
      <c r="A1039" s="1" t="s">
        <v>1534</v>
      </c>
      <c r="B1039" s="1">
        <v>26</v>
      </c>
      <c r="C1039" s="1" t="s">
        <v>644</v>
      </c>
      <c r="D1039" s="1"/>
      <c r="E1039" s="1"/>
      <c r="F1039" s="1">
        <v>128</v>
      </c>
      <c r="G1039" s="1">
        <v>150</v>
      </c>
      <c r="H1039" s="1" t="s">
        <v>357</v>
      </c>
      <c r="I1039" s="1">
        <v>70</v>
      </c>
      <c r="J1039" s="1" t="s">
        <v>1039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3018</v>
      </c>
    </row>
    <row r="1040" spans="1:17" ht="14" customHeight="1" x14ac:dyDescent="0.3">
      <c r="A1040" s="1" t="s">
        <v>1535</v>
      </c>
      <c r="B1040" s="1">
        <v>26</v>
      </c>
      <c r="C1040" s="1" t="s">
        <v>246</v>
      </c>
      <c r="D1040" s="1"/>
      <c r="E1040" s="1"/>
      <c r="F1040" s="1">
        <v>120</v>
      </c>
      <c r="G1040" s="1">
        <v>126</v>
      </c>
      <c r="H1040" s="1" t="s">
        <v>260</v>
      </c>
      <c r="I1040" s="1">
        <v>55</v>
      </c>
      <c r="J1040" s="1" t="s">
        <v>1890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3019</v>
      </c>
    </row>
    <row r="1041" spans="1:17" ht="14" customHeight="1" x14ac:dyDescent="0.3">
      <c r="A1041" s="1" t="s">
        <v>1536</v>
      </c>
      <c r="B1041" s="1">
        <v>24</v>
      </c>
      <c r="C1041" s="1" t="s">
        <v>285</v>
      </c>
      <c r="D1041" s="1"/>
      <c r="E1041" s="1"/>
      <c r="F1041" s="1">
        <v>124</v>
      </c>
      <c r="G1041" s="1">
        <v>132</v>
      </c>
      <c r="H1041" s="1" t="s">
        <v>972</v>
      </c>
      <c r="I1041" s="1">
        <v>50</v>
      </c>
      <c r="J1041" s="1" t="s">
        <v>1039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3020</v>
      </c>
    </row>
    <row r="1042" spans="1:17" ht="14" customHeight="1" x14ac:dyDescent="0.3">
      <c r="A1042" s="1" t="s">
        <v>1537</v>
      </c>
      <c r="B1042" s="1">
        <v>21</v>
      </c>
      <c r="C1042" s="1" t="s">
        <v>774</v>
      </c>
      <c r="D1042" s="1"/>
      <c r="E1042" s="1"/>
      <c r="F1042" s="1">
        <v>122</v>
      </c>
      <c r="G1042" s="1">
        <v>140</v>
      </c>
      <c r="H1042" s="1" t="s">
        <v>761</v>
      </c>
      <c r="I1042" s="1">
        <v>110</v>
      </c>
      <c r="J1042" s="1" t="s">
        <v>1039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3021</v>
      </c>
    </row>
    <row r="1043" spans="1:17" ht="14" customHeight="1" x14ac:dyDescent="0.3">
      <c r="A1043" s="1" t="s">
        <v>1538</v>
      </c>
      <c r="B1043" s="1">
        <v>22</v>
      </c>
      <c r="C1043" s="1" t="s">
        <v>542</v>
      </c>
      <c r="D1043" s="1"/>
      <c r="E1043" s="1"/>
      <c r="F1043" s="1">
        <v>111</v>
      </c>
      <c r="G1043" s="1">
        <v>140</v>
      </c>
      <c r="H1043" s="1" t="s">
        <v>324</v>
      </c>
      <c r="I1043" s="1">
        <v>90</v>
      </c>
      <c r="J1043" s="1" t="s">
        <v>1890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3022</v>
      </c>
    </row>
    <row r="1044" spans="1:17" ht="14" customHeight="1" x14ac:dyDescent="0.3">
      <c r="A1044" s="1" t="s">
        <v>1539</v>
      </c>
      <c r="B1044" s="1">
        <v>23</v>
      </c>
      <c r="C1044" s="1" t="s">
        <v>1063</v>
      </c>
      <c r="D1044" s="1"/>
      <c r="E1044" s="1"/>
      <c r="F1044" s="1">
        <v>124</v>
      </c>
      <c r="G1044" s="1">
        <v>136</v>
      </c>
      <c r="H1044" s="1" t="s">
        <v>357</v>
      </c>
      <c r="I1044" s="1">
        <v>100</v>
      </c>
      <c r="J1044" s="1" t="s">
        <v>1039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3023</v>
      </c>
    </row>
    <row r="1045" spans="1:17" ht="14" customHeight="1" x14ac:dyDescent="0.3">
      <c r="A1045" s="1" t="s">
        <v>1540</v>
      </c>
      <c r="B1045" s="1">
        <v>31</v>
      </c>
      <c r="C1045" s="1" t="s">
        <v>1063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1156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3024</v>
      </c>
    </row>
    <row r="1046" spans="1:17" ht="14" customHeight="1" x14ac:dyDescent="0.3">
      <c r="A1046" s="1" t="s">
        <v>1541</v>
      </c>
      <c r="B1046" s="1">
        <v>25</v>
      </c>
      <c r="C1046" s="1" t="s">
        <v>1542</v>
      </c>
      <c r="D1046" s="1"/>
      <c r="E1046" s="1"/>
      <c r="F1046" s="1">
        <v>114</v>
      </c>
      <c r="G1046" s="1">
        <v>126</v>
      </c>
      <c r="H1046" s="1" t="s">
        <v>357</v>
      </c>
      <c r="I1046" s="1">
        <v>90</v>
      </c>
      <c r="J1046" s="1" t="s">
        <v>1156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3025</v>
      </c>
    </row>
    <row r="1047" spans="1:17" ht="14" customHeight="1" x14ac:dyDescent="0.3">
      <c r="A1047" s="1" t="s">
        <v>1543</v>
      </c>
      <c r="B1047" s="1">
        <v>31</v>
      </c>
      <c r="C1047" s="1" t="s">
        <v>1063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1156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3026</v>
      </c>
    </row>
    <row r="1048" spans="1:17" ht="14" customHeight="1" x14ac:dyDescent="0.3">
      <c r="A1048" s="1" t="s">
        <v>1544</v>
      </c>
      <c r="B1048" s="1">
        <v>25</v>
      </c>
      <c r="C1048" s="1" t="s">
        <v>1203</v>
      </c>
      <c r="D1048" s="1"/>
      <c r="E1048" s="1"/>
      <c r="F1048" s="1">
        <v>118</v>
      </c>
      <c r="G1048" s="1">
        <v>132</v>
      </c>
      <c r="H1048" s="1" t="s">
        <v>770</v>
      </c>
      <c r="I1048" s="1">
        <v>100</v>
      </c>
      <c r="J1048" s="1" t="s">
        <v>1156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3027</v>
      </c>
    </row>
    <row r="1049" spans="1:17" ht="14" customHeight="1" x14ac:dyDescent="0.3">
      <c r="A1049" s="1" t="s">
        <v>1545</v>
      </c>
      <c r="B1049" s="1">
        <v>22</v>
      </c>
      <c r="C1049" s="1" t="s">
        <v>1063</v>
      </c>
      <c r="D1049" s="1"/>
      <c r="E1049" s="1"/>
      <c r="F1049" s="1">
        <v>118</v>
      </c>
      <c r="G1049" s="1">
        <v>130</v>
      </c>
      <c r="H1049" s="1" t="s">
        <v>260</v>
      </c>
      <c r="I1049" s="1">
        <v>90</v>
      </c>
      <c r="J1049" s="1" t="s">
        <v>1156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3028</v>
      </c>
    </row>
    <row r="1050" spans="1:17" ht="14" customHeight="1" x14ac:dyDescent="0.3">
      <c r="A1050" s="1" t="s">
        <v>1546</v>
      </c>
      <c r="B1050" s="1">
        <v>25</v>
      </c>
      <c r="C1050" s="1" t="s">
        <v>1063</v>
      </c>
      <c r="D1050" s="1"/>
      <c r="E1050" s="1"/>
      <c r="F1050" s="1">
        <v>118</v>
      </c>
      <c r="G1050" s="1">
        <v>136</v>
      </c>
      <c r="H1050" s="1" t="s">
        <v>357</v>
      </c>
      <c r="I1050" s="1">
        <v>90</v>
      </c>
      <c r="J1050" s="1" t="s">
        <v>1156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3029</v>
      </c>
    </row>
    <row r="1051" spans="1:17" ht="14" customHeight="1" x14ac:dyDescent="0.3">
      <c r="A1051" s="1" t="s">
        <v>1547</v>
      </c>
      <c r="B1051" s="1">
        <v>24</v>
      </c>
      <c r="C1051" s="1" t="s">
        <v>1548</v>
      </c>
      <c r="D1051" s="1"/>
      <c r="E1051" s="1"/>
      <c r="F1051" s="1">
        <v>114</v>
      </c>
      <c r="G1051" s="1">
        <v>132</v>
      </c>
      <c r="H1051" s="1" t="s">
        <v>340</v>
      </c>
      <c r="I1051" s="1">
        <v>100</v>
      </c>
      <c r="J1051" s="1" t="s">
        <v>1156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3030</v>
      </c>
    </row>
    <row r="1052" spans="1:17" ht="14" customHeight="1" x14ac:dyDescent="0.3">
      <c r="A1052" s="1" t="s">
        <v>1549</v>
      </c>
      <c r="B1052" s="1">
        <v>28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1156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3031</v>
      </c>
    </row>
    <row r="1053" spans="1:17" ht="14" customHeight="1" x14ac:dyDescent="0.3">
      <c r="A1053" s="1" t="s">
        <v>1550</v>
      </c>
      <c r="B1053" s="1">
        <v>25</v>
      </c>
      <c r="C1053" s="1" t="s">
        <v>1063</v>
      </c>
      <c r="D1053" s="1"/>
      <c r="E1053" s="1"/>
      <c r="F1053" s="1">
        <v>127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3032</v>
      </c>
    </row>
    <row r="1054" spans="1:17" ht="14" customHeight="1" x14ac:dyDescent="0.3">
      <c r="A1054" s="1" t="s">
        <v>1551</v>
      </c>
      <c r="B1054" s="1">
        <v>28</v>
      </c>
      <c r="C1054" s="1" t="s">
        <v>1063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3033</v>
      </c>
    </row>
    <row r="1055" spans="1:17" ht="14" customHeight="1" x14ac:dyDescent="0.3">
      <c r="A1055" s="1" t="s">
        <v>1552</v>
      </c>
      <c r="B1055" s="1">
        <v>28</v>
      </c>
      <c r="C1055" s="1" t="s">
        <v>1063</v>
      </c>
      <c r="D1055" s="1"/>
      <c r="E1055" s="1"/>
      <c r="F1055" s="1">
        <v>120</v>
      </c>
      <c r="G1055" s="1">
        <v>120</v>
      </c>
      <c r="H1055" s="1" t="s">
        <v>1176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3034</v>
      </c>
    </row>
    <row r="1056" spans="1:17" ht="14" customHeight="1" x14ac:dyDescent="0.3">
      <c r="A1056" s="1" t="s">
        <v>1553</v>
      </c>
      <c r="B1056" s="1">
        <v>36</v>
      </c>
      <c r="C1056" s="1" t="s">
        <v>1063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1735</v>
      </c>
      <c r="K1056" s="1">
        <v>4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3035</v>
      </c>
    </row>
    <row r="1057" spans="1:17" ht="14" customHeight="1" x14ac:dyDescent="0.3">
      <c r="A1057" s="1" t="s">
        <v>1554</v>
      </c>
      <c r="B1057" s="1">
        <v>29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3036</v>
      </c>
    </row>
    <row r="1058" spans="1:17" ht="14" customHeight="1" x14ac:dyDescent="0.3">
      <c r="A1058" s="1" t="s">
        <v>1555</v>
      </c>
      <c r="B1058" s="1">
        <v>30</v>
      </c>
      <c r="C1058" s="1" t="s">
        <v>980</v>
      </c>
      <c r="D1058" s="1"/>
      <c r="E1058" s="1"/>
      <c r="F1058" s="1">
        <v>122</v>
      </c>
      <c r="G1058" s="1">
        <v>125</v>
      </c>
      <c r="H1058" s="1" t="s">
        <v>1556</v>
      </c>
      <c r="I1058" s="1">
        <v>120</v>
      </c>
      <c r="J1058" s="1" t="s">
        <v>1156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3037</v>
      </c>
    </row>
    <row r="1059" spans="1:17" ht="14" customHeight="1" x14ac:dyDescent="0.3">
      <c r="A1059" s="1" t="s">
        <v>1557</v>
      </c>
      <c r="B1059" s="1">
        <v>35</v>
      </c>
      <c r="C1059" s="1" t="s">
        <v>1558</v>
      </c>
      <c r="D1059" s="1"/>
      <c r="E1059" s="1"/>
      <c r="F1059" s="1">
        <v>118</v>
      </c>
      <c r="G1059" s="1">
        <v>122</v>
      </c>
      <c r="H1059" s="1" t="s">
        <v>1440</v>
      </c>
      <c r="I1059" s="1">
        <v>50</v>
      </c>
      <c r="J1059" s="1" t="s">
        <v>1759</v>
      </c>
      <c r="K1059" s="1">
        <v>5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3038</v>
      </c>
    </row>
    <row r="1060" spans="1:17" ht="14" customHeight="1" x14ac:dyDescent="0.3">
      <c r="A1060" s="1" t="s">
        <v>1559</v>
      </c>
      <c r="B1060" s="1">
        <v>36</v>
      </c>
      <c r="C1060" s="1" t="s">
        <v>1011</v>
      </c>
      <c r="D1060" s="1"/>
      <c r="E1060" s="1"/>
      <c r="F1060" s="1">
        <v>104</v>
      </c>
      <c r="G1060" s="1">
        <v>136</v>
      </c>
      <c r="H1060" s="1" t="s">
        <v>545</v>
      </c>
      <c r="I1060" s="1">
        <v>30</v>
      </c>
      <c r="J1060" s="1" t="s">
        <v>1735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3039</v>
      </c>
    </row>
    <row r="1061" spans="1:17" ht="14" customHeight="1" x14ac:dyDescent="0.3">
      <c r="A1061" s="1" t="s">
        <v>1560</v>
      </c>
      <c r="B1061" s="1">
        <v>36</v>
      </c>
      <c r="C1061" s="1" t="s">
        <v>1011</v>
      </c>
      <c r="D1061" s="1"/>
      <c r="E1061" s="1"/>
      <c r="F1061" s="1">
        <v>108</v>
      </c>
      <c r="G1061" s="1">
        <v>126</v>
      </c>
      <c r="H1061" s="1" t="s">
        <v>834</v>
      </c>
      <c r="I1061" s="1">
        <v>24</v>
      </c>
      <c r="J1061" s="1" t="s">
        <v>1735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3040</v>
      </c>
    </row>
    <row r="1062" spans="1:17" ht="14" customHeight="1" x14ac:dyDescent="0.3">
      <c r="A1062" s="1" t="s">
        <v>1561</v>
      </c>
      <c r="B1062" s="1">
        <v>34</v>
      </c>
      <c r="C1062" s="1" t="s">
        <v>1011</v>
      </c>
      <c r="D1062" s="1"/>
      <c r="E1062" s="1"/>
      <c r="F1062" s="1">
        <v>114</v>
      </c>
      <c r="G1062" s="1">
        <v>130</v>
      </c>
      <c r="H1062" s="1" t="s">
        <v>1141</v>
      </c>
      <c r="I1062" s="1">
        <v>60</v>
      </c>
      <c r="J1062" s="1" t="s">
        <v>1039</v>
      </c>
      <c r="K1062" s="1">
        <v>5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3041</v>
      </c>
    </row>
    <row r="1063" spans="1:17" ht="14" customHeight="1" x14ac:dyDescent="0.3">
      <c r="A1063" s="1" t="s">
        <v>1562</v>
      </c>
      <c r="B1063" s="1">
        <v>34</v>
      </c>
      <c r="C1063" s="1" t="s">
        <v>1011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1039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3042</v>
      </c>
    </row>
    <row r="1064" spans="1:17" ht="14" customHeight="1" x14ac:dyDescent="0.3">
      <c r="A1064" s="1" t="s">
        <v>1563</v>
      </c>
      <c r="B1064" s="1">
        <v>35</v>
      </c>
      <c r="C1064" s="1" t="s">
        <v>1011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1923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3043</v>
      </c>
    </row>
    <row r="1065" spans="1:17" ht="14" customHeight="1" x14ac:dyDescent="0.3">
      <c r="A1065" s="1" t="s">
        <v>1564</v>
      </c>
      <c r="B1065" s="1">
        <v>36</v>
      </c>
      <c r="C1065" s="1" t="s">
        <v>1011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1735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3044</v>
      </c>
    </row>
    <row r="1066" spans="1:17" ht="14" customHeight="1" x14ac:dyDescent="0.3">
      <c r="A1066" s="1" t="s">
        <v>1565</v>
      </c>
      <c r="B1066" s="1">
        <v>32</v>
      </c>
      <c r="C1066" s="1" t="s">
        <v>1011</v>
      </c>
      <c r="D1066" s="1"/>
      <c r="E1066" s="1"/>
      <c r="F1066" s="1">
        <v>114</v>
      </c>
      <c r="G1066" s="1">
        <v>136</v>
      </c>
      <c r="H1066" s="1" t="s">
        <v>1143</v>
      </c>
      <c r="I1066" s="1">
        <v>90</v>
      </c>
      <c r="J1066" s="1" t="s">
        <v>1156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3045</v>
      </c>
    </row>
    <row r="1067" spans="1:17" ht="14" customHeight="1" x14ac:dyDescent="0.3">
      <c r="A1067" s="1" t="s">
        <v>1566</v>
      </c>
      <c r="B1067" s="1">
        <v>31</v>
      </c>
      <c r="C1067" s="1" t="s">
        <v>1011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1156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3046</v>
      </c>
    </row>
    <row r="1068" spans="1:17" ht="14" customHeight="1" x14ac:dyDescent="0.3">
      <c r="A1068" s="1" t="s">
        <v>1567</v>
      </c>
      <c r="B1068" s="1">
        <v>32</v>
      </c>
      <c r="C1068" s="1" t="s">
        <v>1011</v>
      </c>
      <c r="D1068" s="1"/>
      <c r="E1068" s="1"/>
      <c r="F1068" s="1">
        <v>112</v>
      </c>
      <c r="G1068" s="1">
        <v>116</v>
      </c>
      <c r="H1068" s="1" t="s">
        <v>1568</v>
      </c>
      <c r="I1068" s="1">
        <v>80</v>
      </c>
      <c r="J1068" s="1" t="s">
        <v>1156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3047</v>
      </c>
    </row>
    <row r="1069" spans="1:17" ht="14" customHeight="1" x14ac:dyDescent="0.3">
      <c r="A1069" s="1" t="s">
        <v>1569</v>
      </c>
      <c r="B1069" s="1">
        <v>32</v>
      </c>
      <c r="C1069" s="1" t="s">
        <v>1011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1156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3048</v>
      </c>
    </row>
    <row r="1070" spans="1:17" ht="14" customHeight="1" x14ac:dyDescent="0.3">
      <c r="A1070" s="1" t="s">
        <v>1570</v>
      </c>
      <c r="B1070" s="1">
        <v>31</v>
      </c>
      <c r="C1070" s="1" t="s">
        <v>1011</v>
      </c>
      <c r="D1070" s="1"/>
      <c r="E1070" s="1"/>
      <c r="F1070" s="1">
        <v>114</v>
      </c>
      <c r="G1070" s="1">
        <v>116</v>
      </c>
      <c r="H1070" s="1" t="s">
        <v>761</v>
      </c>
      <c r="I1070" s="1">
        <v>100</v>
      </c>
      <c r="J1070" s="1" t="s">
        <v>1156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3049</v>
      </c>
    </row>
    <row r="1071" spans="1:17" ht="14" customHeight="1" x14ac:dyDescent="0.3">
      <c r="A1071" s="1" t="s">
        <v>1571</v>
      </c>
      <c r="B1071" s="1">
        <v>31</v>
      </c>
      <c r="C1071" s="1" t="s">
        <v>1011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1156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3050</v>
      </c>
    </row>
    <row r="1072" spans="1:17" ht="14" customHeight="1" x14ac:dyDescent="0.3">
      <c r="A1072" s="1" t="s">
        <v>1572</v>
      </c>
      <c r="B1072" s="1">
        <v>22</v>
      </c>
      <c r="C1072" s="1" t="s">
        <v>1573</v>
      </c>
      <c r="D1072" s="1"/>
      <c r="E1072" s="1"/>
      <c r="F1072" s="1">
        <v>110</v>
      </c>
      <c r="G1072" s="1">
        <v>140</v>
      </c>
      <c r="H1072" s="1" t="s">
        <v>1295</v>
      </c>
      <c r="I1072" s="1">
        <v>60</v>
      </c>
      <c r="J1072" s="1" t="s">
        <v>609</v>
      </c>
      <c r="K1072" s="1">
        <v>5</v>
      </c>
      <c r="L1072" s="1">
        <f t="shared" si="16"/>
        <v>300</v>
      </c>
      <c r="M1072" s="1" t="s">
        <v>38</v>
      </c>
      <c r="N1072" s="1"/>
      <c r="O1072" s="12" t="str">
        <f>IF($J1072=Sheet2!$A$2, ROW(), "")</f>
        <v/>
      </c>
      <c r="Q1072" s="23" t="s">
        <v>3051</v>
      </c>
    </row>
    <row r="1073" spans="1:17" ht="14" customHeight="1" x14ac:dyDescent="0.3">
      <c r="A1073" s="1" t="s">
        <v>1574</v>
      </c>
      <c r="B1073" s="1">
        <v>20</v>
      </c>
      <c r="C1073" s="1" t="s">
        <v>1575</v>
      </c>
      <c r="D1073" s="1"/>
      <c r="E1073" s="1"/>
      <c r="F1073" s="1">
        <v>119</v>
      </c>
      <c r="G1073" s="1">
        <v>150</v>
      </c>
      <c r="H1073" s="1" t="s">
        <v>1576</v>
      </c>
      <c r="I1073" s="1">
        <v>90</v>
      </c>
      <c r="J1073" s="1" t="s">
        <v>609</v>
      </c>
      <c r="K1073" s="1">
        <v>5</v>
      </c>
      <c r="L1073" s="1">
        <f t="shared" si="16"/>
        <v>450</v>
      </c>
      <c r="M1073" s="1" t="s">
        <v>38</v>
      </c>
      <c r="N1073" s="1"/>
      <c r="O1073" s="12" t="str">
        <f>IF($J1073=Sheet2!$A$2, ROW(), "")</f>
        <v/>
      </c>
      <c r="Q1073" s="23" t="s">
        <v>3052</v>
      </c>
    </row>
    <row r="1074" spans="1:17" ht="14" customHeight="1" x14ac:dyDescent="0.3">
      <c r="A1074" s="1" t="s">
        <v>1577</v>
      </c>
      <c r="B1074" s="1">
        <v>38</v>
      </c>
      <c r="C1074" s="1" t="s">
        <v>1578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1917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3053</v>
      </c>
    </row>
    <row r="1075" spans="1:17" ht="14" customHeight="1" x14ac:dyDescent="0.3">
      <c r="A1075" s="1" t="s">
        <v>1579</v>
      </c>
      <c r="B1075" s="1">
        <v>34</v>
      </c>
      <c r="C1075" s="1" t="s">
        <v>1063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1917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3054</v>
      </c>
    </row>
    <row r="1076" spans="1:17" ht="14" customHeight="1" x14ac:dyDescent="0.3">
      <c r="A1076" s="1" t="s">
        <v>1580</v>
      </c>
      <c r="B1076" s="1">
        <v>33</v>
      </c>
      <c r="C1076" s="1" t="s">
        <v>1063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1917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3055</v>
      </c>
    </row>
    <row r="1077" spans="1:17" ht="14" customHeight="1" x14ac:dyDescent="0.3">
      <c r="A1077" s="1" t="s">
        <v>1581</v>
      </c>
      <c r="B1077" s="1">
        <v>39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1582</v>
      </c>
      <c r="I1077" s="1">
        <v>24</v>
      </c>
      <c r="J1077" s="1" t="s">
        <v>1917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3056</v>
      </c>
    </row>
    <row r="1078" spans="1:17" ht="14" customHeight="1" x14ac:dyDescent="0.3">
      <c r="A1078" s="1" t="s">
        <v>1583</v>
      </c>
      <c r="B1078" s="1">
        <v>36</v>
      </c>
      <c r="C1078" s="1" t="s">
        <v>1011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3057</v>
      </c>
    </row>
    <row r="1079" spans="1:17" ht="14" customHeight="1" x14ac:dyDescent="0.3">
      <c r="A1079" s="1" t="s">
        <v>1584</v>
      </c>
      <c r="B1079" s="1">
        <v>22</v>
      </c>
      <c r="C1079" s="1" t="s">
        <v>815</v>
      </c>
      <c r="D1079" s="1"/>
      <c r="E1079" s="1"/>
      <c r="F1079" s="1">
        <v>108</v>
      </c>
      <c r="G1079" s="1">
        <v>120</v>
      </c>
      <c r="H1079" s="1" t="s">
        <v>1585</v>
      </c>
      <c r="I1079" s="1">
        <v>50</v>
      </c>
      <c r="J1079" s="1" t="s">
        <v>561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3058</v>
      </c>
    </row>
    <row r="1080" spans="1:17" ht="14" customHeight="1" x14ac:dyDescent="0.3">
      <c r="A1080" s="1" t="s">
        <v>1586</v>
      </c>
      <c r="B1080" s="1">
        <v>24</v>
      </c>
      <c r="C1080" s="1" t="s">
        <v>815</v>
      </c>
      <c r="D1080" s="1"/>
      <c r="E1080" s="1"/>
      <c r="F1080" s="1">
        <v>120</v>
      </c>
      <c r="G1080" s="1">
        <v>128</v>
      </c>
      <c r="H1080" s="1" t="s">
        <v>357</v>
      </c>
      <c r="I1080" s="1">
        <v>50</v>
      </c>
      <c r="J1080" s="1" t="s">
        <v>561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3059</v>
      </c>
    </row>
    <row r="1081" spans="1:17" ht="14" customHeight="1" x14ac:dyDescent="0.3">
      <c r="A1081" s="1" t="s">
        <v>1587</v>
      </c>
      <c r="B1081" s="1">
        <v>35</v>
      </c>
      <c r="C1081" s="1" t="s">
        <v>815</v>
      </c>
      <c r="D1081" s="1"/>
      <c r="E1081" s="1"/>
      <c r="F1081" s="1">
        <v>116</v>
      </c>
      <c r="G1081" s="1">
        <v>126</v>
      </c>
      <c r="H1081" s="1" t="s">
        <v>1588</v>
      </c>
      <c r="I1081" s="1">
        <v>35</v>
      </c>
      <c r="J1081" s="1" t="s">
        <v>1917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3060</v>
      </c>
    </row>
    <row r="1082" spans="1:17" ht="14" customHeight="1" x14ac:dyDescent="0.3">
      <c r="A1082" s="1" t="s">
        <v>1589</v>
      </c>
      <c r="B1082" s="1">
        <v>34</v>
      </c>
      <c r="C1082" s="1" t="s">
        <v>815</v>
      </c>
      <c r="D1082" s="1"/>
      <c r="E1082" s="1"/>
      <c r="F1082" s="1">
        <v>110</v>
      </c>
      <c r="G1082" s="1">
        <v>130</v>
      </c>
      <c r="H1082" s="1" t="s">
        <v>770</v>
      </c>
      <c r="I1082" s="1">
        <v>35</v>
      </c>
      <c r="J1082" s="1" t="s">
        <v>1917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3061</v>
      </c>
    </row>
    <row r="1083" spans="1:17" ht="14" customHeight="1" x14ac:dyDescent="0.3">
      <c r="A1083" s="1" t="s">
        <v>1590</v>
      </c>
      <c r="B1083" s="1">
        <v>36</v>
      </c>
      <c r="C1083" s="1" t="s">
        <v>734</v>
      </c>
      <c r="D1083" s="1"/>
      <c r="E1083" s="1"/>
      <c r="F1083" s="1">
        <v>120</v>
      </c>
      <c r="G1083" s="1">
        <v>120</v>
      </c>
      <c r="H1083" s="1" t="s">
        <v>1591</v>
      </c>
      <c r="I1083" s="1">
        <v>80</v>
      </c>
      <c r="J1083" s="1" t="s">
        <v>1917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3062</v>
      </c>
    </row>
    <row r="1084" spans="1:17" ht="14" customHeight="1" x14ac:dyDescent="0.3">
      <c r="A1084" s="1" t="s">
        <v>1592</v>
      </c>
      <c r="B1084" s="1">
        <v>38</v>
      </c>
      <c r="C1084" s="1" t="s">
        <v>734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1917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3063</v>
      </c>
    </row>
    <row r="1085" spans="1:17" ht="14" customHeight="1" x14ac:dyDescent="0.3">
      <c r="A1085" s="1" t="s">
        <v>1593</v>
      </c>
      <c r="B1085" s="1">
        <v>33</v>
      </c>
      <c r="C1085" s="1" t="s">
        <v>1427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1917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3064</v>
      </c>
    </row>
    <row r="1086" spans="1:17" ht="14" customHeight="1" x14ac:dyDescent="0.3">
      <c r="A1086" s="1" t="s">
        <v>1594</v>
      </c>
      <c r="B1086" s="1">
        <v>34</v>
      </c>
      <c r="C1086" s="1" t="s">
        <v>1011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1164</v>
      </c>
      <c r="K1086" s="1">
        <v>5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3065</v>
      </c>
    </row>
    <row r="1087" spans="1:17" ht="14" customHeight="1" x14ac:dyDescent="0.3">
      <c r="A1087" s="1" t="s">
        <v>1595</v>
      </c>
      <c r="B1087" s="1">
        <v>25</v>
      </c>
      <c r="C1087" s="1" t="s">
        <v>1596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835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3066</v>
      </c>
    </row>
    <row r="1088" spans="1:17" ht="14" customHeight="1" x14ac:dyDescent="0.3">
      <c r="A1088" s="1" t="s">
        <v>1597</v>
      </c>
      <c r="B1088" s="1">
        <v>26</v>
      </c>
      <c r="C1088" s="1" t="s">
        <v>1011</v>
      </c>
      <c r="D1088" s="1"/>
      <c r="E1088" s="1"/>
      <c r="F1088" s="1">
        <v>123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3067</v>
      </c>
    </row>
    <row r="1089" spans="1:17" ht="14" customHeight="1" x14ac:dyDescent="0.3">
      <c r="A1089" s="1" t="s">
        <v>1598</v>
      </c>
      <c r="B1089" s="1">
        <v>31</v>
      </c>
      <c r="C1089" s="1" t="s">
        <v>1011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3068</v>
      </c>
    </row>
    <row r="1090" spans="1:17" ht="14" customHeight="1" x14ac:dyDescent="0.3">
      <c r="A1090" s="1" t="s">
        <v>1599</v>
      </c>
      <c r="B1090" s="1">
        <v>27</v>
      </c>
      <c r="C1090" s="1" t="s">
        <v>1011</v>
      </c>
      <c r="D1090" s="1"/>
      <c r="E1090" s="1"/>
      <c r="F1090" s="1">
        <v>115</v>
      </c>
      <c r="G1090" s="1">
        <v>120</v>
      </c>
      <c r="H1090" s="1" t="s">
        <v>1600</v>
      </c>
      <c r="I1090" s="1">
        <v>80</v>
      </c>
      <c r="J1090" s="1" t="s">
        <v>1782</v>
      </c>
      <c r="K1090" s="1">
        <v>5</v>
      </c>
      <c r="L1090" s="1">
        <f t="shared" ref="L1090:L1153" si="17">I1090*5</f>
        <v>400</v>
      </c>
      <c r="M1090" s="1" t="s">
        <v>38</v>
      </c>
      <c r="N1090" s="1"/>
      <c r="O1090" s="12" t="str">
        <f>IF($J1090=Sheet2!$A$2, ROW(), "")</f>
        <v/>
      </c>
      <c r="Q1090" s="23" t="s">
        <v>3069</v>
      </c>
    </row>
    <row r="1091" spans="1:17" ht="14" customHeight="1" x14ac:dyDescent="0.3">
      <c r="A1091" s="1" t="s">
        <v>1601</v>
      </c>
      <c r="B1091" s="1">
        <v>20</v>
      </c>
      <c r="C1091" s="1" t="s">
        <v>905</v>
      </c>
      <c r="D1091" s="1"/>
      <c r="E1091" s="1"/>
      <c r="F1091" s="1">
        <v>110</v>
      </c>
      <c r="G1091" s="1">
        <v>140</v>
      </c>
      <c r="H1091" s="1" t="s">
        <v>15</v>
      </c>
      <c r="I1091" s="1">
        <v>60</v>
      </c>
      <c r="J1091" s="1" t="s">
        <v>561</v>
      </c>
      <c r="K1091" s="1">
        <v>5</v>
      </c>
      <c r="L1091" s="1">
        <f t="shared" si="17"/>
        <v>300</v>
      </c>
      <c r="M1091" s="1" t="s">
        <v>38</v>
      </c>
      <c r="N1091" s="1"/>
      <c r="O1091" s="12" t="str">
        <f>IF($J1091=Sheet2!$A$2, ROW(), "")</f>
        <v/>
      </c>
      <c r="Q1091" s="23" t="s">
        <v>3070</v>
      </c>
    </row>
    <row r="1092" spans="1:17" ht="14" customHeight="1" x14ac:dyDescent="0.3">
      <c r="A1092" s="1" t="s">
        <v>1602</v>
      </c>
      <c r="B1092" s="1">
        <v>25</v>
      </c>
      <c r="C1092" s="1" t="s">
        <v>644</v>
      </c>
      <c r="D1092" s="1"/>
      <c r="E1092" s="1"/>
      <c r="F1092" s="1">
        <v>118</v>
      </c>
      <c r="G1092" s="1">
        <v>130</v>
      </c>
      <c r="H1092" s="1" t="s">
        <v>357</v>
      </c>
      <c r="I1092" s="1">
        <v>40</v>
      </c>
      <c r="J1092" s="1" t="s">
        <v>561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3071</v>
      </c>
    </row>
    <row r="1093" spans="1:17" ht="14" customHeight="1" x14ac:dyDescent="0.3">
      <c r="A1093" s="1" t="s">
        <v>1603</v>
      </c>
      <c r="B1093" s="1">
        <v>25</v>
      </c>
      <c r="C1093" s="1" t="s">
        <v>1011</v>
      </c>
      <c r="D1093" s="1"/>
      <c r="E1093" s="1"/>
      <c r="F1093" s="1">
        <v>124</v>
      </c>
      <c r="G1093" s="1">
        <v>124</v>
      </c>
      <c r="H1093" s="1" t="s">
        <v>247</v>
      </c>
      <c r="I1093" s="1">
        <v>50</v>
      </c>
      <c r="J1093" s="1" t="s">
        <v>835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3072</v>
      </c>
    </row>
    <row r="1094" spans="1:17" ht="14" customHeight="1" x14ac:dyDescent="0.3">
      <c r="A1094" s="1" t="s">
        <v>1737</v>
      </c>
      <c r="B1094" s="1">
        <v>24</v>
      </c>
      <c r="C1094" s="1" t="s">
        <v>1738</v>
      </c>
      <c r="D1094" s="1"/>
      <c r="E1094" s="1"/>
      <c r="F1094" s="1">
        <v>127</v>
      </c>
      <c r="G1094" s="1">
        <v>136</v>
      </c>
      <c r="H1094" s="1" t="s">
        <v>1739</v>
      </c>
      <c r="I1094" s="1">
        <v>120</v>
      </c>
      <c r="J1094" s="1" t="s">
        <v>1740</v>
      </c>
      <c r="K1094" s="1">
        <v>6</v>
      </c>
      <c r="L1094" s="1">
        <f t="shared" si="17"/>
        <v>600</v>
      </c>
      <c r="M1094" s="1" t="s">
        <v>1741</v>
      </c>
      <c r="N1094" s="1"/>
      <c r="O1094" s="1" t="str">
        <f>IF($J1094=Sheet2!$A$2, ROW(), "")</f>
        <v/>
      </c>
      <c r="Q1094" s="23" t="s">
        <v>3073</v>
      </c>
    </row>
    <row r="1095" spans="1:17" ht="14" customHeight="1" x14ac:dyDescent="0.3">
      <c r="A1095" s="1" t="s">
        <v>1742</v>
      </c>
      <c r="B1095" s="1">
        <v>22</v>
      </c>
      <c r="C1095" s="1" t="s">
        <v>1743</v>
      </c>
      <c r="D1095" s="1"/>
      <c r="E1095" s="1"/>
      <c r="F1095" s="1">
        <v>127</v>
      </c>
      <c r="G1095" s="1">
        <v>140</v>
      </c>
      <c r="H1095" s="1" t="s">
        <v>1744</v>
      </c>
      <c r="I1095" s="1">
        <v>150</v>
      </c>
      <c r="J1095" s="1" t="s">
        <v>1803</v>
      </c>
      <c r="K1095" s="1">
        <v>6</v>
      </c>
      <c r="L1095" s="1">
        <f t="shared" si="17"/>
        <v>750</v>
      </c>
      <c r="M1095" s="1" t="s">
        <v>1741</v>
      </c>
      <c r="N1095" s="1"/>
      <c r="O1095" s="1" t="str">
        <f>IF($J1095=Sheet2!$A$2, ROW(), "")</f>
        <v/>
      </c>
      <c r="Q1095" s="23" t="s">
        <v>3074</v>
      </c>
    </row>
    <row r="1096" spans="1:17" ht="14" customHeight="1" x14ac:dyDescent="0.3">
      <c r="A1096" s="1" t="s">
        <v>1745</v>
      </c>
      <c r="B1096" s="1">
        <v>32</v>
      </c>
      <c r="C1096" s="1" t="s">
        <v>1746</v>
      </c>
      <c r="D1096" s="1"/>
      <c r="E1096" s="1"/>
      <c r="F1096" s="1">
        <v>116</v>
      </c>
      <c r="G1096" s="1">
        <v>120</v>
      </c>
      <c r="H1096" s="1" t="s">
        <v>1747</v>
      </c>
      <c r="I1096" s="1">
        <v>120</v>
      </c>
      <c r="J1096" s="1" t="s">
        <v>1917</v>
      </c>
      <c r="K1096" s="1">
        <v>6</v>
      </c>
      <c r="L1096" s="1">
        <f t="shared" si="17"/>
        <v>600</v>
      </c>
      <c r="M1096" s="1" t="s">
        <v>1741</v>
      </c>
      <c r="N1096" s="1"/>
      <c r="O1096" s="1" t="str">
        <f>IF($J1096=Sheet2!$A$2, ROW(), "")</f>
        <v/>
      </c>
      <c r="Q1096" s="23" t="s">
        <v>3075</v>
      </c>
    </row>
    <row r="1097" spans="1:17" ht="14" customHeight="1" x14ac:dyDescent="0.3">
      <c r="A1097" s="1" t="s">
        <v>1748</v>
      </c>
      <c r="B1097" s="1">
        <v>32</v>
      </c>
      <c r="C1097" s="1" t="s">
        <v>1746</v>
      </c>
      <c r="D1097" s="1"/>
      <c r="E1097" s="1"/>
      <c r="F1097" s="1">
        <v>116</v>
      </c>
      <c r="G1097" s="1">
        <v>118</v>
      </c>
      <c r="H1097" s="1" t="s">
        <v>1749</v>
      </c>
      <c r="I1097" s="1">
        <v>100</v>
      </c>
      <c r="J1097" s="1" t="s">
        <v>1917</v>
      </c>
      <c r="K1097" s="1">
        <v>6</v>
      </c>
      <c r="L1097" s="1">
        <f t="shared" si="17"/>
        <v>500</v>
      </c>
      <c r="M1097" s="1" t="s">
        <v>1741</v>
      </c>
      <c r="N1097" s="1"/>
      <c r="O1097" s="1" t="str">
        <f>IF($J1097=Sheet2!$A$2, ROW(), "")</f>
        <v/>
      </c>
      <c r="Q1097" s="23" t="s">
        <v>3076</v>
      </c>
    </row>
    <row r="1098" spans="1:17" ht="14" customHeight="1" x14ac:dyDescent="0.3">
      <c r="A1098" s="1" t="s">
        <v>1750</v>
      </c>
      <c r="B1098" s="1">
        <v>21</v>
      </c>
      <c r="C1098" s="1" t="s">
        <v>1751</v>
      </c>
      <c r="D1098" s="1"/>
      <c r="E1098" s="1"/>
      <c r="F1098" s="1">
        <v>106</v>
      </c>
      <c r="G1098" s="1">
        <v>150</v>
      </c>
      <c r="H1098" s="1" t="s">
        <v>1739</v>
      </c>
      <c r="I1098" s="1">
        <v>160</v>
      </c>
      <c r="J1098" s="1" t="s">
        <v>1752</v>
      </c>
      <c r="K1098" s="1">
        <v>6</v>
      </c>
      <c r="L1098" s="1">
        <f t="shared" si="17"/>
        <v>800</v>
      </c>
      <c r="M1098" s="1" t="s">
        <v>1741</v>
      </c>
      <c r="N1098" s="1"/>
      <c r="O1098" s="1" t="str">
        <f>IF($J1098=Sheet2!$A$2, ROW(), "")</f>
        <v/>
      </c>
      <c r="Q1098" s="23" t="s">
        <v>3077</v>
      </c>
    </row>
    <row r="1099" spans="1:17" ht="14" customHeight="1" x14ac:dyDescent="0.3">
      <c r="A1099" s="1" t="s">
        <v>1753</v>
      </c>
      <c r="B1099" s="1">
        <v>23</v>
      </c>
      <c r="C1099" s="1" t="s">
        <v>1751</v>
      </c>
      <c r="D1099" s="1"/>
      <c r="E1099" s="1"/>
      <c r="F1099" s="1">
        <v>108</v>
      </c>
      <c r="G1099" s="1">
        <v>134</v>
      </c>
      <c r="H1099" s="1" t="s">
        <v>1749</v>
      </c>
      <c r="I1099" s="1">
        <v>120</v>
      </c>
      <c r="J1099" s="1" t="s">
        <v>1752</v>
      </c>
      <c r="K1099" s="1">
        <v>6</v>
      </c>
      <c r="L1099" s="1">
        <f t="shared" si="17"/>
        <v>600</v>
      </c>
      <c r="M1099" s="1" t="s">
        <v>1741</v>
      </c>
      <c r="N1099" s="1"/>
      <c r="O1099" s="1" t="str">
        <f>IF($J1099=Sheet2!$A$2, ROW(), "")</f>
        <v/>
      </c>
      <c r="Q1099" s="23" t="s">
        <v>3078</v>
      </c>
    </row>
    <row r="1100" spans="1:17" ht="14" customHeight="1" x14ac:dyDescent="0.3">
      <c r="A1100" s="1" t="s">
        <v>1754</v>
      </c>
      <c r="B1100" s="1">
        <v>19</v>
      </c>
      <c r="C1100" s="1" t="s">
        <v>1755</v>
      </c>
      <c r="D1100" s="1"/>
      <c r="E1100" s="1"/>
      <c r="F1100" s="1">
        <v>78</v>
      </c>
      <c r="G1100" s="1">
        <v>130</v>
      </c>
      <c r="H1100" s="1" t="s">
        <v>1756</v>
      </c>
      <c r="I1100" s="1">
        <v>160</v>
      </c>
      <c r="J1100" s="1" t="s">
        <v>1752</v>
      </c>
      <c r="K1100" s="1">
        <v>8</v>
      </c>
      <c r="L1100" s="1">
        <f t="shared" si="17"/>
        <v>800</v>
      </c>
      <c r="M1100" s="1" t="s">
        <v>1741</v>
      </c>
      <c r="N1100" s="1"/>
      <c r="O1100" s="1" t="str">
        <f>IF($J1100=Sheet2!$A$2, ROW(), "")</f>
        <v/>
      </c>
      <c r="Q1100" s="23" t="s">
        <v>3079</v>
      </c>
    </row>
    <row r="1101" spans="1:17" ht="14" customHeight="1" x14ac:dyDescent="0.3">
      <c r="A1101" s="1" t="s">
        <v>1757</v>
      </c>
      <c r="B1101" s="1">
        <v>22</v>
      </c>
      <c r="C1101" s="1" t="s">
        <v>1758</v>
      </c>
      <c r="D1101" s="1"/>
      <c r="E1101" s="1"/>
      <c r="F1101" s="1">
        <v>130</v>
      </c>
      <c r="G1101" s="1">
        <v>150</v>
      </c>
      <c r="H1101" s="1" t="s">
        <v>1749</v>
      </c>
      <c r="I1101" s="1">
        <v>130</v>
      </c>
      <c r="J1101" s="1" t="s">
        <v>1759</v>
      </c>
      <c r="K1101" s="1">
        <v>6</v>
      </c>
      <c r="L1101" s="1">
        <f t="shared" si="17"/>
        <v>650</v>
      </c>
      <c r="M1101" s="1" t="s">
        <v>1741</v>
      </c>
      <c r="N1101" s="1"/>
      <c r="O1101" s="1" t="str">
        <f>IF($J1101=Sheet2!$A$2, ROW(), "")</f>
        <v/>
      </c>
      <c r="Q1101" s="23" t="s">
        <v>3080</v>
      </c>
    </row>
    <row r="1102" spans="1:17" ht="14" customHeight="1" x14ac:dyDescent="0.3">
      <c r="A1102" s="1" t="s">
        <v>1760</v>
      </c>
      <c r="B1102" s="1">
        <v>24</v>
      </c>
      <c r="C1102" s="1" t="s">
        <v>1746</v>
      </c>
      <c r="D1102" s="1"/>
      <c r="E1102" s="1"/>
      <c r="F1102" s="1">
        <v>123</v>
      </c>
      <c r="G1102" s="1">
        <v>126</v>
      </c>
      <c r="H1102" s="1" t="s">
        <v>1761</v>
      </c>
      <c r="I1102" s="1">
        <v>100</v>
      </c>
      <c r="J1102" s="1" t="s">
        <v>1721</v>
      </c>
      <c r="K1102" s="1">
        <v>6</v>
      </c>
      <c r="L1102" s="1">
        <f t="shared" si="17"/>
        <v>500</v>
      </c>
      <c r="M1102" s="1" t="s">
        <v>1741</v>
      </c>
      <c r="N1102" s="1"/>
      <c r="O1102" s="1" t="str">
        <f>IF($J1102=Sheet2!$A$2, ROW(), "")</f>
        <v/>
      </c>
      <c r="Q1102" s="23" t="s">
        <v>3081</v>
      </c>
    </row>
    <row r="1103" spans="1:17" ht="14" customHeight="1" x14ac:dyDescent="0.3">
      <c r="A1103" s="1" t="s">
        <v>1764</v>
      </c>
      <c r="B1103" s="1">
        <v>24</v>
      </c>
      <c r="C1103" s="1" t="s">
        <v>1765</v>
      </c>
      <c r="D1103" s="1"/>
      <c r="E1103" s="1"/>
      <c r="F1103" s="1">
        <v>131</v>
      </c>
      <c r="G1103" s="1">
        <v>146</v>
      </c>
      <c r="H1103" s="1" t="s">
        <v>1749</v>
      </c>
      <c r="I1103" s="1">
        <v>120</v>
      </c>
      <c r="J1103" s="1" t="s">
        <v>1766</v>
      </c>
      <c r="K1103" s="1">
        <v>6</v>
      </c>
      <c r="L1103" s="1">
        <f t="shared" si="17"/>
        <v>600</v>
      </c>
      <c r="M1103" s="1" t="s">
        <v>1741</v>
      </c>
      <c r="N1103" s="1"/>
      <c r="O1103" s="1" t="str">
        <f>IF($J1103=Sheet2!$A$2, ROW(), "")</f>
        <v/>
      </c>
      <c r="Q1103" s="23" t="s">
        <v>3082</v>
      </c>
    </row>
    <row r="1104" spans="1:17" ht="14" customHeight="1" x14ac:dyDescent="0.3">
      <c r="A1104" s="1" t="s">
        <v>1767</v>
      </c>
      <c r="B1104" s="1">
        <v>20</v>
      </c>
      <c r="C1104" s="1" t="s">
        <v>1768</v>
      </c>
      <c r="D1104" s="1"/>
      <c r="E1104" s="1"/>
      <c r="F1104" s="1">
        <v>131</v>
      </c>
      <c r="G1104" s="1">
        <v>142</v>
      </c>
      <c r="H1104" s="1" t="s">
        <v>1769</v>
      </c>
      <c r="I1104" s="1">
        <v>140</v>
      </c>
      <c r="J1104" s="1" t="s">
        <v>1766</v>
      </c>
      <c r="K1104" s="1">
        <v>7</v>
      </c>
      <c r="L1104" s="1">
        <f t="shared" si="17"/>
        <v>700</v>
      </c>
      <c r="M1104" s="1" t="s">
        <v>1741</v>
      </c>
      <c r="N1104" s="1"/>
      <c r="O1104" s="1" t="str">
        <f>IF($J1104=Sheet2!$A$2, ROW(), "")</f>
        <v/>
      </c>
      <c r="Q1104" s="23" t="s">
        <v>3083</v>
      </c>
    </row>
    <row r="1105" spans="1:17" ht="14" customHeight="1" x14ac:dyDescent="0.3">
      <c r="A1105" s="1" t="s">
        <v>1772</v>
      </c>
      <c r="B1105" s="1">
        <v>22</v>
      </c>
      <c r="C1105" s="1" t="s">
        <v>1773</v>
      </c>
      <c r="D1105" s="1"/>
      <c r="E1105" s="1"/>
      <c r="F1105" s="1">
        <v>132</v>
      </c>
      <c r="G1105" s="1">
        <v>142</v>
      </c>
      <c r="H1105" s="1" t="s">
        <v>1769</v>
      </c>
      <c r="I1105" s="1">
        <v>120</v>
      </c>
      <c r="J1105" s="1" t="s">
        <v>1804</v>
      </c>
      <c r="K1105" s="1">
        <v>6</v>
      </c>
      <c r="L1105" s="1">
        <f t="shared" si="17"/>
        <v>600</v>
      </c>
      <c r="M1105" s="1" t="s">
        <v>1741</v>
      </c>
      <c r="N1105" s="1"/>
      <c r="O1105" s="1" t="str">
        <f>IF($J1105=Sheet2!$A$2, ROW(), "")</f>
        <v/>
      </c>
      <c r="Q1105" s="23" t="s">
        <v>3084</v>
      </c>
    </row>
    <row r="1106" spans="1:17" ht="14" customHeight="1" x14ac:dyDescent="0.3">
      <c r="A1106" s="1" t="s">
        <v>1775</v>
      </c>
      <c r="B1106" s="1">
        <v>21</v>
      </c>
      <c r="C1106" s="1" t="s">
        <v>1776</v>
      </c>
      <c r="D1106" s="1"/>
      <c r="E1106" s="1"/>
      <c r="F1106" s="1">
        <v>122</v>
      </c>
      <c r="G1106" s="1">
        <v>160</v>
      </c>
      <c r="H1106" s="1" t="s">
        <v>1769</v>
      </c>
      <c r="I1106" s="1">
        <v>120</v>
      </c>
      <c r="J1106" s="1" t="s">
        <v>1759</v>
      </c>
      <c r="K1106" s="1">
        <v>6</v>
      </c>
      <c r="L1106" s="1">
        <f t="shared" si="17"/>
        <v>600</v>
      </c>
      <c r="M1106" s="1" t="s">
        <v>1741</v>
      </c>
      <c r="N1106" s="1"/>
      <c r="O1106" s="1" t="str">
        <f>IF($J1106=Sheet2!$A$2, ROW(), "")</f>
        <v/>
      </c>
      <c r="Q1106" s="23" t="s">
        <v>3085</v>
      </c>
    </row>
    <row r="1107" spans="1:17" ht="14" customHeight="1" x14ac:dyDescent="0.3">
      <c r="A1107" s="1" t="s">
        <v>1777</v>
      </c>
      <c r="B1107" s="1">
        <v>27</v>
      </c>
      <c r="C1107" s="1" t="s">
        <v>1778</v>
      </c>
      <c r="D1107" s="1"/>
      <c r="E1107" s="1"/>
      <c r="F1107" s="1">
        <v>104</v>
      </c>
      <c r="G1107" s="1">
        <v>116</v>
      </c>
      <c r="H1107" s="1" t="s">
        <v>1779</v>
      </c>
      <c r="I1107" s="1">
        <v>40</v>
      </c>
      <c r="J1107" s="1" t="s">
        <v>3413</v>
      </c>
      <c r="K1107" s="1">
        <v>6</v>
      </c>
      <c r="L1107" s="1">
        <f t="shared" si="17"/>
        <v>200</v>
      </c>
      <c r="M1107" s="1" t="s">
        <v>1741</v>
      </c>
      <c r="N1107" s="1"/>
      <c r="O1107" s="1" t="str">
        <f>IF($J1107=Sheet2!$A$2, ROW(), "")</f>
        <v/>
      </c>
      <c r="Q1107" s="23" t="s">
        <v>3086</v>
      </c>
    </row>
    <row r="1108" spans="1:17" ht="14" customHeight="1" x14ac:dyDescent="0.3">
      <c r="A1108" s="1" t="s">
        <v>1780</v>
      </c>
      <c r="B1108" s="1">
        <v>23</v>
      </c>
      <c r="C1108" s="1" t="s">
        <v>1778</v>
      </c>
      <c r="D1108" s="1"/>
      <c r="E1108" s="1"/>
      <c r="F1108" s="1">
        <v>116</v>
      </c>
      <c r="G1108" s="1">
        <v>130</v>
      </c>
      <c r="H1108" s="1" t="s">
        <v>1779</v>
      </c>
      <c r="I1108" s="1">
        <v>40</v>
      </c>
      <c r="J1108" s="1" t="s">
        <v>3413</v>
      </c>
      <c r="K1108" s="1">
        <v>6</v>
      </c>
      <c r="L1108" s="1">
        <f t="shared" si="17"/>
        <v>200</v>
      </c>
      <c r="M1108" s="1" t="s">
        <v>1741</v>
      </c>
      <c r="N1108" s="1"/>
      <c r="O1108" s="1" t="str">
        <f>IF($J1108=Sheet2!$A$2, ROW(), "")</f>
        <v/>
      </c>
      <c r="Q1108" s="23" t="s">
        <v>3087</v>
      </c>
    </row>
    <row r="1109" spans="1:17" ht="14" customHeight="1" x14ac:dyDescent="0.3">
      <c r="A1109" s="1" t="s">
        <v>1783</v>
      </c>
      <c r="B1109" s="1">
        <v>24</v>
      </c>
      <c r="C1109" s="1" t="s">
        <v>1746</v>
      </c>
      <c r="D1109" s="1"/>
      <c r="E1109" s="1"/>
      <c r="F1109" s="1">
        <v>120</v>
      </c>
      <c r="G1109" s="1">
        <v>128</v>
      </c>
      <c r="H1109" s="1" t="s">
        <v>1784</v>
      </c>
      <c r="I1109" s="1">
        <v>40</v>
      </c>
      <c r="J1109" s="1" t="s">
        <v>1782</v>
      </c>
      <c r="K1109" s="1">
        <v>6</v>
      </c>
      <c r="L1109" s="1">
        <f t="shared" si="17"/>
        <v>200</v>
      </c>
      <c r="M1109" s="1" t="s">
        <v>1741</v>
      </c>
      <c r="N1109" s="1"/>
      <c r="O1109" s="1" t="str">
        <f>IF($J1109=Sheet2!$A$2, ROW(), "")</f>
        <v/>
      </c>
      <c r="Q1109" s="23" t="s">
        <v>3088</v>
      </c>
    </row>
    <row r="1110" spans="1:17" ht="14" customHeight="1" x14ac:dyDescent="0.3">
      <c r="A1110" s="1" t="s">
        <v>1785</v>
      </c>
      <c r="B1110" s="1">
        <v>23</v>
      </c>
      <c r="C1110" s="1" t="s">
        <v>1746</v>
      </c>
      <c r="D1110" s="1"/>
      <c r="E1110" s="1"/>
      <c r="F1110" s="1">
        <v>111</v>
      </c>
      <c r="G1110" s="1">
        <v>120</v>
      </c>
      <c r="H1110" s="1" t="s">
        <v>1786</v>
      </c>
      <c r="I1110" s="1">
        <v>35</v>
      </c>
      <c r="J1110" s="1" t="s">
        <v>1782</v>
      </c>
      <c r="K1110" s="1">
        <v>6</v>
      </c>
      <c r="L1110" s="1">
        <f t="shared" si="17"/>
        <v>175</v>
      </c>
      <c r="M1110" s="1" t="s">
        <v>1741</v>
      </c>
      <c r="N1110" s="1"/>
      <c r="O1110" s="1" t="str">
        <f>IF($J1110=Sheet2!$A$2, ROW(), "")</f>
        <v/>
      </c>
      <c r="Q1110" s="23" t="s">
        <v>3089</v>
      </c>
    </row>
    <row r="1111" spans="1:17" ht="14" customHeight="1" x14ac:dyDescent="0.3">
      <c r="A1111" s="1" t="s">
        <v>1787</v>
      </c>
      <c r="B1111" s="1">
        <v>23</v>
      </c>
      <c r="C1111" s="1" t="s">
        <v>1746</v>
      </c>
      <c r="D1111" s="1"/>
      <c r="E1111" s="1"/>
      <c r="F1111" s="1">
        <v>103</v>
      </c>
      <c r="G1111" s="1">
        <v>140</v>
      </c>
      <c r="H1111" s="1" t="s">
        <v>1788</v>
      </c>
      <c r="I1111" s="1">
        <v>45</v>
      </c>
      <c r="J1111" s="1" t="s">
        <v>1782</v>
      </c>
      <c r="K1111" s="1">
        <v>6</v>
      </c>
      <c r="L1111" s="1">
        <f t="shared" si="17"/>
        <v>225</v>
      </c>
      <c r="M1111" s="1" t="s">
        <v>1741</v>
      </c>
      <c r="N1111" s="1"/>
      <c r="O1111" s="1" t="str">
        <f>IF($J1111=Sheet2!$A$2, ROW(), "")</f>
        <v/>
      </c>
      <c r="Q1111" s="23" t="s">
        <v>3090</v>
      </c>
    </row>
    <row r="1112" spans="1:17" ht="14" customHeight="1" x14ac:dyDescent="0.3">
      <c r="A1112" s="1" t="s">
        <v>1789</v>
      </c>
      <c r="B1112" s="1">
        <v>25</v>
      </c>
      <c r="C1112" s="1" t="s">
        <v>1746</v>
      </c>
      <c r="D1112" s="1"/>
      <c r="E1112" s="1"/>
      <c r="F1112" s="1">
        <v>118</v>
      </c>
      <c r="G1112" s="1">
        <v>126</v>
      </c>
      <c r="H1112" s="1" t="s">
        <v>1786</v>
      </c>
      <c r="I1112" s="1">
        <v>40</v>
      </c>
      <c r="J1112" s="1" t="s">
        <v>1782</v>
      </c>
      <c r="K1112" s="1">
        <v>6</v>
      </c>
      <c r="L1112" s="1">
        <f t="shared" si="17"/>
        <v>200</v>
      </c>
      <c r="M1112" s="1" t="s">
        <v>1741</v>
      </c>
      <c r="N1112" s="1"/>
      <c r="O1112" s="1" t="str">
        <f>IF($J1112=Sheet2!$A$2, ROW(), "")</f>
        <v/>
      </c>
      <c r="Q1112" s="23" t="s">
        <v>3091</v>
      </c>
    </row>
    <row r="1113" spans="1:17" ht="14" customHeight="1" x14ac:dyDescent="0.3">
      <c r="A1113" s="1" t="s">
        <v>1790</v>
      </c>
      <c r="B1113" s="1">
        <v>19</v>
      </c>
      <c r="C1113" s="1" t="s">
        <v>1791</v>
      </c>
      <c r="D1113" s="1"/>
      <c r="E1113" s="1"/>
      <c r="F1113" s="1">
        <v>70</v>
      </c>
      <c r="G1113" s="1">
        <v>130</v>
      </c>
      <c r="H1113" s="1" t="s">
        <v>1747</v>
      </c>
      <c r="I1113" s="1">
        <v>24</v>
      </c>
      <c r="J1113" s="1" t="s">
        <v>1782</v>
      </c>
      <c r="K1113" s="1">
        <v>6</v>
      </c>
      <c r="L1113" s="1">
        <f t="shared" si="17"/>
        <v>120</v>
      </c>
      <c r="M1113" s="1" t="s">
        <v>1741</v>
      </c>
      <c r="N1113" s="1"/>
      <c r="O1113" s="1" t="str">
        <f>IF($J1113=Sheet2!$A$2, ROW(), "")</f>
        <v/>
      </c>
      <c r="Q1113" s="23" t="s">
        <v>3092</v>
      </c>
    </row>
    <row r="1114" spans="1:17" ht="14" customHeight="1" x14ac:dyDescent="0.3">
      <c r="A1114" s="1" t="s">
        <v>1792</v>
      </c>
      <c r="B1114" s="1">
        <v>24</v>
      </c>
      <c r="C1114" s="1" t="s">
        <v>1793</v>
      </c>
      <c r="D1114" s="1"/>
      <c r="E1114" s="1"/>
      <c r="F1114" s="1">
        <v>115</v>
      </c>
      <c r="G1114" s="1">
        <v>132</v>
      </c>
      <c r="H1114" s="1" t="s">
        <v>1769</v>
      </c>
      <c r="I1114" s="1">
        <v>50</v>
      </c>
      <c r="J1114" s="1" t="s">
        <v>1782</v>
      </c>
      <c r="K1114" s="1">
        <v>6</v>
      </c>
      <c r="L1114" s="1">
        <f t="shared" si="17"/>
        <v>250</v>
      </c>
      <c r="M1114" s="1" t="s">
        <v>1741</v>
      </c>
      <c r="N1114" s="1"/>
      <c r="O1114" s="1" t="str">
        <f>IF($J1114=Sheet2!$A$2, ROW(), "")</f>
        <v/>
      </c>
      <c r="Q1114" s="23" t="s">
        <v>3093</v>
      </c>
    </row>
    <row r="1115" spans="1:17" ht="14" customHeight="1" x14ac:dyDescent="0.3">
      <c r="A1115" s="1" t="s">
        <v>1802</v>
      </c>
      <c r="B1115" s="1">
        <v>27</v>
      </c>
      <c r="C1115" s="1" t="s">
        <v>1799</v>
      </c>
      <c r="D1115" s="1"/>
      <c r="E1115" s="1"/>
      <c r="F1115" s="1">
        <v>110</v>
      </c>
      <c r="G1115" s="1">
        <v>125</v>
      </c>
      <c r="H1115" s="1" t="s">
        <v>1739</v>
      </c>
      <c r="I1115" s="1">
        <v>35</v>
      </c>
      <c r="J1115" s="1" t="s">
        <v>1782</v>
      </c>
      <c r="K1115" s="1">
        <v>6</v>
      </c>
      <c r="L1115" s="1">
        <f t="shared" si="17"/>
        <v>175</v>
      </c>
      <c r="M1115" s="1" t="s">
        <v>1741</v>
      </c>
      <c r="N1115" s="1"/>
      <c r="O1115" s="1" t="str">
        <f>IF($J1115=Sheet2!$A$2, ROW(), "")</f>
        <v/>
      </c>
      <c r="Q1115" s="23" t="s">
        <v>3094</v>
      </c>
    </row>
    <row r="1116" spans="1:17" ht="14" customHeight="1" x14ac:dyDescent="0.3">
      <c r="A1116" s="1" t="s">
        <v>1794</v>
      </c>
      <c r="B1116" s="1">
        <v>22</v>
      </c>
      <c r="C1116" s="1" t="s">
        <v>1795</v>
      </c>
      <c r="D1116" s="1"/>
      <c r="E1116" s="1"/>
      <c r="F1116" s="1">
        <v>116</v>
      </c>
      <c r="G1116" s="1">
        <v>123</v>
      </c>
      <c r="H1116" s="1" t="s">
        <v>1796</v>
      </c>
      <c r="I1116" s="1">
        <v>40</v>
      </c>
      <c r="J1116" s="1" t="s">
        <v>1782</v>
      </c>
      <c r="K1116" s="1">
        <v>6</v>
      </c>
      <c r="L1116" s="1">
        <f t="shared" si="17"/>
        <v>200</v>
      </c>
      <c r="M1116" s="1" t="s">
        <v>1741</v>
      </c>
      <c r="N1116" s="1"/>
      <c r="O1116" s="1" t="str">
        <f>IF($J1116=Sheet2!$A$2, ROW(), "")</f>
        <v/>
      </c>
      <c r="Q1116" s="23" t="s">
        <v>3095</v>
      </c>
    </row>
    <row r="1117" spans="1:17" ht="14" customHeight="1" x14ac:dyDescent="0.3">
      <c r="A1117" s="1" t="s">
        <v>1797</v>
      </c>
      <c r="B1117" s="1">
        <v>22</v>
      </c>
      <c r="C1117" s="1" t="s">
        <v>1795</v>
      </c>
      <c r="D1117" s="1"/>
      <c r="E1117" s="1"/>
      <c r="F1117" s="1">
        <v>112</v>
      </c>
      <c r="G1117" s="1">
        <v>122</v>
      </c>
      <c r="H1117" s="1" t="s">
        <v>1798</v>
      </c>
      <c r="I1117" s="1">
        <v>35</v>
      </c>
      <c r="J1117" s="1" t="s">
        <v>1782</v>
      </c>
      <c r="K1117" s="1">
        <v>6</v>
      </c>
      <c r="L1117" s="1">
        <f t="shared" si="17"/>
        <v>175</v>
      </c>
      <c r="M1117" s="1" t="s">
        <v>1741</v>
      </c>
      <c r="N1117" s="1"/>
      <c r="O1117" s="1" t="str">
        <f>IF($J1117=Sheet2!$A$2, ROW(), "")</f>
        <v/>
      </c>
      <c r="Q1117" s="23" t="s">
        <v>3096</v>
      </c>
    </row>
    <row r="1118" spans="1:17" ht="14" customHeight="1" x14ac:dyDescent="0.3">
      <c r="A1118" s="1" t="s">
        <v>1800</v>
      </c>
      <c r="B1118" s="1">
        <v>25</v>
      </c>
      <c r="C1118" s="1" t="s">
        <v>1801</v>
      </c>
      <c r="D1118" s="1"/>
      <c r="E1118" s="1"/>
      <c r="F1118" s="1">
        <v>120</v>
      </c>
      <c r="G1118" s="1">
        <v>124</v>
      </c>
      <c r="H1118" s="1" t="s">
        <v>1739</v>
      </c>
      <c r="I1118" s="1">
        <v>40</v>
      </c>
      <c r="J1118" s="1" t="s">
        <v>1782</v>
      </c>
      <c r="K1118" s="1">
        <v>6</v>
      </c>
      <c r="L1118" s="1">
        <f t="shared" si="17"/>
        <v>200</v>
      </c>
      <c r="M1118" s="1" t="s">
        <v>1741</v>
      </c>
      <c r="N1118" s="1"/>
      <c r="O1118" s="1" t="str">
        <f>IF($J1118=Sheet2!$A$2, ROW(), "")</f>
        <v/>
      </c>
      <c r="Q1118" s="23" t="s">
        <v>3097</v>
      </c>
    </row>
    <row r="1119" spans="1:17" ht="14" customHeight="1" x14ac:dyDescent="0.3">
      <c r="A1119" s="1" t="s">
        <v>1805</v>
      </c>
      <c r="B1119" s="1">
        <v>27</v>
      </c>
      <c r="C1119" s="1" t="s">
        <v>1806</v>
      </c>
      <c r="D1119" s="1"/>
      <c r="E1119" s="1"/>
      <c r="F1119" s="1">
        <v>114</v>
      </c>
      <c r="G1119" s="1">
        <v>124</v>
      </c>
      <c r="H1119" s="1" t="s">
        <v>1807</v>
      </c>
      <c r="I1119" s="1">
        <v>50</v>
      </c>
      <c r="J1119" s="1" t="s">
        <v>1782</v>
      </c>
      <c r="K1119" s="1">
        <v>6</v>
      </c>
      <c r="L1119" s="1">
        <f t="shared" si="17"/>
        <v>250</v>
      </c>
      <c r="M1119" s="1" t="s">
        <v>1741</v>
      </c>
      <c r="N1119" s="1"/>
      <c r="O1119" s="1" t="str">
        <f>IF($J1119=Sheet2!$A$2, ROW(), "")</f>
        <v/>
      </c>
      <c r="Q1119" s="23" t="s">
        <v>3098</v>
      </c>
    </row>
    <row r="1120" spans="1:17" ht="14" customHeight="1" x14ac:dyDescent="0.3">
      <c r="A1120" s="1" t="s">
        <v>1808</v>
      </c>
      <c r="B1120" s="1">
        <v>24</v>
      </c>
      <c r="C1120" s="1" t="s">
        <v>1809</v>
      </c>
      <c r="D1120" s="1"/>
      <c r="E1120" s="1"/>
      <c r="F1120" s="1">
        <v>126</v>
      </c>
      <c r="G1120" s="1">
        <v>133</v>
      </c>
      <c r="H1120" s="1" t="s">
        <v>1810</v>
      </c>
      <c r="I1120" s="1">
        <v>120</v>
      </c>
      <c r="J1120" s="1" t="s">
        <v>1804</v>
      </c>
      <c r="K1120" s="1">
        <v>6</v>
      </c>
      <c r="L1120" s="1">
        <f t="shared" si="17"/>
        <v>600</v>
      </c>
      <c r="M1120" s="1" t="s">
        <v>1741</v>
      </c>
      <c r="N1120" s="1"/>
      <c r="O1120" s="1" t="str">
        <f>IF($J1120=Sheet2!$A$2, ROW(), "")</f>
        <v/>
      </c>
      <c r="Q1120" s="23" t="s">
        <v>3099</v>
      </c>
    </row>
    <row r="1121" spans="1:17" ht="14" customHeight="1" x14ac:dyDescent="0.3">
      <c r="A1121" s="1" t="s">
        <v>1811</v>
      </c>
      <c r="B1121" s="1">
        <v>23</v>
      </c>
      <c r="C1121" s="1" t="s">
        <v>1768</v>
      </c>
      <c r="D1121" s="1"/>
      <c r="E1121" s="1"/>
      <c r="F1121" s="1">
        <v>128</v>
      </c>
      <c r="G1121" s="1">
        <v>138</v>
      </c>
      <c r="H1121" s="1" t="s">
        <v>1812</v>
      </c>
      <c r="I1121" s="1">
        <v>130</v>
      </c>
      <c r="J1121" s="1" t="s">
        <v>1804</v>
      </c>
      <c r="K1121" s="1">
        <v>6</v>
      </c>
      <c r="L1121" s="1">
        <f t="shared" si="17"/>
        <v>650</v>
      </c>
      <c r="M1121" s="1" t="s">
        <v>1741</v>
      </c>
      <c r="N1121" s="1"/>
      <c r="O1121" s="1" t="str">
        <f>IF($J1121=Sheet2!$A$2, ROW(), "")</f>
        <v/>
      </c>
      <c r="Q1121" s="23" t="s">
        <v>3100</v>
      </c>
    </row>
    <row r="1122" spans="1:17" ht="14" customHeight="1" x14ac:dyDescent="0.3">
      <c r="A1122" s="1" t="s">
        <v>1813</v>
      </c>
      <c r="B1122" s="1">
        <v>23</v>
      </c>
      <c r="C1122" s="1" t="s">
        <v>1814</v>
      </c>
      <c r="D1122" s="1"/>
      <c r="E1122" s="1"/>
      <c r="F1122" s="1">
        <v>126</v>
      </c>
      <c r="G1122" s="1">
        <v>136</v>
      </c>
      <c r="H1122" s="1" t="s">
        <v>1815</v>
      </c>
      <c r="I1122" s="1">
        <v>120</v>
      </c>
      <c r="J1122" s="1" t="s">
        <v>1804</v>
      </c>
      <c r="K1122" s="1">
        <v>6</v>
      </c>
      <c r="L1122" s="1">
        <f t="shared" si="17"/>
        <v>600</v>
      </c>
      <c r="M1122" s="1" t="s">
        <v>1741</v>
      </c>
      <c r="N1122" s="1"/>
      <c r="O1122" s="1" t="str">
        <f>IF($J1122=Sheet2!$A$2, ROW(), "")</f>
        <v/>
      </c>
      <c r="Q1122" s="23" t="s">
        <v>3101</v>
      </c>
    </row>
    <row r="1123" spans="1:17" ht="14" customHeight="1" x14ac:dyDescent="0.3">
      <c r="A1123" s="1" t="s">
        <v>1816</v>
      </c>
      <c r="B1123" s="1">
        <v>23</v>
      </c>
      <c r="C1123" s="1" t="s">
        <v>1817</v>
      </c>
      <c r="D1123" s="1"/>
      <c r="E1123" s="1"/>
      <c r="F1123" s="1">
        <v>96</v>
      </c>
      <c r="G1123" s="1">
        <v>120</v>
      </c>
      <c r="H1123" s="1" t="s">
        <v>1818</v>
      </c>
      <c r="I1123" s="1">
        <v>40</v>
      </c>
      <c r="J1123" s="1" t="s">
        <v>1804</v>
      </c>
      <c r="K1123" s="1">
        <v>6</v>
      </c>
      <c r="L1123" s="1">
        <f t="shared" si="17"/>
        <v>200</v>
      </c>
      <c r="M1123" s="1" t="s">
        <v>1741</v>
      </c>
      <c r="N1123" s="1"/>
      <c r="O1123" s="1" t="str">
        <f>IF($J1123=Sheet2!$A$2, ROW(), "")</f>
        <v/>
      </c>
      <c r="Q1123" s="23" t="s">
        <v>3102</v>
      </c>
    </row>
    <row r="1124" spans="1:17" ht="14" customHeight="1" x14ac:dyDescent="0.3">
      <c r="A1124" s="1" t="s">
        <v>1819</v>
      </c>
      <c r="B1124" s="1">
        <v>24</v>
      </c>
      <c r="C1124" s="1" t="s">
        <v>1817</v>
      </c>
      <c r="D1124" s="1"/>
      <c r="E1124" s="1"/>
      <c r="F1124" s="1">
        <v>119</v>
      </c>
      <c r="G1124" s="1">
        <v>134</v>
      </c>
      <c r="H1124" s="1" t="s">
        <v>1784</v>
      </c>
      <c r="I1124" s="1">
        <v>45</v>
      </c>
      <c r="J1124" s="1" t="s">
        <v>1804</v>
      </c>
      <c r="K1124" s="1">
        <v>6</v>
      </c>
      <c r="L1124" s="1">
        <f t="shared" si="17"/>
        <v>225</v>
      </c>
      <c r="M1124" s="1" t="s">
        <v>1741</v>
      </c>
      <c r="N1124" s="1"/>
      <c r="O1124" s="1" t="str">
        <f>IF($J1124=Sheet2!$A$2, ROW(), "")</f>
        <v/>
      </c>
      <c r="Q1124" s="23" t="s">
        <v>3103</v>
      </c>
    </row>
    <row r="1125" spans="1:17" ht="14" customHeight="1" x14ac:dyDescent="0.3">
      <c r="A1125" s="1" t="s">
        <v>1820</v>
      </c>
      <c r="B1125" s="1">
        <v>26</v>
      </c>
      <c r="C1125" s="1" t="s">
        <v>1817</v>
      </c>
      <c r="D1125" s="1"/>
      <c r="E1125" s="1"/>
      <c r="F1125" s="1">
        <v>116</v>
      </c>
      <c r="G1125" s="1">
        <v>126</v>
      </c>
      <c r="H1125" s="1" t="s">
        <v>1747</v>
      </c>
      <c r="I1125" s="1">
        <v>45</v>
      </c>
      <c r="J1125" s="1" t="s">
        <v>1804</v>
      </c>
      <c r="K1125" s="1">
        <v>6</v>
      </c>
      <c r="L1125" s="1">
        <f t="shared" si="17"/>
        <v>225</v>
      </c>
      <c r="M1125" s="1" t="s">
        <v>1741</v>
      </c>
      <c r="N1125" s="1"/>
      <c r="O1125" s="1" t="str">
        <f>IF($J1125=Sheet2!$A$2, ROW(), "")</f>
        <v/>
      </c>
      <c r="Q1125" s="23" t="s">
        <v>3104</v>
      </c>
    </row>
    <row r="1126" spans="1:17" ht="14" customHeight="1" x14ac:dyDescent="0.3">
      <c r="A1126" s="1" t="s">
        <v>1821</v>
      </c>
      <c r="B1126" s="1">
        <v>23</v>
      </c>
      <c r="C1126" s="1" t="s">
        <v>1822</v>
      </c>
      <c r="D1126" s="1"/>
      <c r="E1126" s="1"/>
      <c r="F1126" s="1">
        <v>128</v>
      </c>
      <c r="G1126" s="1">
        <v>129</v>
      </c>
      <c r="H1126" s="1" t="s">
        <v>1823</v>
      </c>
      <c r="I1126" s="1">
        <v>24</v>
      </c>
      <c r="J1126" s="1" t="s">
        <v>1833</v>
      </c>
      <c r="K1126" s="1">
        <v>5</v>
      </c>
      <c r="L1126" s="1">
        <f t="shared" si="17"/>
        <v>120</v>
      </c>
      <c r="M1126" s="1" t="s">
        <v>1824</v>
      </c>
      <c r="N1126" s="1"/>
      <c r="O1126" s="1" t="str">
        <f>IF($J1126=Sheet2!$A$2, ROW(), "")</f>
        <v/>
      </c>
      <c r="Q1126" s="23" t="s">
        <v>3105</v>
      </c>
    </row>
    <row r="1127" spans="1:17" ht="14" customHeight="1" x14ac:dyDescent="0.3">
      <c r="A1127" s="1" t="s">
        <v>1825</v>
      </c>
      <c r="B1127" s="1">
        <v>20</v>
      </c>
      <c r="C1127" s="1" t="s">
        <v>1826</v>
      </c>
      <c r="D1127" s="1"/>
      <c r="E1127" s="1"/>
      <c r="F1127" s="1">
        <v>124</v>
      </c>
      <c r="G1127" s="1">
        <v>130</v>
      </c>
      <c r="H1127" s="1" t="s">
        <v>1827</v>
      </c>
      <c r="I1127" s="1">
        <v>24</v>
      </c>
      <c r="J1127" s="1" t="s">
        <v>1763</v>
      </c>
      <c r="K1127" s="1">
        <v>5</v>
      </c>
      <c r="L1127" s="1">
        <f t="shared" si="17"/>
        <v>120</v>
      </c>
      <c r="M1127" s="1" t="s">
        <v>1824</v>
      </c>
      <c r="N1127" s="1"/>
      <c r="O1127" s="1">
        <f>IF($J1127=Sheet2!$A$2, ROW(), "")</f>
        <v>1127</v>
      </c>
      <c r="Q1127" s="23" t="s">
        <v>3106</v>
      </c>
    </row>
    <row r="1128" spans="1:17" ht="14" customHeight="1" x14ac:dyDescent="0.3">
      <c r="A1128" s="1" t="s">
        <v>1828</v>
      </c>
      <c r="B1128" s="1">
        <v>21</v>
      </c>
      <c r="C1128" s="1" t="s">
        <v>1829</v>
      </c>
      <c r="D1128" s="1"/>
      <c r="E1128" s="1"/>
      <c r="F1128" s="1">
        <v>123</v>
      </c>
      <c r="G1128" s="1">
        <v>141</v>
      </c>
      <c r="H1128" s="1" t="s">
        <v>1830</v>
      </c>
      <c r="I1128" s="1">
        <v>24</v>
      </c>
      <c r="J1128" s="1" t="s">
        <v>1763</v>
      </c>
      <c r="K1128" s="1">
        <v>5</v>
      </c>
      <c r="L1128" s="1">
        <f t="shared" si="17"/>
        <v>120</v>
      </c>
      <c r="M1128" s="1" t="s">
        <v>1824</v>
      </c>
      <c r="N1128" s="1"/>
      <c r="O1128" s="1">
        <f>IF($J1128=Sheet2!$A$2, ROW(), "")</f>
        <v>1128</v>
      </c>
      <c r="Q1128" s="23" t="s">
        <v>3107</v>
      </c>
    </row>
    <row r="1129" spans="1:17" ht="14" customHeight="1" x14ac:dyDescent="0.3">
      <c r="A1129" s="1" t="s">
        <v>1831</v>
      </c>
      <c r="B1129" s="1">
        <v>19</v>
      </c>
      <c r="C1129" s="1" t="s">
        <v>1832</v>
      </c>
      <c r="D1129" s="1"/>
      <c r="E1129" s="1"/>
      <c r="F1129" s="1">
        <v>130</v>
      </c>
      <c r="G1129" s="1">
        <v>148</v>
      </c>
      <c r="H1129" s="1" t="s">
        <v>1739</v>
      </c>
      <c r="I1129" s="1">
        <v>40</v>
      </c>
      <c r="J1129" s="1" t="s">
        <v>1833</v>
      </c>
      <c r="K1129" s="1">
        <v>6</v>
      </c>
      <c r="L1129" s="1">
        <f t="shared" si="17"/>
        <v>200</v>
      </c>
      <c r="M1129" s="1" t="s">
        <v>1741</v>
      </c>
      <c r="N1129" s="1"/>
      <c r="O1129" s="1" t="str">
        <f>IF($J1129=Sheet2!$A$2, ROW(), "")</f>
        <v/>
      </c>
      <c r="Q1129" s="23" t="s">
        <v>3108</v>
      </c>
    </row>
    <row r="1130" spans="1:17" ht="14" customHeight="1" x14ac:dyDescent="0.3">
      <c r="A1130" s="1" t="s">
        <v>1834</v>
      </c>
      <c r="B1130" s="1">
        <v>22</v>
      </c>
      <c r="C1130" s="1" t="s">
        <v>1829</v>
      </c>
      <c r="D1130" s="1"/>
      <c r="E1130" s="1"/>
      <c r="F1130" s="1">
        <v>128</v>
      </c>
      <c r="G1130" s="1">
        <v>132</v>
      </c>
      <c r="H1130" s="1" t="s">
        <v>1835</v>
      </c>
      <c r="I1130" s="1">
        <v>24</v>
      </c>
      <c r="J1130" s="1" t="s">
        <v>1847</v>
      </c>
      <c r="K1130" s="1">
        <v>5</v>
      </c>
      <c r="L1130" s="1">
        <f t="shared" si="17"/>
        <v>120</v>
      </c>
      <c r="M1130" s="1" t="s">
        <v>1824</v>
      </c>
      <c r="N1130" s="1"/>
      <c r="O1130" s="1" t="str">
        <f>IF($J1130=Sheet2!$A$2, ROW(), "")</f>
        <v/>
      </c>
      <c r="Q1130" s="23" t="s">
        <v>3109</v>
      </c>
    </row>
    <row r="1131" spans="1:17" ht="14" customHeight="1" x14ac:dyDescent="0.3">
      <c r="A1131" s="1" t="s">
        <v>1836</v>
      </c>
      <c r="B1131" s="1">
        <v>20</v>
      </c>
      <c r="C1131" s="1" t="s">
        <v>1829</v>
      </c>
      <c r="D1131" s="1"/>
      <c r="E1131" s="1"/>
      <c r="F1131" s="1">
        <v>124</v>
      </c>
      <c r="G1131" s="1">
        <v>133</v>
      </c>
      <c r="H1131" s="1" t="s">
        <v>1837</v>
      </c>
      <c r="I1131" s="1">
        <v>24</v>
      </c>
      <c r="J1131" s="1" t="s">
        <v>1949</v>
      </c>
      <c r="K1131" s="1">
        <v>5</v>
      </c>
      <c r="L1131" s="1">
        <f t="shared" si="17"/>
        <v>120</v>
      </c>
      <c r="M1131" s="1" t="s">
        <v>1824</v>
      </c>
      <c r="N1131" s="1"/>
      <c r="O1131" s="1" t="str">
        <f>IF($J1131=Sheet2!$A$2, ROW(), "")</f>
        <v/>
      </c>
      <c r="Q1131" s="23" t="s">
        <v>3110</v>
      </c>
    </row>
    <row r="1132" spans="1:17" ht="14" customHeight="1" x14ac:dyDescent="0.3">
      <c r="A1132" s="1" t="s">
        <v>1838</v>
      </c>
      <c r="B1132" s="1">
        <v>21</v>
      </c>
      <c r="C1132" s="1" t="s">
        <v>1829</v>
      </c>
      <c r="D1132" s="1"/>
      <c r="E1132" s="1"/>
      <c r="F1132" s="1">
        <v>128</v>
      </c>
      <c r="G1132" s="1">
        <v>135</v>
      </c>
      <c r="H1132" s="1" t="s">
        <v>1839</v>
      </c>
      <c r="I1132" s="1">
        <v>24</v>
      </c>
      <c r="J1132" s="1" t="s">
        <v>1891</v>
      </c>
      <c r="K1132" s="1">
        <v>5</v>
      </c>
      <c r="L1132" s="1">
        <f t="shared" si="17"/>
        <v>120</v>
      </c>
      <c r="M1132" s="1" t="s">
        <v>1824</v>
      </c>
      <c r="N1132" s="1"/>
      <c r="O1132" s="1" t="str">
        <f>IF($J1132=Sheet2!$A$2, ROW(), "")</f>
        <v/>
      </c>
      <c r="Q1132" s="23" t="s">
        <v>3111</v>
      </c>
    </row>
    <row r="1133" spans="1:17" ht="14" customHeight="1" x14ac:dyDescent="0.3">
      <c r="A1133" s="1" t="s">
        <v>1841</v>
      </c>
      <c r="B1133" s="1">
        <v>22</v>
      </c>
      <c r="C1133" s="1" t="s">
        <v>1829</v>
      </c>
      <c r="D1133" s="1"/>
      <c r="E1133" s="1"/>
      <c r="F1133" s="1">
        <v>126</v>
      </c>
      <c r="G1133" s="1">
        <v>132</v>
      </c>
      <c r="H1133" s="1" t="s">
        <v>1842</v>
      </c>
      <c r="I1133" s="1">
        <v>40</v>
      </c>
      <c r="J1133" s="1" t="s">
        <v>1833</v>
      </c>
      <c r="K1133" s="1">
        <v>6</v>
      </c>
      <c r="L1133" s="1">
        <f t="shared" si="17"/>
        <v>200</v>
      </c>
      <c r="M1133" s="1" t="s">
        <v>1741</v>
      </c>
      <c r="N1133" s="1"/>
      <c r="O1133" s="1" t="str">
        <f>IF($J1133=Sheet2!$A$2, ROW(), "")</f>
        <v/>
      </c>
      <c r="Q1133" s="23" t="s">
        <v>3112</v>
      </c>
    </row>
    <row r="1134" spans="1:17" ht="14" customHeight="1" x14ac:dyDescent="0.3">
      <c r="A1134" s="1" t="s">
        <v>1843</v>
      </c>
      <c r="B1134" s="1">
        <v>21</v>
      </c>
      <c r="C1134" s="1" t="s">
        <v>1829</v>
      </c>
      <c r="D1134" s="1"/>
      <c r="E1134" s="1"/>
      <c r="F1134" s="1">
        <v>127</v>
      </c>
      <c r="G1134" s="1">
        <v>140</v>
      </c>
      <c r="H1134" s="1" t="s">
        <v>1844</v>
      </c>
      <c r="I1134" s="1">
        <v>24</v>
      </c>
      <c r="J1134" s="1" t="s">
        <v>1887</v>
      </c>
      <c r="K1134" s="1">
        <v>5</v>
      </c>
      <c r="L1134" s="1">
        <f t="shared" si="17"/>
        <v>120</v>
      </c>
      <c r="M1134" s="1" t="s">
        <v>1824</v>
      </c>
      <c r="N1134" s="1"/>
      <c r="O1134" s="1" t="str">
        <f>IF($J1134=Sheet2!$A$2, ROW(), "")</f>
        <v/>
      </c>
      <c r="Q1134" s="23" t="s">
        <v>3113</v>
      </c>
    </row>
    <row r="1135" spans="1:17" ht="14" customHeight="1" x14ac:dyDescent="0.3">
      <c r="A1135" s="1" t="s">
        <v>1845</v>
      </c>
      <c r="B1135" s="1">
        <v>21</v>
      </c>
      <c r="C1135" s="1" t="s">
        <v>1829</v>
      </c>
      <c r="D1135" s="1"/>
      <c r="E1135" s="1"/>
      <c r="F1135" s="1">
        <v>124</v>
      </c>
      <c r="G1135" s="1">
        <v>133</v>
      </c>
      <c r="H1135" s="1" t="s">
        <v>1846</v>
      </c>
      <c r="I1135" s="1">
        <v>24</v>
      </c>
      <c r="J1135" s="1" t="s">
        <v>1804</v>
      </c>
      <c r="K1135" s="1">
        <v>5</v>
      </c>
      <c r="L1135" s="1">
        <f t="shared" si="17"/>
        <v>120</v>
      </c>
      <c r="M1135" s="1" t="s">
        <v>1824</v>
      </c>
      <c r="N1135" s="1"/>
      <c r="O1135" s="1" t="str">
        <f>IF($J1135=Sheet2!$A$2, ROW(), "")</f>
        <v/>
      </c>
      <c r="Q1135" s="23" t="s">
        <v>3114</v>
      </c>
    </row>
    <row r="1136" spans="1:17" ht="14" customHeight="1" x14ac:dyDescent="0.3">
      <c r="A1136" s="1" t="s">
        <v>1848</v>
      </c>
      <c r="B1136" s="1">
        <v>21</v>
      </c>
      <c r="C1136" s="1" t="s">
        <v>1849</v>
      </c>
      <c r="D1136" s="1"/>
      <c r="E1136" s="1"/>
      <c r="F1136" s="1">
        <v>134</v>
      </c>
      <c r="G1136" s="1">
        <v>170</v>
      </c>
      <c r="H1136" s="1" t="s">
        <v>1769</v>
      </c>
      <c r="I1136" s="1">
        <v>180</v>
      </c>
      <c r="J1136" s="1" t="s">
        <v>1766</v>
      </c>
      <c r="K1136" s="1">
        <v>7</v>
      </c>
      <c r="L1136" s="1">
        <f t="shared" si="17"/>
        <v>900</v>
      </c>
      <c r="M1136" s="1" t="s">
        <v>1741</v>
      </c>
      <c r="N1136" s="1"/>
      <c r="O1136" s="1" t="str">
        <f>IF($J1136=Sheet2!$A$2, ROW(), "")</f>
        <v/>
      </c>
      <c r="Q1136" s="23" t="s">
        <v>3115</v>
      </c>
    </row>
    <row r="1137" spans="1:17" ht="14" customHeight="1" x14ac:dyDescent="0.3">
      <c r="A1137" s="1" t="s">
        <v>1855</v>
      </c>
      <c r="B1137" s="1">
        <v>24</v>
      </c>
      <c r="C1137" s="1" t="s">
        <v>1856</v>
      </c>
      <c r="D1137" s="1"/>
      <c r="E1137" s="1"/>
      <c r="F1137" s="1">
        <v>122</v>
      </c>
      <c r="G1137" s="1">
        <v>140</v>
      </c>
      <c r="H1137" s="1" t="s">
        <v>1837</v>
      </c>
      <c r="I1137" s="1">
        <v>120</v>
      </c>
      <c r="J1137" s="1" t="s">
        <v>1782</v>
      </c>
      <c r="K1137" s="1">
        <v>6</v>
      </c>
      <c r="L1137" s="1">
        <f t="shared" si="17"/>
        <v>600</v>
      </c>
      <c r="M1137" s="1" t="s">
        <v>1741</v>
      </c>
      <c r="N1137" s="1"/>
      <c r="O1137" s="1" t="str">
        <f>IF($J1137=Sheet2!$A$2, ROW(), "")</f>
        <v/>
      </c>
      <c r="Q1137" s="23" t="s">
        <v>3116</v>
      </c>
    </row>
    <row r="1138" spans="1:17" ht="14" customHeight="1" x14ac:dyDescent="0.3">
      <c r="A1138" s="1" t="s">
        <v>1857</v>
      </c>
      <c r="B1138" s="1">
        <v>24</v>
      </c>
      <c r="C1138" s="1" t="s">
        <v>1858</v>
      </c>
      <c r="D1138" s="1"/>
      <c r="E1138" s="1"/>
      <c r="F1138" s="1">
        <v>129</v>
      </c>
      <c r="G1138" s="1">
        <v>138</v>
      </c>
      <c r="H1138" s="1" t="s">
        <v>1769</v>
      </c>
      <c r="I1138" s="1">
        <v>120</v>
      </c>
      <c r="J1138" s="1" t="s">
        <v>1782</v>
      </c>
      <c r="K1138" s="1">
        <v>6</v>
      </c>
      <c r="L1138" s="1">
        <f t="shared" si="17"/>
        <v>600</v>
      </c>
      <c r="M1138" s="1" t="s">
        <v>1741</v>
      </c>
      <c r="N1138" s="1"/>
      <c r="O1138" s="1" t="str">
        <f>IF($J1138=Sheet2!$A$2, ROW(), "")</f>
        <v/>
      </c>
      <c r="Q1138" s="23" t="s">
        <v>3117</v>
      </c>
    </row>
    <row r="1139" spans="1:17" ht="14" customHeight="1" x14ac:dyDescent="0.3">
      <c r="A1139" s="1" t="s">
        <v>1859</v>
      </c>
      <c r="B1139" s="1">
        <v>26</v>
      </c>
      <c r="C1139" s="1" t="s">
        <v>1860</v>
      </c>
      <c r="D1139" s="1"/>
      <c r="E1139" s="1"/>
      <c r="F1139" s="1">
        <v>130</v>
      </c>
      <c r="G1139" s="1">
        <v>136</v>
      </c>
      <c r="H1139" s="1" t="s">
        <v>1861</v>
      </c>
      <c r="I1139" s="1">
        <v>110</v>
      </c>
      <c r="J1139" s="1" t="s">
        <v>1782</v>
      </c>
      <c r="K1139" s="1">
        <v>6</v>
      </c>
      <c r="L1139" s="1">
        <f t="shared" si="17"/>
        <v>550</v>
      </c>
      <c r="M1139" s="1" t="s">
        <v>1741</v>
      </c>
      <c r="N1139" s="1"/>
      <c r="O1139" s="1" t="str">
        <f>IF($J1139=Sheet2!$A$2, ROW(), "")</f>
        <v/>
      </c>
      <c r="Q1139" s="23" t="s">
        <v>3118</v>
      </c>
    </row>
    <row r="1140" spans="1:17" ht="14" customHeight="1" x14ac:dyDescent="0.3">
      <c r="A1140" s="1" t="s">
        <v>1863</v>
      </c>
      <c r="B1140" s="1">
        <v>27</v>
      </c>
      <c r="C1140" s="1" t="s">
        <v>1864</v>
      </c>
      <c r="D1140" s="1"/>
      <c r="E1140" s="1"/>
      <c r="F1140" s="1">
        <v>117</v>
      </c>
      <c r="G1140" s="1">
        <v>117</v>
      </c>
      <c r="H1140" s="1" t="s">
        <v>1749</v>
      </c>
      <c r="I1140" s="1">
        <v>40</v>
      </c>
      <c r="J1140" s="1" t="s">
        <v>1721</v>
      </c>
      <c r="K1140" s="1">
        <v>5</v>
      </c>
      <c r="L1140" s="1">
        <f t="shared" si="17"/>
        <v>200</v>
      </c>
      <c r="M1140" s="1" t="s">
        <v>1741</v>
      </c>
      <c r="N1140" s="1"/>
      <c r="O1140" s="1" t="str">
        <f>IF($J1140=Sheet2!$A$2, ROW(), "")</f>
        <v/>
      </c>
      <c r="Q1140" s="23" t="s">
        <v>3119</v>
      </c>
    </row>
    <row r="1141" spans="1:17" ht="14" customHeight="1" x14ac:dyDescent="0.3">
      <c r="A1141" s="1" t="s">
        <v>1866</v>
      </c>
      <c r="B1141" s="1">
        <v>34</v>
      </c>
      <c r="C1141" s="1" t="s">
        <v>1746</v>
      </c>
      <c r="D1141" s="1"/>
      <c r="E1141" s="1"/>
      <c r="F1141" s="1">
        <v>118</v>
      </c>
      <c r="G1141" s="1">
        <v>124</v>
      </c>
      <c r="H1141" s="1" t="s">
        <v>1749</v>
      </c>
      <c r="I1141" s="1">
        <v>40</v>
      </c>
      <c r="J1141" s="1" t="s">
        <v>1759</v>
      </c>
      <c r="K1141" s="1">
        <v>6</v>
      </c>
      <c r="L1141" s="1">
        <f t="shared" si="17"/>
        <v>200</v>
      </c>
      <c r="M1141" s="1" t="s">
        <v>1741</v>
      </c>
      <c r="N1141" s="1"/>
      <c r="O1141" s="1" t="str">
        <f>IF($J1141=Sheet2!$A$2, ROW(), "")</f>
        <v/>
      </c>
      <c r="Q1141" s="23" t="s">
        <v>3120</v>
      </c>
    </row>
    <row r="1142" spans="1:17" ht="14" customHeight="1" x14ac:dyDescent="0.3">
      <c r="A1142" s="1" t="s">
        <v>1867</v>
      </c>
      <c r="B1142" s="1">
        <v>25</v>
      </c>
      <c r="C1142" s="1" t="s">
        <v>1795</v>
      </c>
      <c r="D1142" s="1"/>
      <c r="E1142" s="1"/>
      <c r="F1142" s="1">
        <v>101</v>
      </c>
      <c r="G1142" s="1">
        <v>118</v>
      </c>
      <c r="H1142" s="1" t="s">
        <v>1784</v>
      </c>
      <c r="I1142" s="1">
        <v>24</v>
      </c>
      <c r="J1142" s="1" t="s">
        <v>1971</v>
      </c>
      <c r="K1142" s="1">
        <v>6</v>
      </c>
      <c r="L1142" s="1">
        <f t="shared" si="17"/>
        <v>120</v>
      </c>
      <c r="M1142" s="1" t="s">
        <v>1741</v>
      </c>
      <c r="N1142" s="1"/>
      <c r="O1142" s="1" t="str">
        <f>IF($J1142=Sheet2!$A$2, ROW(), "")</f>
        <v/>
      </c>
      <c r="Q1142" s="23" t="s">
        <v>3121</v>
      </c>
    </row>
    <row r="1143" spans="1:17" ht="14" customHeight="1" x14ac:dyDescent="0.3">
      <c r="A1143" s="1" t="s">
        <v>1868</v>
      </c>
      <c r="B1143" s="1">
        <v>23</v>
      </c>
      <c r="C1143" s="1" t="s">
        <v>1869</v>
      </c>
      <c r="D1143" s="1"/>
      <c r="E1143" s="1"/>
      <c r="F1143" s="1">
        <v>118</v>
      </c>
      <c r="G1143" s="1">
        <v>144</v>
      </c>
      <c r="H1143" s="1" t="s">
        <v>1747</v>
      </c>
      <c r="I1143" s="1">
        <v>120</v>
      </c>
      <c r="J1143" s="1" t="s">
        <v>1971</v>
      </c>
      <c r="K1143" s="1">
        <v>6</v>
      </c>
      <c r="L1143" s="1">
        <f t="shared" si="17"/>
        <v>600</v>
      </c>
      <c r="M1143" s="1" t="s">
        <v>1741</v>
      </c>
      <c r="N1143" s="1"/>
      <c r="O1143" s="1" t="str">
        <f>IF($J1143=Sheet2!$A$2, ROW(), "")</f>
        <v/>
      </c>
      <c r="Q1143" s="23" t="s">
        <v>3122</v>
      </c>
    </row>
    <row r="1144" spans="1:17" ht="14" customHeight="1" x14ac:dyDescent="0.3">
      <c r="A1144" s="1" t="s">
        <v>1870</v>
      </c>
      <c r="B1144" s="1">
        <v>33</v>
      </c>
      <c r="C1144" s="1" t="s">
        <v>1776</v>
      </c>
      <c r="D1144" s="1"/>
      <c r="E1144" s="1"/>
      <c r="F1144" s="1">
        <v>122</v>
      </c>
      <c r="G1144" s="1">
        <v>130</v>
      </c>
      <c r="H1144" s="1" t="s">
        <v>1871</v>
      </c>
      <c r="I1144" s="1">
        <v>100</v>
      </c>
      <c r="J1144" s="1" t="s">
        <v>1971</v>
      </c>
      <c r="K1144" s="1">
        <v>6</v>
      </c>
      <c r="L1144" s="1">
        <f t="shared" si="17"/>
        <v>500</v>
      </c>
      <c r="M1144" s="1" t="s">
        <v>1741</v>
      </c>
      <c r="N1144" s="1"/>
      <c r="O1144" s="1" t="str">
        <f>IF($J1144=Sheet2!$A$2, ROW(), "")</f>
        <v/>
      </c>
      <c r="Q1144" s="23" t="s">
        <v>3123</v>
      </c>
    </row>
    <row r="1145" spans="1:17" ht="14" customHeight="1" x14ac:dyDescent="0.3">
      <c r="A1145" s="1" t="s">
        <v>1872</v>
      </c>
      <c r="B1145" s="1">
        <v>25</v>
      </c>
      <c r="C1145" s="1" t="s">
        <v>1873</v>
      </c>
      <c r="D1145" s="1"/>
      <c r="E1145" s="1"/>
      <c r="F1145" s="1">
        <v>118</v>
      </c>
      <c r="G1145" s="1">
        <v>136</v>
      </c>
      <c r="H1145" s="1" t="s">
        <v>1874</v>
      </c>
      <c r="I1145" s="1">
        <v>80</v>
      </c>
      <c r="J1145" s="1" t="s">
        <v>1971</v>
      </c>
      <c r="K1145" s="1">
        <v>6</v>
      </c>
      <c r="L1145" s="1">
        <f t="shared" si="17"/>
        <v>400</v>
      </c>
      <c r="M1145" s="1" t="s">
        <v>1741</v>
      </c>
      <c r="N1145" s="1"/>
      <c r="O1145" s="1" t="str">
        <f>IF($J1145=Sheet2!$A$2, ROW(), "")</f>
        <v/>
      </c>
      <c r="Q1145" s="23" t="s">
        <v>3124</v>
      </c>
    </row>
    <row r="1146" spans="1:17" ht="14" customHeight="1" x14ac:dyDescent="0.3">
      <c r="A1146" s="1" t="s">
        <v>1875</v>
      </c>
      <c r="B1146" s="1">
        <v>22</v>
      </c>
      <c r="C1146" s="1" t="s">
        <v>1876</v>
      </c>
      <c r="D1146" s="1"/>
      <c r="E1146" s="1"/>
      <c r="F1146" s="1">
        <v>106</v>
      </c>
      <c r="G1146" s="1">
        <v>130</v>
      </c>
      <c r="H1146" s="1" t="s">
        <v>1749</v>
      </c>
      <c r="I1146" s="1">
        <v>55</v>
      </c>
      <c r="J1146" s="1" t="s">
        <v>1971</v>
      </c>
      <c r="K1146" s="1">
        <v>6</v>
      </c>
      <c r="L1146" s="1">
        <f t="shared" si="17"/>
        <v>275</v>
      </c>
      <c r="M1146" s="1" t="s">
        <v>1741</v>
      </c>
      <c r="N1146" s="1"/>
      <c r="O1146" s="1" t="str">
        <f>IF($J1146=Sheet2!$A$2, ROW(), "")</f>
        <v/>
      </c>
      <c r="Q1146" s="23" t="s">
        <v>3125</v>
      </c>
    </row>
    <row r="1147" spans="1:17" ht="14" customHeight="1" x14ac:dyDescent="0.3">
      <c r="A1147" s="1" t="s">
        <v>1877</v>
      </c>
      <c r="B1147" s="1">
        <v>29</v>
      </c>
      <c r="C1147" s="1" t="s">
        <v>1746</v>
      </c>
      <c r="D1147" s="1"/>
      <c r="E1147" s="1"/>
      <c r="F1147" s="1">
        <v>115</v>
      </c>
      <c r="G1147" s="1">
        <v>115</v>
      </c>
      <c r="H1147" s="1" t="s">
        <v>1784</v>
      </c>
      <c r="I1147" s="1">
        <v>40</v>
      </c>
      <c r="J1147" s="1" t="s">
        <v>1865</v>
      </c>
      <c r="K1147" s="1">
        <v>5</v>
      </c>
      <c r="L1147" s="1">
        <f t="shared" si="17"/>
        <v>200</v>
      </c>
      <c r="M1147" s="1" t="s">
        <v>1741</v>
      </c>
      <c r="N1147" s="1"/>
      <c r="O1147" s="1" t="str">
        <f>IF($J1147=Sheet2!$A$2, ROW(), "")</f>
        <v/>
      </c>
      <c r="Q1147" s="23" t="s">
        <v>3126</v>
      </c>
    </row>
    <row r="1148" spans="1:17" ht="14" customHeight="1" x14ac:dyDescent="0.3">
      <c r="A1148" s="1" t="s">
        <v>1878</v>
      </c>
      <c r="B1148" s="1">
        <v>22</v>
      </c>
      <c r="C1148" s="1" t="s">
        <v>1879</v>
      </c>
      <c r="D1148" s="1"/>
      <c r="E1148" s="1"/>
      <c r="F1148" s="1">
        <v>108</v>
      </c>
      <c r="G1148" s="1">
        <v>124</v>
      </c>
      <c r="H1148" s="1" t="s">
        <v>1744</v>
      </c>
      <c r="I1148" s="1">
        <v>40</v>
      </c>
      <c r="J1148" s="1" t="s">
        <v>1971</v>
      </c>
      <c r="K1148" s="1">
        <v>6</v>
      </c>
      <c r="L1148" s="1">
        <f t="shared" si="17"/>
        <v>200</v>
      </c>
      <c r="M1148" s="1" t="s">
        <v>1741</v>
      </c>
      <c r="N1148" s="1"/>
      <c r="O1148" s="1" t="str">
        <f>IF($J1148=Sheet2!$A$2, ROW(), "")</f>
        <v/>
      </c>
      <c r="Q1148" s="23" t="s">
        <v>3127</v>
      </c>
    </row>
    <row r="1149" spans="1:17" ht="14" customHeight="1" x14ac:dyDescent="0.3">
      <c r="A1149" s="1" t="s">
        <v>1880</v>
      </c>
      <c r="B1149" s="1">
        <v>27</v>
      </c>
      <c r="C1149" s="1" t="s">
        <v>1881</v>
      </c>
      <c r="D1149" s="1"/>
      <c r="E1149" s="1"/>
      <c r="F1149" s="1">
        <v>114</v>
      </c>
      <c r="G1149" s="1">
        <v>130</v>
      </c>
      <c r="H1149" s="1" t="s">
        <v>1786</v>
      </c>
      <c r="I1149" s="1">
        <v>70</v>
      </c>
      <c r="J1149" s="1" t="s">
        <v>1971</v>
      </c>
      <c r="K1149" s="1">
        <v>6</v>
      </c>
      <c r="L1149" s="1">
        <f t="shared" si="17"/>
        <v>350</v>
      </c>
      <c r="M1149" s="1" t="s">
        <v>1741</v>
      </c>
      <c r="N1149" s="1"/>
      <c r="O1149" s="1" t="str">
        <f>IF($J1149=Sheet2!$A$2, ROW(), "")</f>
        <v/>
      </c>
      <c r="Q1149" s="23" t="s">
        <v>3128</v>
      </c>
    </row>
    <row r="1150" spans="1:17" ht="14" customHeight="1" x14ac:dyDescent="0.3">
      <c r="A1150" s="1" t="s">
        <v>1882</v>
      </c>
      <c r="B1150" s="1">
        <v>23</v>
      </c>
      <c r="C1150" s="1" t="s">
        <v>1746</v>
      </c>
      <c r="D1150" s="1"/>
      <c r="E1150" s="1"/>
      <c r="F1150" s="1">
        <v>116</v>
      </c>
      <c r="G1150" s="1">
        <v>130</v>
      </c>
      <c r="H1150" s="1" t="s">
        <v>1747</v>
      </c>
      <c r="I1150" s="1">
        <v>80</v>
      </c>
      <c r="J1150" s="1" t="s">
        <v>1971</v>
      </c>
      <c r="K1150" s="1">
        <v>6</v>
      </c>
      <c r="L1150" s="1">
        <f t="shared" si="17"/>
        <v>400</v>
      </c>
      <c r="M1150" s="1" t="s">
        <v>1741</v>
      </c>
      <c r="N1150" s="1"/>
      <c r="O1150" s="1" t="str">
        <f>IF($J1150=Sheet2!$A$2, ROW(), "")</f>
        <v/>
      </c>
      <c r="Q1150" s="23" t="s">
        <v>3129</v>
      </c>
    </row>
    <row r="1151" spans="1:17" ht="14" customHeight="1" x14ac:dyDescent="0.3">
      <c r="A1151" s="1" t="s">
        <v>1883</v>
      </c>
      <c r="B1151" s="1">
        <v>25</v>
      </c>
      <c r="C1151" s="1" t="s">
        <v>1746</v>
      </c>
      <c r="D1151" s="1"/>
      <c r="E1151" s="1"/>
      <c r="F1151" s="1">
        <v>106</v>
      </c>
      <c r="G1151" s="1">
        <v>140</v>
      </c>
      <c r="H1151" s="1" t="s">
        <v>1784</v>
      </c>
      <c r="I1151" s="1">
        <v>80</v>
      </c>
      <c r="J1151" s="1" t="s">
        <v>1971</v>
      </c>
      <c r="K1151" s="1">
        <v>6</v>
      </c>
      <c r="L1151" s="1">
        <f t="shared" si="17"/>
        <v>400</v>
      </c>
      <c r="M1151" s="1" t="s">
        <v>1741</v>
      </c>
      <c r="N1151" s="1"/>
      <c r="O1151" s="1" t="str">
        <f>IF($J1151=Sheet2!$A$2, ROW(), "")</f>
        <v/>
      </c>
      <c r="Q1151" s="23" t="s">
        <v>3130</v>
      </c>
    </row>
    <row r="1152" spans="1:17" ht="14" customHeight="1" x14ac:dyDescent="0.3">
      <c r="A1152" s="1" t="s">
        <v>1884</v>
      </c>
      <c r="B1152" s="1">
        <v>30</v>
      </c>
      <c r="C1152" s="1" t="s">
        <v>1885</v>
      </c>
      <c r="D1152" s="1"/>
      <c r="E1152" s="1"/>
      <c r="F1152" s="1">
        <v>116</v>
      </c>
      <c r="G1152" s="1">
        <v>124</v>
      </c>
      <c r="H1152" s="1" t="s">
        <v>1886</v>
      </c>
      <c r="I1152" s="1">
        <v>60</v>
      </c>
      <c r="J1152" s="1" t="s">
        <v>1971</v>
      </c>
      <c r="K1152" s="1">
        <v>6</v>
      </c>
      <c r="L1152" s="1">
        <f t="shared" si="17"/>
        <v>300</v>
      </c>
      <c r="M1152" s="1" t="s">
        <v>1741</v>
      </c>
      <c r="N1152" s="1"/>
      <c r="O1152" s="1" t="str">
        <f>IF($J1152=Sheet2!$A$2, ROW(), "")</f>
        <v/>
      </c>
      <c r="Q1152" s="23" t="s">
        <v>3131</v>
      </c>
    </row>
    <row r="1153" spans="1:17" ht="14" customHeight="1" x14ac:dyDescent="0.3">
      <c r="A1153" s="1" t="s">
        <v>1888</v>
      </c>
      <c r="B1153" s="1">
        <v>25</v>
      </c>
      <c r="C1153" s="1" t="s">
        <v>1889</v>
      </c>
      <c r="D1153" s="1"/>
      <c r="E1153" s="1"/>
      <c r="F1153" s="1">
        <v>126</v>
      </c>
      <c r="G1153" s="1">
        <v>126</v>
      </c>
      <c r="H1153" s="1" t="s">
        <v>1769</v>
      </c>
      <c r="I1153" s="1">
        <v>70</v>
      </c>
      <c r="J1153" s="1" t="s">
        <v>1890</v>
      </c>
      <c r="K1153" s="1">
        <v>6</v>
      </c>
      <c r="L1153" s="1">
        <f t="shared" si="17"/>
        <v>350</v>
      </c>
      <c r="M1153" s="1" t="s">
        <v>1741</v>
      </c>
      <c r="N1153" s="1"/>
      <c r="O1153" s="1" t="str">
        <f>IF($J1153=Sheet2!$A$2, ROW(), "")</f>
        <v/>
      </c>
      <c r="Q1153" s="23" t="s">
        <v>3132</v>
      </c>
    </row>
    <row r="1154" spans="1:17" ht="14" customHeight="1" x14ac:dyDescent="0.3">
      <c r="A1154" s="1" t="s">
        <v>1892</v>
      </c>
      <c r="B1154" s="1">
        <v>26</v>
      </c>
      <c r="C1154" s="1" t="s">
        <v>1889</v>
      </c>
      <c r="D1154" s="1"/>
      <c r="E1154" s="1"/>
      <c r="F1154" s="1">
        <v>131</v>
      </c>
      <c r="G1154" s="1">
        <v>135</v>
      </c>
      <c r="H1154" s="1" t="s">
        <v>3326</v>
      </c>
      <c r="I1154" s="1">
        <v>90</v>
      </c>
      <c r="J1154" s="1" t="s">
        <v>1853</v>
      </c>
      <c r="K1154" s="1">
        <v>6</v>
      </c>
      <c r="L1154" s="1">
        <f t="shared" ref="L1154:L1217" si="18">I1154*5</f>
        <v>450</v>
      </c>
      <c r="M1154" s="1" t="s">
        <v>1741</v>
      </c>
      <c r="N1154" s="1"/>
      <c r="O1154" s="1" t="str">
        <f>IF($J1154=Sheet2!$A$2, ROW(), "")</f>
        <v/>
      </c>
      <c r="Q1154" s="23" t="s">
        <v>3133</v>
      </c>
    </row>
    <row r="1155" spans="1:17" ht="14" customHeight="1" x14ac:dyDescent="0.3">
      <c r="A1155" s="1" t="s">
        <v>1893</v>
      </c>
      <c r="B1155" s="1">
        <v>26</v>
      </c>
      <c r="C1155" s="1" t="s">
        <v>1894</v>
      </c>
      <c r="D1155" s="1"/>
      <c r="E1155" s="1"/>
      <c r="F1155" s="1">
        <v>128</v>
      </c>
      <c r="G1155" s="1">
        <v>133</v>
      </c>
      <c r="H1155" s="1" t="s">
        <v>1861</v>
      </c>
      <c r="I1155" s="1">
        <v>80</v>
      </c>
      <c r="J1155" s="1" t="s">
        <v>1736</v>
      </c>
      <c r="K1155" s="1">
        <v>6</v>
      </c>
      <c r="L1155" s="1">
        <f t="shared" si="18"/>
        <v>400</v>
      </c>
      <c r="M1155" s="1" t="s">
        <v>1741</v>
      </c>
      <c r="N1155" s="1"/>
      <c r="O1155" s="1" t="str">
        <f>IF($J1155=Sheet2!$A$2, ROW(), "")</f>
        <v/>
      </c>
      <c r="Q1155" s="23" t="s">
        <v>3134</v>
      </c>
    </row>
    <row r="1156" spans="1:17" ht="14" customHeight="1" x14ac:dyDescent="0.3">
      <c r="A1156" s="1" t="s">
        <v>1895</v>
      </c>
      <c r="B1156" s="1">
        <v>23</v>
      </c>
      <c r="C1156" s="1" t="s">
        <v>1896</v>
      </c>
      <c r="D1156" s="1"/>
      <c r="E1156" s="1"/>
      <c r="F1156" s="1">
        <v>114</v>
      </c>
      <c r="G1156" s="1">
        <v>128</v>
      </c>
      <c r="H1156" s="1" t="s">
        <v>1897</v>
      </c>
      <c r="I1156" s="1">
        <v>40</v>
      </c>
      <c r="J1156" s="1" t="s">
        <v>1890</v>
      </c>
      <c r="K1156" s="1">
        <v>6</v>
      </c>
      <c r="L1156" s="1">
        <f t="shared" si="18"/>
        <v>200</v>
      </c>
      <c r="M1156" s="1" t="s">
        <v>1741</v>
      </c>
      <c r="N1156" s="1"/>
      <c r="O1156" s="1" t="str">
        <f>IF($J1156=Sheet2!$A$2, ROW(), "")</f>
        <v/>
      </c>
      <c r="Q1156" s="23" t="s">
        <v>3135</v>
      </c>
    </row>
    <row r="1157" spans="1:17" ht="14" customHeight="1" x14ac:dyDescent="0.3">
      <c r="A1157" s="1" t="s">
        <v>1898</v>
      </c>
      <c r="B1157" s="1">
        <v>28</v>
      </c>
      <c r="C1157" s="1" t="s">
        <v>1864</v>
      </c>
      <c r="D1157" s="1"/>
      <c r="E1157" s="1"/>
      <c r="F1157" s="1">
        <v>118</v>
      </c>
      <c r="G1157" s="1">
        <v>124</v>
      </c>
      <c r="H1157" s="1" t="s">
        <v>1899</v>
      </c>
      <c r="I1157" s="1">
        <v>80</v>
      </c>
      <c r="J1157" s="1" t="s">
        <v>3413</v>
      </c>
      <c r="K1157" s="1">
        <v>6</v>
      </c>
      <c r="L1157" s="1">
        <f t="shared" si="18"/>
        <v>400</v>
      </c>
      <c r="M1157" s="1" t="s">
        <v>1741</v>
      </c>
      <c r="N1157" s="1"/>
      <c r="O1157" s="1" t="str">
        <f>IF($J1157=Sheet2!$A$2, ROW(), "")</f>
        <v/>
      </c>
      <c r="Q1157" s="23" t="s">
        <v>3136</v>
      </c>
    </row>
    <row r="1158" spans="1:17" ht="14" customHeight="1" x14ac:dyDescent="0.3">
      <c r="A1158" s="1" t="s">
        <v>1901</v>
      </c>
      <c r="B1158" s="1">
        <v>33</v>
      </c>
      <c r="C1158" s="1" t="s">
        <v>1902</v>
      </c>
      <c r="D1158" s="1"/>
      <c r="E1158" s="1"/>
      <c r="F1158" s="1">
        <v>120</v>
      </c>
      <c r="G1158" s="1">
        <v>132</v>
      </c>
      <c r="H1158" s="1" t="s">
        <v>1739</v>
      </c>
      <c r="I1158" s="1">
        <v>65</v>
      </c>
      <c r="J1158" s="1" t="s">
        <v>1782</v>
      </c>
      <c r="K1158" s="1">
        <v>5</v>
      </c>
      <c r="L1158" s="1">
        <f t="shared" si="18"/>
        <v>325</v>
      </c>
      <c r="M1158" s="1" t="s">
        <v>1824</v>
      </c>
      <c r="N1158" s="1"/>
      <c r="O1158" s="1" t="str">
        <f>IF($J1158=Sheet2!$A$2, ROW(), "")</f>
        <v/>
      </c>
      <c r="Q1158" s="23" t="s">
        <v>3137</v>
      </c>
    </row>
    <row r="1159" spans="1:17" ht="14" customHeight="1" x14ac:dyDescent="0.3">
      <c r="A1159" s="1" t="s">
        <v>1903</v>
      </c>
      <c r="B1159" s="1">
        <v>32</v>
      </c>
      <c r="C1159" s="1" t="s">
        <v>1904</v>
      </c>
      <c r="D1159" s="1"/>
      <c r="E1159" s="1"/>
      <c r="F1159" s="1">
        <v>122</v>
      </c>
      <c r="G1159" s="1">
        <v>136</v>
      </c>
      <c r="H1159" s="1" t="s">
        <v>1905</v>
      </c>
      <c r="I1159" s="1">
        <v>100</v>
      </c>
      <c r="J1159" s="1" t="s">
        <v>1782</v>
      </c>
      <c r="K1159" s="1">
        <v>6</v>
      </c>
      <c r="L1159" s="1">
        <f t="shared" si="18"/>
        <v>500</v>
      </c>
      <c r="M1159" s="1" t="s">
        <v>1741</v>
      </c>
      <c r="N1159" s="1"/>
      <c r="O1159" s="1" t="str">
        <f>IF($J1159=Sheet2!$A$2, ROW(), "")</f>
        <v/>
      </c>
      <c r="Q1159" s="23" t="s">
        <v>3138</v>
      </c>
    </row>
    <row r="1160" spans="1:17" ht="14" customHeight="1" x14ac:dyDescent="0.3">
      <c r="A1160" s="1" t="s">
        <v>1906</v>
      </c>
      <c r="B1160" s="1">
        <v>30</v>
      </c>
      <c r="C1160" s="1" t="s">
        <v>1889</v>
      </c>
      <c r="D1160" s="1"/>
      <c r="E1160" s="1"/>
      <c r="F1160" s="1">
        <v>122</v>
      </c>
      <c r="G1160" s="1">
        <v>122</v>
      </c>
      <c r="H1160" s="1" t="s">
        <v>1739</v>
      </c>
      <c r="I1160" s="1">
        <v>80</v>
      </c>
      <c r="J1160" s="1" t="s">
        <v>1782</v>
      </c>
      <c r="K1160" s="1">
        <v>6</v>
      </c>
      <c r="L1160" s="1">
        <f t="shared" si="18"/>
        <v>400</v>
      </c>
      <c r="M1160" s="1" t="s">
        <v>1824</v>
      </c>
      <c r="N1160" s="1"/>
      <c r="O1160" s="1" t="str">
        <f>IF($J1160=Sheet2!$A$2, ROW(), "")</f>
        <v/>
      </c>
      <c r="Q1160" s="23" t="s">
        <v>3139</v>
      </c>
    </row>
    <row r="1161" spans="1:17" ht="14" customHeight="1" x14ac:dyDescent="0.3">
      <c r="A1161" s="1" t="s">
        <v>1907</v>
      </c>
      <c r="B1161" s="1">
        <v>37</v>
      </c>
      <c r="C1161" s="1" t="s">
        <v>1908</v>
      </c>
      <c r="D1161" s="1"/>
      <c r="E1161" s="1"/>
      <c r="F1161" s="1">
        <v>118</v>
      </c>
      <c r="G1161" s="1">
        <v>136</v>
      </c>
      <c r="H1161" s="1" t="s">
        <v>1769</v>
      </c>
      <c r="I1161" s="1">
        <v>80</v>
      </c>
      <c r="J1161" s="1" t="s">
        <v>3413</v>
      </c>
      <c r="K1161" s="1">
        <v>5</v>
      </c>
      <c r="L1161" s="1">
        <f t="shared" si="18"/>
        <v>400</v>
      </c>
      <c r="M1161" s="1" t="s">
        <v>1824</v>
      </c>
      <c r="N1161" s="1"/>
      <c r="O1161" s="1" t="str">
        <f>IF($J1161=Sheet2!$A$2, ROW(), "")</f>
        <v/>
      </c>
      <c r="Q1161" s="23" t="s">
        <v>3140</v>
      </c>
    </row>
    <row r="1162" spans="1:17" ht="14" customHeight="1" x14ac:dyDescent="0.3">
      <c r="A1162" s="1" t="s">
        <v>1909</v>
      </c>
      <c r="B1162" s="1">
        <v>33</v>
      </c>
      <c r="C1162" s="1" t="s">
        <v>1910</v>
      </c>
      <c r="D1162" s="1"/>
      <c r="E1162" s="1"/>
      <c r="F1162" s="1">
        <v>122</v>
      </c>
      <c r="G1162" s="1">
        <v>143</v>
      </c>
      <c r="H1162" s="1" t="s">
        <v>1769</v>
      </c>
      <c r="I1162" s="1">
        <v>100</v>
      </c>
      <c r="J1162" s="1" t="s">
        <v>1774</v>
      </c>
      <c r="K1162" s="1">
        <v>6</v>
      </c>
      <c r="L1162" s="1">
        <f t="shared" si="18"/>
        <v>500</v>
      </c>
      <c r="M1162" s="1" t="s">
        <v>1741</v>
      </c>
      <c r="N1162" s="1"/>
      <c r="O1162" s="1" t="str">
        <f>IF($J1162=Sheet2!$A$2, ROW(), "")</f>
        <v/>
      </c>
      <c r="Q1162" s="23" t="s">
        <v>3141</v>
      </c>
    </row>
    <row r="1163" spans="1:17" ht="14" customHeight="1" x14ac:dyDescent="0.3">
      <c r="A1163" s="1" t="s">
        <v>1911</v>
      </c>
      <c r="B1163" s="1">
        <v>27</v>
      </c>
      <c r="C1163" s="1" t="s">
        <v>1885</v>
      </c>
      <c r="D1163" s="1"/>
      <c r="E1163" s="1"/>
      <c r="F1163" s="1">
        <v>109</v>
      </c>
      <c r="G1163" s="1">
        <v>121</v>
      </c>
      <c r="H1163" s="1" t="s">
        <v>1779</v>
      </c>
      <c r="I1163" s="1">
        <v>50</v>
      </c>
      <c r="J1163" s="1" t="s">
        <v>1971</v>
      </c>
      <c r="K1163" s="1">
        <v>6</v>
      </c>
      <c r="L1163" s="1">
        <f t="shared" si="18"/>
        <v>250</v>
      </c>
      <c r="M1163" s="1" t="s">
        <v>1741</v>
      </c>
      <c r="N1163" s="1"/>
      <c r="O1163" s="1" t="str">
        <f>IF($J1163=Sheet2!$A$2, ROW(), "")</f>
        <v/>
      </c>
      <c r="Q1163" s="23" t="s">
        <v>3142</v>
      </c>
    </row>
    <row r="1164" spans="1:17" ht="14" customHeight="1" x14ac:dyDescent="0.3">
      <c r="A1164" s="1" t="s">
        <v>1912</v>
      </c>
      <c r="B1164" s="1">
        <v>22</v>
      </c>
      <c r="C1164" s="1" t="s">
        <v>1795</v>
      </c>
      <c r="D1164" s="1"/>
      <c r="E1164" s="1"/>
      <c r="F1164" s="1">
        <v>91</v>
      </c>
      <c r="G1164" s="1">
        <v>124</v>
      </c>
      <c r="H1164" s="1" t="s">
        <v>1913</v>
      </c>
      <c r="I1164" s="1">
        <v>30</v>
      </c>
      <c r="J1164" s="1" t="s">
        <v>1971</v>
      </c>
      <c r="K1164" s="1">
        <v>6</v>
      </c>
      <c r="L1164" s="1">
        <f t="shared" si="18"/>
        <v>150</v>
      </c>
      <c r="M1164" s="1" t="s">
        <v>1741</v>
      </c>
      <c r="N1164" s="1"/>
      <c r="O1164" s="1" t="str">
        <f>IF($J1164=Sheet2!$A$2, ROW(), "")</f>
        <v/>
      </c>
      <c r="Q1164" s="23" t="s">
        <v>3143</v>
      </c>
    </row>
    <row r="1165" spans="1:17" ht="14" customHeight="1" x14ac:dyDescent="0.3">
      <c r="A1165" s="1" t="s">
        <v>1914</v>
      </c>
      <c r="B1165" s="1">
        <v>20</v>
      </c>
      <c r="C1165" s="1" t="s">
        <v>1795</v>
      </c>
      <c r="D1165" s="1"/>
      <c r="E1165" s="1"/>
      <c r="F1165" s="1">
        <v>95</v>
      </c>
      <c r="G1165" s="1">
        <v>129</v>
      </c>
      <c r="H1165" s="1" t="s">
        <v>1739</v>
      </c>
      <c r="I1165" s="1">
        <v>30</v>
      </c>
      <c r="J1165" s="1" t="s">
        <v>1971</v>
      </c>
      <c r="K1165" s="1">
        <v>7</v>
      </c>
      <c r="L1165" s="1">
        <f t="shared" si="18"/>
        <v>150</v>
      </c>
      <c r="M1165" s="1" t="s">
        <v>1741</v>
      </c>
      <c r="N1165" s="1"/>
      <c r="O1165" s="1" t="str">
        <f>IF($J1165=Sheet2!$A$2, ROW(), "")</f>
        <v/>
      </c>
      <c r="Q1165" s="23" t="s">
        <v>3144</v>
      </c>
    </row>
    <row r="1166" spans="1:17" ht="14" customHeight="1" x14ac:dyDescent="0.3">
      <c r="A1166" s="1" t="s">
        <v>1915</v>
      </c>
      <c r="B1166" s="1">
        <v>23</v>
      </c>
      <c r="C1166" s="1" t="s">
        <v>1795</v>
      </c>
      <c r="D1166" s="1"/>
      <c r="E1166" s="1"/>
      <c r="F1166" s="1">
        <v>98</v>
      </c>
      <c r="G1166" s="1">
        <v>126</v>
      </c>
      <c r="H1166" s="1" t="s">
        <v>1779</v>
      </c>
      <c r="I1166" s="1">
        <v>35</v>
      </c>
      <c r="J1166" s="1" t="s">
        <v>1971</v>
      </c>
      <c r="K1166" s="1">
        <v>6</v>
      </c>
      <c r="L1166" s="1">
        <f t="shared" si="18"/>
        <v>175</v>
      </c>
      <c r="M1166" s="1" t="s">
        <v>1741</v>
      </c>
      <c r="N1166" s="1"/>
      <c r="O1166" s="1" t="str">
        <f>IF($J1166=Sheet2!$A$2, ROW(), "")</f>
        <v/>
      </c>
      <c r="Q1166" s="23" t="s">
        <v>3145</v>
      </c>
    </row>
    <row r="1167" spans="1:17" ht="14" customHeight="1" x14ac:dyDescent="0.3">
      <c r="A1167" s="1" t="s">
        <v>1916</v>
      </c>
      <c r="B1167" s="1">
        <v>20</v>
      </c>
      <c r="C1167" s="1" t="s">
        <v>1795</v>
      </c>
      <c r="D1167" s="1"/>
      <c r="E1167" s="1"/>
      <c r="F1167" s="1">
        <v>100</v>
      </c>
      <c r="G1167" s="1">
        <v>129</v>
      </c>
      <c r="H1167" s="1" t="s">
        <v>1769</v>
      </c>
      <c r="I1167" s="1">
        <v>50</v>
      </c>
      <c r="J1167" s="1" t="s">
        <v>1971</v>
      </c>
      <c r="K1167" s="1">
        <v>6</v>
      </c>
      <c r="L1167" s="1">
        <f t="shared" si="18"/>
        <v>250</v>
      </c>
      <c r="M1167" s="1" t="s">
        <v>1741</v>
      </c>
      <c r="N1167" s="1"/>
      <c r="O1167" s="1" t="str">
        <f>IF($J1167=Sheet2!$A$2, ROW(), "")</f>
        <v/>
      </c>
      <c r="Q1167" s="23" t="s">
        <v>3146</v>
      </c>
    </row>
    <row r="1168" spans="1:17" ht="14" customHeight="1" x14ac:dyDescent="0.3">
      <c r="A1168" s="1" t="s">
        <v>1919</v>
      </c>
      <c r="B1168" s="1">
        <v>29</v>
      </c>
      <c r="C1168" s="1" t="s">
        <v>1768</v>
      </c>
      <c r="D1168" s="1"/>
      <c r="E1168" s="1"/>
      <c r="F1168" s="1">
        <v>122</v>
      </c>
      <c r="G1168" s="1">
        <v>150</v>
      </c>
      <c r="H1168" s="1" t="s">
        <v>1739</v>
      </c>
      <c r="I1168" s="1">
        <v>100</v>
      </c>
      <c r="J1168" s="1" t="s">
        <v>1804</v>
      </c>
      <c r="K1168" s="1">
        <v>6</v>
      </c>
      <c r="L1168" s="1">
        <f t="shared" si="18"/>
        <v>500</v>
      </c>
      <c r="M1168" s="1" t="s">
        <v>1741</v>
      </c>
      <c r="N1168" s="1"/>
      <c r="O1168" s="1" t="str">
        <f>IF($J1168=Sheet2!$A$2, ROW(), "")</f>
        <v/>
      </c>
      <c r="Q1168" s="23" t="s">
        <v>3147</v>
      </c>
    </row>
    <row r="1169" spans="1:17" ht="14" customHeight="1" x14ac:dyDescent="0.3">
      <c r="A1169" s="1" t="s">
        <v>1920</v>
      </c>
      <c r="B1169" s="1">
        <v>21</v>
      </c>
      <c r="C1169" s="1" t="s">
        <v>1860</v>
      </c>
      <c r="D1169" s="1"/>
      <c r="E1169" s="1"/>
      <c r="F1169" s="1">
        <v>126</v>
      </c>
      <c r="G1169" s="1">
        <v>150</v>
      </c>
      <c r="H1169" s="1" t="s">
        <v>1739</v>
      </c>
      <c r="I1169" s="1">
        <v>140</v>
      </c>
      <c r="J1169" s="1" t="s">
        <v>1918</v>
      </c>
      <c r="K1169" s="1">
        <v>6</v>
      </c>
      <c r="L1169" s="1">
        <f t="shared" si="18"/>
        <v>700</v>
      </c>
      <c r="M1169" s="1" t="s">
        <v>1741</v>
      </c>
      <c r="N1169" s="1"/>
      <c r="O1169" s="1" t="str">
        <f>IF($J1169=Sheet2!$A$2, ROW(), "")</f>
        <v/>
      </c>
      <c r="Q1169" s="23" t="s">
        <v>3148</v>
      </c>
    </row>
    <row r="1170" spans="1:17" ht="14" customHeight="1" x14ac:dyDescent="0.3">
      <c r="A1170" s="1" t="s">
        <v>1921</v>
      </c>
      <c r="B1170" s="1">
        <v>19</v>
      </c>
      <c r="C1170" s="1" t="s">
        <v>1922</v>
      </c>
      <c r="D1170" s="1"/>
      <c r="E1170" s="1"/>
      <c r="F1170" s="1">
        <v>128</v>
      </c>
      <c r="G1170" s="1">
        <v>160</v>
      </c>
      <c r="H1170" s="1" t="s">
        <v>1769</v>
      </c>
      <c r="I1170" s="1">
        <v>120</v>
      </c>
      <c r="J1170" s="1" t="s">
        <v>1923</v>
      </c>
      <c r="K1170" s="1">
        <v>8</v>
      </c>
      <c r="L1170" s="1">
        <f t="shared" si="18"/>
        <v>600</v>
      </c>
      <c r="M1170" s="1" t="s">
        <v>1741</v>
      </c>
      <c r="N1170" s="1"/>
      <c r="O1170" s="1" t="str">
        <f>IF($J1170=Sheet2!$A$2, ROW(), "")</f>
        <v/>
      </c>
      <c r="Q1170" s="23" t="s">
        <v>3149</v>
      </c>
    </row>
    <row r="1171" spans="1:17" ht="14" customHeight="1" x14ac:dyDescent="0.3">
      <c r="A1171" s="1" t="s">
        <v>1924</v>
      </c>
      <c r="B1171" s="1">
        <v>21</v>
      </c>
      <c r="C1171" s="1" t="s">
        <v>1925</v>
      </c>
      <c r="D1171" s="1"/>
      <c r="E1171" s="1"/>
      <c r="F1171" s="1">
        <v>132</v>
      </c>
      <c r="G1171" s="1">
        <v>160</v>
      </c>
      <c r="H1171" s="1" t="s">
        <v>1823</v>
      </c>
      <c r="I1171" s="1">
        <v>130</v>
      </c>
      <c r="J1171" s="1" t="s">
        <v>1865</v>
      </c>
      <c r="K1171" s="1">
        <v>6</v>
      </c>
      <c r="L1171" s="1">
        <f t="shared" si="18"/>
        <v>650</v>
      </c>
      <c r="M1171" s="1" t="s">
        <v>1741</v>
      </c>
      <c r="N1171" s="1"/>
      <c r="O1171" s="1" t="str">
        <f>IF($J1171=Sheet2!$A$2, ROW(), "")</f>
        <v/>
      </c>
      <c r="Q1171" s="23" t="s">
        <v>3150</v>
      </c>
    </row>
    <row r="1172" spans="1:17" ht="14" customHeight="1" x14ac:dyDescent="0.3">
      <c r="A1172" s="1" t="s">
        <v>1928</v>
      </c>
      <c r="B1172" s="1">
        <v>31</v>
      </c>
      <c r="C1172" s="1" t="s">
        <v>1860</v>
      </c>
      <c r="D1172" s="1"/>
      <c r="E1172" s="1"/>
      <c r="F1172" s="1">
        <v>121</v>
      </c>
      <c r="G1172" s="1">
        <v>154</v>
      </c>
      <c r="H1172" s="1" t="s">
        <v>1739</v>
      </c>
      <c r="I1172" s="1">
        <v>170</v>
      </c>
      <c r="J1172" s="1" t="s">
        <v>1918</v>
      </c>
      <c r="K1172" s="1">
        <v>6</v>
      </c>
      <c r="L1172" s="1">
        <f t="shared" si="18"/>
        <v>850</v>
      </c>
      <c r="M1172" s="1" t="s">
        <v>1741</v>
      </c>
      <c r="N1172" s="1"/>
      <c r="O1172" s="1" t="str">
        <f>IF($J1172=Sheet2!$A$2, ROW(), "")</f>
        <v/>
      </c>
      <c r="Q1172" s="23" t="s">
        <v>3151</v>
      </c>
    </row>
    <row r="1173" spans="1:17" ht="14" customHeight="1" x14ac:dyDescent="0.3">
      <c r="A1173" s="1" t="s">
        <v>1929</v>
      </c>
      <c r="B1173" s="1">
        <v>33</v>
      </c>
      <c r="C1173" s="1" t="s">
        <v>1889</v>
      </c>
      <c r="D1173" s="1"/>
      <c r="E1173" s="1"/>
      <c r="F1173" s="1">
        <v>120</v>
      </c>
      <c r="G1173" s="1">
        <v>132</v>
      </c>
      <c r="H1173" s="1" t="s">
        <v>1930</v>
      </c>
      <c r="I1173" s="1">
        <v>120</v>
      </c>
      <c r="J1173" s="1" t="s">
        <v>1918</v>
      </c>
      <c r="K1173" s="1">
        <v>6</v>
      </c>
      <c r="L1173" s="1">
        <f t="shared" si="18"/>
        <v>600</v>
      </c>
      <c r="M1173" s="1" t="s">
        <v>1741</v>
      </c>
      <c r="N1173" s="1"/>
      <c r="O1173" s="1" t="str">
        <f>IF($J1173=Sheet2!$A$2, ROW(), "")</f>
        <v/>
      </c>
      <c r="Q1173" s="23" t="s">
        <v>3152</v>
      </c>
    </row>
    <row r="1174" spans="1:17" ht="14" customHeight="1" x14ac:dyDescent="0.3">
      <c r="A1174" s="1" t="s">
        <v>1932</v>
      </c>
      <c r="B1174" s="1">
        <v>33</v>
      </c>
      <c r="C1174" s="1" t="s">
        <v>1933</v>
      </c>
      <c r="D1174" s="1"/>
      <c r="E1174" s="1"/>
      <c r="F1174" s="1">
        <v>122</v>
      </c>
      <c r="G1174" s="1">
        <v>134</v>
      </c>
      <c r="H1174" s="1" t="s">
        <v>1886</v>
      </c>
      <c r="I1174" s="1">
        <v>160</v>
      </c>
      <c r="J1174" s="1" t="s">
        <v>1971</v>
      </c>
      <c r="K1174" s="1">
        <v>6</v>
      </c>
      <c r="L1174" s="1">
        <f t="shared" si="18"/>
        <v>800</v>
      </c>
      <c r="M1174" s="1" t="s">
        <v>1741</v>
      </c>
      <c r="N1174" s="1"/>
      <c r="O1174" s="1" t="str">
        <f>IF($J1174=Sheet2!$A$2, ROW(), "")</f>
        <v/>
      </c>
      <c r="Q1174" s="23" t="s">
        <v>3153</v>
      </c>
    </row>
    <row r="1175" spans="1:17" ht="14" customHeight="1" x14ac:dyDescent="0.3">
      <c r="A1175" s="1" t="s">
        <v>1934</v>
      </c>
      <c r="B1175" s="1">
        <v>28</v>
      </c>
      <c r="C1175" s="1" t="s">
        <v>1889</v>
      </c>
      <c r="D1175" s="1"/>
      <c r="E1175" s="1"/>
      <c r="F1175" s="1">
        <v>122</v>
      </c>
      <c r="G1175" s="1">
        <v>134</v>
      </c>
      <c r="H1175" s="1" t="s">
        <v>1784</v>
      </c>
      <c r="I1175" s="1">
        <v>120</v>
      </c>
      <c r="J1175" s="1" t="s">
        <v>1971</v>
      </c>
      <c r="K1175" s="1">
        <v>6</v>
      </c>
      <c r="L1175" s="1">
        <f t="shared" si="18"/>
        <v>600</v>
      </c>
      <c r="M1175" s="1" t="s">
        <v>1741</v>
      </c>
      <c r="N1175" s="1"/>
      <c r="O1175" s="1" t="str">
        <f>IF($J1175=Sheet2!$A$2, ROW(), "")</f>
        <v/>
      </c>
      <c r="Q1175" s="23" t="s">
        <v>3154</v>
      </c>
    </row>
    <row r="1176" spans="1:17" ht="14" customHeight="1" x14ac:dyDescent="0.3">
      <c r="A1176" s="1" t="s">
        <v>1935</v>
      </c>
      <c r="B1176" s="1">
        <v>30</v>
      </c>
      <c r="C1176" s="1" t="s">
        <v>1746</v>
      </c>
      <c r="D1176" s="1"/>
      <c r="E1176" s="1"/>
      <c r="F1176" s="1">
        <v>120</v>
      </c>
      <c r="G1176" s="1">
        <v>120</v>
      </c>
      <c r="H1176" s="1" t="s">
        <v>1936</v>
      </c>
      <c r="I1176" s="1">
        <v>40</v>
      </c>
      <c r="J1176" s="1" t="s">
        <v>1721</v>
      </c>
      <c r="K1176" s="1">
        <v>5</v>
      </c>
      <c r="L1176" s="1">
        <f t="shared" si="18"/>
        <v>200</v>
      </c>
      <c r="M1176" s="1" t="s">
        <v>1741</v>
      </c>
      <c r="N1176" s="1"/>
      <c r="O1176" s="1" t="str">
        <f>IF($J1176=Sheet2!$A$2, ROW(), "")</f>
        <v/>
      </c>
      <c r="Q1176" s="23" t="s">
        <v>3155</v>
      </c>
    </row>
    <row r="1177" spans="1:17" ht="14" customHeight="1" x14ac:dyDescent="0.3">
      <c r="A1177" s="1" t="s">
        <v>1937</v>
      </c>
      <c r="B1177" s="1">
        <v>21</v>
      </c>
      <c r="C1177" s="1" t="s">
        <v>1738</v>
      </c>
      <c r="D1177" s="1"/>
      <c r="E1177" s="1"/>
      <c r="F1177" s="1">
        <v>123</v>
      </c>
      <c r="G1177" s="1">
        <v>150</v>
      </c>
      <c r="H1177" s="1" t="s">
        <v>1769</v>
      </c>
      <c r="I1177" s="1">
        <v>120</v>
      </c>
      <c r="J1177" s="1" t="s">
        <v>1923</v>
      </c>
      <c r="K1177" s="1">
        <v>8</v>
      </c>
      <c r="L1177" s="1">
        <f t="shared" si="18"/>
        <v>600</v>
      </c>
      <c r="M1177" s="1" t="s">
        <v>1741</v>
      </c>
      <c r="N1177" s="1"/>
      <c r="O1177" s="1" t="str">
        <f>IF($J1177=Sheet2!$A$2, ROW(), "")</f>
        <v/>
      </c>
      <c r="Q1177" s="23" t="s">
        <v>3156</v>
      </c>
    </row>
    <row r="1178" spans="1:17" ht="14" customHeight="1" x14ac:dyDescent="0.3">
      <c r="A1178" s="1" t="s">
        <v>1938</v>
      </c>
      <c r="B1178" s="1">
        <v>23</v>
      </c>
      <c r="C1178" s="1" t="s">
        <v>1939</v>
      </c>
      <c r="D1178" s="1"/>
      <c r="E1178" s="1"/>
      <c r="F1178" s="1">
        <v>132</v>
      </c>
      <c r="G1178" s="1">
        <v>142</v>
      </c>
      <c r="H1178" s="1" t="s">
        <v>1940</v>
      </c>
      <c r="I1178" s="1">
        <v>120</v>
      </c>
      <c r="J1178" s="1" t="s">
        <v>1865</v>
      </c>
      <c r="K1178" s="1">
        <v>6</v>
      </c>
      <c r="L1178" s="1">
        <f t="shared" si="18"/>
        <v>600</v>
      </c>
      <c r="M1178" s="1" t="s">
        <v>1741</v>
      </c>
      <c r="N1178" s="1"/>
      <c r="O1178" s="1" t="str">
        <f>IF($J1178=Sheet2!$A$2, ROW(), "")</f>
        <v/>
      </c>
      <c r="Q1178" s="23" t="s">
        <v>3157</v>
      </c>
    </row>
    <row r="1179" spans="1:17" ht="14" customHeight="1" x14ac:dyDescent="0.3">
      <c r="A1179" s="1" t="s">
        <v>1941</v>
      </c>
      <c r="B1179" s="1">
        <v>19</v>
      </c>
      <c r="C1179" s="1" t="s">
        <v>1942</v>
      </c>
      <c r="D1179" s="1"/>
      <c r="E1179" s="1"/>
      <c r="F1179" s="1">
        <v>105</v>
      </c>
      <c r="G1179" s="1">
        <v>150</v>
      </c>
      <c r="H1179" s="1" t="s">
        <v>1784</v>
      </c>
      <c r="I1179" s="1">
        <v>24</v>
      </c>
      <c r="J1179" s="1" t="s">
        <v>1923</v>
      </c>
      <c r="K1179" s="1">
        <v>9</v>
      </c>
      <c r="L1179" s="1">
        <f t="shared" si="18"/>
        <v>120</v>
      </c>
      <c r="M1179" s="1" t="s">
        <v>1741</v>
      </c>
      <c r="N1179" s="1"/>
      <c r="O1179" s="1" t="str">
        <f>IF($J1179=Sheet2!$A$2, ROW(), "")</f>
        <v/>
      </c>
      <c r="Q1179" s="23" t="s">
        <v>3158</v>
      </c>
    </row>
    <row r="1180" spans="1:17" ht="14" customHeight="1" x14ac:dyDescent="0.3">
      <c r="A1180" s="1" t="s">
        <v>1943</v>
      </c>
      <c r="B1180" s="1">
        <v>22</v>
      </c>
      <c r="C1180" s="1" t="s">
        <v>1944</v>
      </c>
      <c r="D1180" s="1"/>
      <c r="E1180" s="1"/>
      <c r="F1180" s="1">
        <v>127</v>
      </c>
      <c r="G1180" s="1">
        <v>149</v>
      </c>
      <c r="H1180" s="1" t="s">
        <v>1769</v>
      </c>
      <c r="I1180" s="1">
        <v>130</v>
      </c>
      <c r="J1180" s="1" t="s">
        <v>1891</v>
      </c>
      <c r="K1180" s="1">
        <v>6</v>
      </c>
      <c r="L1180" s="1">
        <f t="shared" si="18"/>
        <v>650</v>
      </c>
      <c r="M1180" s="1" t="s">
        <v>1741</v>
      </c>
      <c r="N1180" s="1"/>
      <c r="O1180" s="1" t="str">
        <f>IF($J1180=Sheet2!$A$2, ROW(), "")</f>
        <v/>
      </c>
      <c r="Q1180" s="23" t="s">
        <v>3159</v>
      </c>
    </row>
    <row r="1181" spans="1:17" ht="14" customHeight="1" x14ac:dyDescent="0.3">
      <c r="A1181" s="1" t="s">
        <v>1945</v>
      </c>
      <c r="B1181" s="1">
        <v>21</v>
      </c>
      <c r="C1181" s="1" t="s">
        <v>1910</v>
      </c>
      <c r="D1181" s="1"/>
      <c r="E1181" s="1"/>
      <c r="F1181" s="1">
        <v>127</v>
      </c>
      <c r="G1181" s="1">
        <v>150</v>
      </c>
      <c r="H1181" s="1" t="s">
        <v>1837</v>
      </c>
      <c r="I1181" s="1">
        <v>100</v>
      </c>
      <c r="J1181" s="1" t="s">
        <v>1946</v>
      </c>
      <c r="K1181" s="1">
        <v>6</v>
      </c>
      <c r="L1181" s="1">
        <f t="shared" si="18"/>
        <v>500</v>
      </c>
      <c r="M1181" s="1" t="s">
        <v>1741</v>
      </c>
      <c r="N1181" s="1"/>
      <c r="O1181" s="1" t="str">
        <f>IF($J1181=Sheet2!$A$2, ROW(), "")</f>
        <v/>
      </c>
      <c r="Q1181" s="23" t="s">
        <v>3160</v>
      </c>
    </row>
    <row r="1182" spans="1:17" ht="14" customHeight="1" x14ac:dyDescent="0.3">
      <c r="A1182" s="1" t="s">
        <v>1947</v>
      </c>
      <c r="B1182" s="1">
        <v>25</v>
      </c>
      <c r="C1182" s="1" t="s">
        <v>1743</v>
      </c>
      <c r="D1182" s="1"/>
      <c r="E1182" s="1"/>
      <c r="F1182" s="1">
        <v>125</v>
      </c>
      <c r="G1182" s="1">
        <v>136</v>
      </c>
      <c r="H1182" s="1" t="s">
        <v>1948</v>
      </c>
      <c r="I1182" s="1">
        <v>30</v>
      </c>
      <c r="J1182" s="1" t="s">
        <v>1946</v>
      </c>
      <c r="K1182" s="1">
        <v>6</v>
      </c>
      <c r="L1182" s="1">
        <f t="shared" si="18"/>
        <v>150</v>
      </c>
      <c r="M1182" s="1" t="s">
        <v>1741</v>
      </c>
      <c r="N1182" s="1"/>
      <c r="O1182" s="1" t="str">
        <f>IF($J1182=Sheet2!$A$2, ROW(), "")</f>
        <v/>
      </c>
      <c r="Q1182" s="23" t="s">
        <v>3161</v>
      </c>
    </row>
    <row r="1183" spans="1:17" ht="14" customHeight="1" x14ac:dyDescent="0.3">
      <c r="A1183" s="1" t="s">
        <v>1950</v>
      </c>
      <c r="B1183" s="1">
        <v>22</v>
      </c>
      <c r="C1183" s="1" t="s">
        <v>1951</v>
      </c>
      <c r="D1183" s="1"/>
      <c r="E1183" s="1"/>
      <c r="F1183" s="1">
        <v>125</v>
      </c>
      <c r="G1183" s="1">
        <v>140</v>
      </c>
      <c r="H1183" s="1" t="s">
        <v>1871</v>
      </c>
      <c r="I1183" s="1">
        <v>90</v>
      </c>
      <c r="J1183" s="1" t="s">
        <v>1975</v>
      </c>
      <c r="K1183" s="1">
        <v>6</v>
      </c>
      <c r="L1183" s="1">
        <f t="shared" si="18"/>
        <v>450</v>
      </c>
      <c r="M1183" s="1" t="s">
        <v>1741</v>
      </c>
      <c r="N1183" s="1"/>
      <c r="O1183" s="1" t="str">
        <f>IF($J1183=Sheet2!$A$2, ROW(), "")</f>
        <v/>
      </c>
      <c r="Q1183" s="23" t="s">
        <v>3162</v>
      </c>
    </row>
    <row r="1184" spans="1:17" ht="14" customHeight="1" x14ac:dyDescent="0.3">
      <c r="A1184" s="1" t="s">
        <v>1953</v>
      </c>
      <c r="B1184" s="1">
        <v>19</v>
      </c>
      <c r="C1184" s="1" t="s">
        <v>1876</v>
      </c>
      <c r="D1184" s="1"/>
      <c r="E1184" s="1"/>
      <c r="F1184" s="1">
        <v>118</v>
      </c>
      <c r="G1184" s="1">
        <v>160</v>
      </c>
      <c r="H1184" s="1" t="s">
        <v>1749</v>
      </c>
      <c r="I1184" s="1">
        <v>40</v>
      </c>
      <c r="J1184" s="1" t="s">
        <v>1975</v>
      </c>
      <c r="K1184" s="1">
        <v>6</v>
      </c>
      <c r="L1184" s="1">
        <f t="shared" si="18"/>
        <v>200</v>
      </c>
      <c r="M1184" s="1" t="s">
        <v>1741</v>
      </c>
      <c r="N1184" s="1"/>
      <c r="O1184" s="1" t="str">
        <f>IF($J1184=Sheet2!$A$2, ROW(), "")</f>
        <v/>
      </c>
      <c r="Q1184" s="23" t="s">
        <v>3163</v>
      </c>
    </row>
    <row r="1185" spans="1:17" ht="14" customHeight="1" x14ac:dyDescent="0.3">
      <c r="A1185" s="1" t="s">
        <v>1954</v>
      </c>
      <c r="B1185" s="1">
        <v>25</v>
      </c>
      <c r="C1185" s="1" t="s">
        <v>1955</v>
      </c>
      <c r="D1185" s="1"/>
      <c r="E1185" s="1"/>
      <c r="F1185" s="1">
        <v>125</v>
      </c>
      <c r="G1185" s="1">
        <v>125</v>
      </c>
      <c r="H1185" s="1" t="s">
        <v>1956</v>
      </c>
      <c r="I1185" s="1">
        <v>60</v>
      </c>
      <c r="J1185" s="1" t="s">
        <v>1975</v>
      </c>
      <c r="K1185" s="1">
        <v>6</v>
      </c>
      <c r="L1185" s="1">
        <f t="shared" si="18"/>
        <v>300</v>
      </c>
      <c r="M1185" s="1" t="s">
        <v>1741</v>
      </c>
      <c r="N1185" s="1"/>
      <c r="O1185" s="1" t="str">
        <f>IF($J1185=Sheet2!$A$2, ROW(), "")</f>
        <v/>
      </c>
      <c r="Q1185" s="23" t="s">
        <v>3164</v>
      </c>
    </row>
    <row r="1186" spans="1:17" ht="14" customHeight="1" x14ac:dyDescent="0.3">
      <c r="A1186" s="1" t="s">
        <v>1957</v>
      </c>
      <c r="B1186" s="1">
        <v>22</v>
      </c>
      <c r="C1186" s="1" t="s">
        <v>1958</v>
      </c>
      <c r="D1186" s="1"/>
      <c r="E1186" s="1"/>
      <c r="F1186" s="1">
        <v>126</v>
      </c>
      <c r="G1186" s="1">
        <v>155</v>
      </c>
      <c r="H1186" s="1" t="s">
        <v>1784</v>
      </c>
      <c r="I1186" s="1">
        <v>100</v>
      </c>
      <c r="J1186" s="1" t="s">
        <v>1975</v>
      </c>
      <c r="K1186" s="1">
        <v>6</v>
      </c>
      <c r="L1186" s="1">
        <f t="shared" si="18"/>
        <v>500</v>
      </c>
      <c r="M1186" s="1" t="s">
        <v>1741</v>
      </c>
      <c r="N1186" s="1"/>
      <c r="O1186" s="1" t="str">
        <f>IF($J1186=Sheet2!$A$2, ROW(), "")</f>
        <v/>
      </c>
      <c r="Q1186" s="23" t="s">
        <v>3165</v>
      </c>
    </row>
    <row r="1187" spans="1:17" ht="14" customHeight="1" x14ac:dyDescent="0.3">
      <c r="A1187" s="1" t="s">
        <v>1959</v>
      </c>
      <c r="B1187" s="1">
        <v>31</v>
      </c>
      <c r="C1187" s="1" t="s">
        <v>1876</v>
      </c>
      <c r="D1187" s="1"/>
      <c r="E1187" s="1"/>
      <c r="F1187" s="1">
        <v>110</v>
      </c>
      <c r="G1187" s="1">
        <v>115</v>
      </c>
      <c r="H1187" s="1" t="s">
        <v>1769</v>
      </c>
      <c r="I1187" s="1">
        <v>50</v>
      </c>
      <c r="J1187" s="1" t="s">
        <v>1975</v>
      </c>
      <c r="K1187" s="1">
        <v>6</v>
      </c>
      <c r="L1187" s="1">
        <f t="shared" si="18"/>
        <v>250</v>
      </c>
      <c r="M1187" s="1" t="s">
        <v>1741</v>
      </c>
      <c r="N1187" s="1"/>
      <c r="O1187" s="1" t="str">
        <f>IF($J1187=Sheet2!$A$2, ROW(), "")</f>
        <v/>
      </c>
      <c r="Q1187" s="23" t="s">
        <v>3166</v>
      </c>
    </row>
    <row r="1188" spans="1:17" ht="14" customHeight="1" x14ac:dyDescent="0.3">
      <c r="A1188" s="1" t="s">
        <v>1960</v>
      </c>
      <c r="B1188" s="1">
        <v>20</v>
      </c>
      <c r="C1188" s="1" t="s">
        <v>1864</v>
      </c>
      <c r="D1188" s="1"/>
      <c r="E1188" s="1"/>
      <c r="F1188" s="1">
        <v>114</v>
      </c>
      <c r="G1188" s="1">
        <v>140</v>
      </c>
      <c r="H1188" s="1" t="s">
        <v>1749</v>
      </c>
      <c r="I1188" s="1">
        <v>50</v>
      </c>
      <c r="J1188" s="1" t="s">
        <v>1975</v>
      </c>
      <c r="K1188" s="1">
        <v>6</v>
      </c>
      <c r="L1188" s="1">
        <f t="shared" si="18"/>
        <v>250</v>
      </c>
      <c r="M1188" s="1" t="s">
        <v>1741</v>
      </c>
      <c r="N1188" s="1"/>
      <c r="O1188" s="1" t="str">
        <f>IF($J1188=Sheet2!$A$2, ROW(), "")</f>
        <v/>
      </c>
      <c r="Q1188" s="23" t="s">
        <v>3167</v>
      </c>
    </row>
    <row r="1189" spans="1:17" ht="14" customHeight="1" x14ac:dyDescent="0.3">
      <c r="A1189" s="1" t="s">
        <v>1961</v>
      </c>
      <c r="B1189" s="1">
        <v>18</v>
      </c>
      <c r="C1189" s="1" t="s">
        <v>1962</v>
      </c>
      <c r="D1189" s="1"/>
      <c r="E1189" s="1"/>
      <c r="F1189" s="1">
        <v>118</v>
      </c>
      <c r="G1189" s="1">
        <v>160</v>
      </c>
      <c r="H1189" s="1" t="s">
        <v>1963</v>
      </c>
      <c r="I1189" s="1">
        <v>90</v>
      </c>
      <c r="J1189" s="1" t="s">
        <v>1975</v>
      </c>
      <c r="K1189" s="1">
        <v>6</v>
      </c>
      <c r="L1189" s="1">
        <f t="shared" si="18"/>
        <v>450</v>
      </c>
      <c r="M1189" s="1" t="s">
        <v>1741</v>
      </c>
      <c r="N1189" s="1"/>
      <c r="O1189" s="1" t="str">
        <f>IF($J1189=Sheet2!$A$2, ROW(), "")</f>
        <v/>
      </c>
      <c r="Q1189" s="23" t="s">
        <v>3168</v>
      </c>
    </row>
    <row r="1190" spans="1:17" ht="14" customHeight="1" x14ac:dyDescent="0.3">
      <c r="A1190" s="1" t="s">
        <v>1964</v>
      </c>
      <c r="B1190" s="1">
        <v>28</v>
      </c>
      <c r="C1190" s="1" t="s">
        <v>1746</v>
      </c>
      <c r="D1190" s="1"/>
      <c r="E1190" s="1"/>
      <c r="F1190" s="1">
        <v>115</v>
      </c>
      <c r="G1190" s="1">
        <v>120</v>
      </c>
      <c r="H1190" s="1" t="s">
        <v>1769</v>
      </c>
      <c r="I1190" s="1">
        <v>40</v>
      </c>
      <c r="J1190" s="1" t="s">
        <v>1975</v>
      </c>
      <c r="K1190" s="1">
        <v>6</v>
      </c>
      <c r="L1190" s="1">
        <f t="shared" si="18"/>
        <v>200</v>
      </c>
      <c r="M1190" s="1" t="s">
        <v>1741</v>
      </c>
      <c r="N1190" s="1"/>
      <c r="O1190" s="1" t="str">
        <f>IF($J1190=Sheet2!$A$2, ROW(), "")</f>
        <v/>
      </c>
      <c r="Q1190" s="23" t="s">
        <v>3169</v>
      </c>
    </row>
    <row r="1191" spans="1:17" ht="14" customHeight="1" x14ac:dyDescent="0.3">
      <c r="A1191" s="1" t="s">
        <v>1965</v>
      </c>
      <c r="B1191" s="1">
        <v>17</v>
      </c>
      <c r="C1191" s="1" t="s">
        <v>1738</v>
      </c>
      <c r="D1191" s="1"/>
      <c r="E1191" s="1"/>
      <c r="F1191" s="1">
        <v>127</v>
      </c>
      <c r="G1191" s="1">
        <v>180</v>
      </c>
      <c r="H1191" s="1" t="s">
        <v>1769</v>
      </c>
      <c r="I1191" s="1">
        <v>180</v>
      </c>
      <c r="J1191" s="1" t="s">
        <v>1975</v>
      </c>
      <c r="K1191" s="1">
        <v>6</v>
      </c>
      <c r="L1191" s="1">
        <f t="shared" si="18"/>
        <v>900</v>
      </c>
      <c r="M1191" s="1" t="s">
        <v>1741</v>
      </c>
      <c r="N1191" s="1"/>
      <c r="O1191" s="1" t="str">
        <f>IF($J1191=Sheet2!$A$2, ROW(), "")</f>
        <v/>
      </c>
      <c r="Q1191" s="23" t="s">
        <v>3170</v>
      </c>
    </row>
    <row r="1192" spans="1:17" ht="14" customHeight="1" x14ac:dyDescent="0.3">
      <c r="A1192" s="1" t="s">
        <v>1966</v>
      </c>
      <c r="B1192" s="1">
        <v>25</v>
      </c>
      <c r="C1192" s="1" t="s">
        <v>1967</v>
      </c>
      <c r="D1192" s="1"/>
      <c r="E1192" s="1"/>
      <c r="F1192" s="1">
        <v>126</v>
      </c>
      <c r="G1192" s="1">
        <v>145</v>
      </c>
      <c r="H1192" s="1" t="s">
        <v>1968</v>
      </c>
      <c r="I1192" s="1">
        <v>100</v>
      </c>
      <c r="J1192" s="1" t="s">
        <v>1975</v>
      </c>
      <c r="K1192" s="1">
        <v>6</v>
      </c>
      <c r="L1192" s="1">
        <f t="shared" si="18"/>
        <v>500</v>
      </c>
      <c r="M1192" s="1" t="s">
        <v>1741</v>
      </c>
      <c r="N1192" s="1"/>
      <c r="O1192" s="1" t="str">
        <f>IF($J1192=Sheet2!$A$2, ROW(), "")</f>
        <v/>
      </c>
      <c r="Q1192" s="23" t="s">
        <v>3171</v>
      </c>
    </row>
    <row r="1193" spans="1:17" ht="14" customHeight="1" x14ac:dyDescent="0.3">
      <c r="A1193" s="1" t="s">
        <v>1969</v>
      </c>
      <c r="B1193" s="1">
        <v>19</v>
      </c>
      <c r="C1193" s="1" t="s">
        <v>1908</v>
      </c>
      <c r="D1193" s="1"/>
      <c r="E1193" s="1"/>
      <c r="F1193" s="1">
        <v>123</v>
      </c>
      <c r="G1193" s="1">
        <v>170</v>
      </c>
      <c r="H1193" s="1" t="s">
        <v>1970</v>
      </c>
      <c r="I1193" s="1">
        <v>120</v>
      </c>
      <c r="J1193" s="1" t="s">
        <v>1975</v>
      </c>
      <c r="K1193" s="1">
        <v>6</v>
      </c>
      <c r="L1193" s="1">
        <f t="shared" si="18"/>
        <v>600</v>
      </c>
      <c r="M1193" s="1" t="s">
        <v>1741</v>
      </c>
      <c r="N1193" s="1"/>
      <c r="O1193" s="1" t="str">
        <f>IF($J1193=Sheet2!$A$2, ROW(), "")</f>
        <v/>
      </c>
      <c r="Q1193" s="23" t="s">
        <v>3172</v>
      </c>
    </row>
    <row r="1194" spans="1:17" ht="14" customHeight="1" x14ac:dyDescent="0.3">
      <c r="A1194" s="1" t="s">
        <v>1974</v>
      </c>
      <c r="B1194" s="1">
        <v>17</v>
      </c>
      <c r="C1194" s="1" t="s">
        <v>1876</v>
      </c>
      <c r="D1194" s="1"/>
      <c r="E1194" s="1"/>
      <c r="F1194" s="1">
        <v>104</v>
      </c>
      <c r="G1194" s="1">
        <v>170</v>
      </c>
      <c r="H1194" s="1" t="s">
        <v>1739</v>
      </c>
      <c r="I1194" s="1">
        <v>120</v>
      </c>
      <c r="J1194" s="1" t="s">
        <v>1975</v>
      </c>
      <c r="K1194" s="1">
        <v>6</v>
      </c>
      <c r="L1194" s="1">
        <f t="shared" si="18"/>
        <v>600</v>
      </c>
      <c r="M1194" s="1" t="s">
        <v>1741</v>
      </c>
      <c r="N1194" s="1"/>
      <c r="O1194" s="1" t="str">
        <f>IF($J1194=Sheet2!$A$2, ROW(), "")</f>
        <v/>
      </c>
      <c r="Q1194" s="23" t="s">
        <v>3173</v>
      </c>
    </row>
    <row r="1195" spans="1:17" ht="14" customHeight="1" x14ac:dyDescent="0.3">
      <c r="A1195" s="1" t="s">
        <v>3180</v>
      </c>
      <c r="B1195" s="1">
        <v>23</v>
      </c>
      <c r="C1195" s="1" t="s">
        <v>3181</v>
      </c>
      <c r="D1195" s="1"/>
      <c r="E1195" s="1"/>
      <c r="F1195" s="1">
        <v>133</v>
      </c>
      <c r="G1195" s="1">
        <v>146</v>
      </c>
      <c r="H1195" s="1" t="s">
        <v>1739</v>
      </c>
      <c r="I1195" s="1">
        <v>80</v>
      </c>
      <c r="J1195" s="1" t="s">
        <v>1854</v>
      </c>
      <c r="K1195" s="1">
        <v>6</v>
      </c>
      <c r="L1195" s="1">
        <f t="shared" si="18"/>
        <v>400</v>
      </c>
      <c r="M1195" s="1" t="s">
        <v>1741</v>
      </c>
      <c r="N1195" s="1"/>
      <c r="O1195" s="1" t="str">
        <f>IF($J1195=Sheet2!$A$2, ROW(), "")</f>
        <v/>
      </c>
    </row>
    <row r="1196" spans="1:17" ht="14" customHeight="1" x14ac:dyDescent="0.3">
      <c r="A1196" s="1" t="s">
        <v>3228</v>
      </c>
      <c r="B1196" s="1">
        <v>19</v>
      </c>
      <c r="C1196" s="1" t="s">
        <v>1829</v>
      </c>
      <c r="D1196" s="1"/>
      <c r="E1196" s="1"/>
      <c r="F1196" s="1">
        <v>111</v>
      </c>
      <c r="G1196" s="1">
        <v>136</v>
      </c>
      <c r="H1196" s="1" t="s">
        <v>1749</v>
      </c>
      <c r="I1196" s="1">
        <v>24</v>
      </c>
      <c r="J1196" s="1" t="s">
        <v>3229</v>
      </c>
      <c r="K1196" s="1">
        <v>5</v>
      </c>
      <c r="L1196" s="1">
        <f t="shared" si="18"/>
        <v>120</v>
      </c>
      <c r="M1196" s="1" t="s">
        <v>1824</v>
      </c>
      <c r="N1196" s="1"/>
      <c r="O1196" s="1" t="str">
        <f>IF($J1196=Sheet2!$A$2, ROW(), "")</f>
        <v/>
      </c>
    </row>
    <row r="1197" spans="1:17" ht="14" customHeight="1" x14ac:dyDescent="0.3">
      <c r="A1197" s="1" t="s">
        <v>3230</v>
      </c>
      <c r="B1197" s="1">
        <v>20</v>
      </c>
      <c r="C1197" s="1" t="s">
        <v>1829</v>
      </c>
      <c r="D1197" s="1"/>
      <c r="E1197" s="1"/>
      <c r="F1197" s="1">
        <v>123</v>
      </c>
      <c r="G1197" s="1">
        <v>161</v>
      </c>
      <c r="H1197" s="1" t="s">
        <v>3231</v>
      </c>
      <c r="I1197" s="1">
        <v>24</v>
      </c>
      <c r="J1197" s="1" t="s">
        <v>1782</v>
      </c>
      <c r="K1197" s="1">
        <v>5</v>
      </c>
      <c r="L1197" s="1">
        <f t="shared" si="18"/>
        <v>120</v>
      </c>
      <c r="M1197" s="1" t="s">
        <v>1824</v>
      </c>
      <c r="N1197" s="1"/>
      <c r="O1197" s="1" t="str">
        <f>IF($J1197=Sheet2!$A$2, ROW(), "")</f>
        <v/>
      </c>
    </row>
    <row r="1198" spans="1:17" ht="14" customHeight="1" x14ac:dyDescent="0.3">
      <c r="A1198" s="1" t="s">
        <v>3232</v>
      </c>
      <c r="B1198" s="1">
        <v>20</v>
      </c>
      <c r="C1198" s="1" t="s">
        <v>1829</v>
      </c>
      <c r="D1198" s="1"/>
      <c r="E1198" s="1"/>
      <c r="F1198" s="1">
        <v>116</v>
      </c>
      <c r="G1198" s="1">
        <v>141</v>
      </c>
      <c r="H1198" s="1" t="s">
        <v>1784</v>
      </c>
      <c r="I1198" s="1">
        <v>24</v>
      </c>
      <c r="J1198" s="1" t="s">
        <v>1833</v>
      </c>
      <c r="K1198" s="1">
        <v>5</v>
      </c>
      <c r="L1198" s="1">
        <f t="shared" si="18"/>
        <v>120</v>
      </c>
      <c r="M1198" s="1" t="s">
        <v>1824</v>
      </c>
      <c r="N1198" s="1"/>
      <c r="O1198" s="1" t="str">
        <f>IF($J1198=Sheet2!$A$2, ROW(), "")</f>
        <v/>
      </c>
    </row>
    <row r="1199" spans="1:17" ht="14" customHeight="1" x14ac:dyDescent="0.3">
      <c r="A1199" s="1" t="s">
        <v>3233</v>
      </c>
      <c r="B1199" s="1">
        <v>19</v>
      </c>
      <c r="C1199" s="1" t="s">
        <v>1829</v>
      </c>
      <c r="D1199" s="1"/>
      <c r="E1199" s="1"/>
      <c r="F1199" s="1">
        <v>118</v>
      </c>
      <c r="G1199" s="1">
        <v>129</v>
      </c>
      <c r="H1199" s="1" t="s">
        <v>1784</v>
      </c>
      <c r="I1199" s="1">
        <v>24</v>
      </c>
      <c r="J1199" s="1" t="s">
        <v>1833</v>
      </c>
      <c r="K1199" s="1">
        <v>5</v>
      </c>
      <c r="L1199" s="1">
        <f t="shared" si="18"/>
        <v>120</v>
      </c>
      <c r="M1199" s="1" t="s">
        <v>1824</v>
      </c>
      <c r="N1199" s="1"/>
      <c r="O1199" s="1" t="str">
        <f>IF($J1199=Sheet2!$A$2, ROW(), "")</f>
        <v/>
      </c>
    </row>
    <row r="1200" spans="1:17" ht="14" customHeight="1" x14ac:dyDescent="0.3">
      <c r="A1200" s="1" t="s">
        <v>3234</v>
      </c>
      <c r="B1200" s="1">
        <v>19</v>
      </c>
      <c r="C1200" s="1" t="s">
        <v>1829</v>
      </c>
      <c r="D1200" s="1"/>
      <c r="E1200" s="1"/>
      <c r="F1200" s="1">
        <v>114</v>
      </c>
      <c r="G1200" s="1">
        <v>132</v>
      </c>
      <c r="H1200" s="1" t="s">
        <v>1739</v>
      </c>
      <c r="I1200" s="1">
        <v>24</v>
      </c>
      <c r="J1200" s="1" t="s">
        <v>1774</v>
      </c>
      <c r="K1200" s="1">
        <v>5</v>
      </c>
      <c r="L1200" s="1">
        <f t="shared" si="18"/>
        <v>120</v>
      </c>
      <c r="M1200" s="1" t="s">
        <v>1824</v>
      </c>
      <c r="N1200" s="1"/>
      <c r="O1200" s="1" t="str">
        <f>IF($J1200=Sheet2!$A$2, ROW(), "")</f>
        <v/>
      </c>
    </row>
    <row r="1201" spans="1:15" ht="14" customHeight="1" x14ac:dyDescent="0.3">
      <c r="A1201" s="1" t="s">
        <v>3235</v>
      </c>
      <c r="B1201" s="1">
        <v>20</v>
      </c>
      <c r="C1201" s="1" t="s">
        <v>1829</v>
      </c>
      <c r="D1201" s="1"/>
      <c r="E1201" s="1"/>
      <c r="F1201" s="1">
        <v>123</v>
      </c>
      <c r="G1201" s="1">
        <v>128</v>
      </c>
      <c r="H1201" s="1" t="s">
        <v>1913</v>
      </c>
      <c r="I1201" s="1">
        <v>24</v>
      </c>
      <c r="J1201" s="1" t="s">
        <v>1721</v>
      </c>
      <c r="K1201" s="1">
        <v>5</v>
      </c>
      <c r="L1201" s="1">
        <f t="shared" si="18"/>
        <v>120</v>
      </c>
      <c r="M1201" s="1" t="s">
        <v>1824</v>
      </c>
      <c r="N1201" s="1"/>
      <c r="O1201" s="1" t="str">
        <f>IF($J1201=Sheet2!$A$2, ROW(), "")</f>
        <v/>
      </c>
    </row>
    <row r="1202" spans="1:15" ht="14" customHeight="1" x14ac:dyDescent="0.3">
      <c r="A1202" s="1" t="s">
        <v>3236</v>
      </c>
      <c r="B1202" s="1">
        <v>20</v>
      </c>
      <c r="C1202" s="1" t="s">
        <v>1829</v>
      </c>
      <c r="D1202" s="1"/>
      <c r="E1202" s="1"/>
      <c r="F1202" s="1">
        <v>121</v>
      </c>
      <c r="G1202" s="1">
        <v>134</v>
      </c>
      <c r="H1202" s="1" t="s">
        <v>1739</v>
      </c>
      <c r="I1202" s="1">
        <v>24</v>
      </c>
      <c r="J1202" s="1" t="s">
        <v>1782</v>
      </c>
      <c r="K1202" s="1">
        <v>5</v>
      </c>
      <c r="L1202" s="1">
        <f t="shared" si="18"/>
        <v>120</v>
      </c>
      <c r="M1202" s="1" t="s">
        <v>1824</v>
      </c>
      <c r="N1202" s="1"/>
      <c r="O1202" s="1" t="str">
        <f>IF($J1202=Sheet2!$A$2, ROW(), "")</f>
        <v/>
      </c>
    </row>
    <row r="1203" spans="1:15" ht="14" customHeight="1" x14ac:dyDescent="0.3">
      <c r="A1203" s="1" t="s">
        <v>3237</v>
      </c>
      <c r="B1203" s="1">
        <v>20</v>
      </c>
      <c r="C1203" s="1" t="s">
        <v>1829</v>
      </c>
      <c r="D1203" s="1"/>
      <c r="E1203" s="1"/>
      <c r="F1203" s="1">
        <v>123</v>
      </c>
      <c r="G1203" s="1">
        <v>123</v>
      </c>
      <c r="H1203" s="1" t="s">
        <v>1749</v>
      </c>
      <c r="I1203" s="1">
        <v>24</v>
      </c>
      <c r="J1203" s="1" t="s">
        <v>1766</v>
      </c>
      <c r="K1203" s="1">
        <v>6</v>
      </c>
      <c r="L1203" s="1">
        <f t="shared" si="18"/>
        <v>120</v>
      </c>
      <c r="M1203" s="1" t="s">
        <v>1741</v>
      </c>
      <c r="N1203" s="1"/>
      <c r="O1203" s="1" t="str">
        <f>IF($J1203=Sheet2!$A$2, ROW(), "")</f>
        <v/>
      </c>
    </row>
    <row r="1204" spans="1:15" ht="14" customHeight="1" x14ac:dyDescent="0.3">
      <c r="A1204" s="1" t="s">
        <v>3238</v>
      </c>
      <c r="B1204" s="1">
        <v>20</v>
      </c>
      <c r="C1204" s="1" t="s">
        <v>1829</v>
      </c>
      <c r="D1204" s="1"/>
      <c r="E1204" s="1"/>
      <c r="F1204" s="1">
        <v>126</v>
      </c>
      <c r="G1204" s="1">
        <v>126</v>
      </c>
      <c r="H1204" s="1" t="s">
        <v>1837</v>
      </c>
      <c r="I1204" s="1">
        <v>24</v>
      </c>
      <c r="J1204" s="1" t="s">
        <v>1720</v>
      </c>
      <c r="K1204" s="1">
        <v>5</v>
      </c>
      <c r="L1204" s="1">
        <f t="shared" si="18"/>
        <v>120</v>
      </c>
      <c r="M1204" s="1" t="s">
        <v>1824</v>
      </c>
      <c r="N1204" s="1"/>
      <c r="O1204" s="1" t="str">
        <f>IF($J1204=Sheet2!$A$2, ROW(), "")</f>
        <v/>
      </c>
    </row>
    <row r="1205" spans="1:15" ht="14" customHeight="1" x14ac:dyDescent="0.3">
      <c r="A1205" s="1" t="s">
        <v>3239</v>
      </c>
      <c r="B1205" s="1">
        <v>20</v>
      </c>
      <c r="C1205" s="1" t="s">
        <v>1829</v>
      </c>
      <c r="D1205" s="1"/>
      <c r="E1205" s="1"/>
      <c r="F1205" s="1">
        <v>121</v>
      </c>
      <c r="G1205" s="1">
        <v>131</v>
      </c>
      <c r="H1205" s="1" t="s">
        <v>1844</v>
      </c>
      <c r="I1205" s="1">
        <v>24</v>
      </c>
      <c r="J1205" s="1" t="s">
        <v>1763</v>
      </c>
      <c r="K1205" s="1">
        <v>5</v>
      </c>
      <c r="L1205" s="1">
        <f t="shared" si="18"/>
        <v>120</v>
      </c>
      <c r="M1205" s="1" t="s">
        <v>1824</v>
      </c>
      <c r="N1205" s="1"/>
      <c r="O1205" s="1">
        <f>IF($J1205=Sheet2!$A$2, ROW(), "")</f>
        <v>1205</v>
      </c>
    </row>
    <row r="1206" spans="1:15" ht="14" customHeight="1" x14ac:dyDescent="0.3">
      <c r="A1206" s="1" t="s">
        <v>3240</v>
      </c>
      <c r="B1206" s="1">
        <v>23</v>
      </c>
      <c r="C1206" s="1" t="s">
        <v>1829</v>
      </c>
      <c r="D1206" s="1"/>
      <c r="E1206" s="1"/>
      <c r="F1206" s="1">
        <v>122</v>
      </c>
      <c r="G1206" s="1">
        <v>139</v>
      </c>
      <c r="H1206" s="1" t="s">
        <v>1769</v>
      </c>
      <c r="I1206" s="1">
        <v>24</v>
      </c>
      <c r="J1206" s="1" t="s">
        <v>1720</v>
      </c>
      <c r="K1206" s="1">
        <v>5</v>
      </c>
      <c r="L1206" s="1">
        <f t="shared" si="18"/>
        <v>120</v>
      </c>
      <c r="M1206" s="1" t="s">
        <v>1824</v>
      </c>
      <c r="N1206" s="1"/>
      <c r="O1206" s="1" t="str">
        <f>IF($J1206=Sheet2!$A$2, ROW(), "")</f>
        <v/>
      </c>
    </row>
    <row r="1207" spans="1:15" ht="14" customHeight="1" x14ac:dyDescent="0.3">
      <c r="A1207" s="1" t="s">
        <v>3241</v>
      </c>
      <c r="B1207" s="1">
        <v>17</v>
      </c>
      <c r="C1207" s="1" t="s">
        <v>1829</v>
      </c>
      <c r="D1207" s="1"/>
      <c r="E1207" s="1"/>
      <c r="F1207" s="1">
        <v>136</v>
      </c>
      <c r="G1207" s="1">
        <v>189</v>
      </c>
      <c r="H1207" s="1" t="s">
        <v>3242</v>
      </c>
      <c r="I1207" s="1">
        <v>800</v>
      </c>
      <c r="J1207" s="1" t="s">
        <v>1721</v>
      </c>
      <c r="K1207" s="1">
        <v>5</v>
      </c>
      <c r="L1207" s="1">
        <f t="shared" si="18"/>
        <v>4000</v>
      </c>
      <c r="M1207" s="1" t="s">
        <v>1824</v>
      </c>
      <c r="N1207" s="1"/>
      <c r="O1207" s="1" t="str">
        <f>IF($J1207=Sheet2!$A$2, ROW(), "")</f>
        <v/>
      </c>
    </row>
    <row r="1208" spans="1:15" ht="14" customHeight="1" x14ac:dyDescent="0.3">
      <c r="A1208" s="1" t="s">
        <v>3243</v>
      </c>
      <c r="B1208" s="1">
        <v>18</v>
      </c>
      <c r="C1208" s="1" t="s">
        <v>1829</v>
      </c>
      <c r="D1208" s="1"/>
      <c r="E1208" s="1"/>
      <c r="F1208" s="1">
        <v>111</v>
      </c>
      <c r="G1208" s="1">
        <v>141</v>
      </c>
      <c r="H1208" s="1" t="s">
        <v>1940</v>
      </c>
      <c r="I1208" s="1">
        <v>24</v>
      </c>
      <c r="J1208" s="1" t="s">
        <v>1720</v>
      </c>
      <c r="K1208" s="1">
        <v>5</v>
      </c>
      <c r="L1208" s="1">
        <f t="shared" si="18"/>
        <v>120</v>
      </c>
      <c r="M1208" s="1" t="s">
        <v>1824</v>
      </c>
      <c r="N1208" s="1"/>
      <c r="O1208" s="1" t="str">
        <f>IF($J1208=Sheet2!$A$2, ROW(), "")</f>
        <v/>
      </c>
    </row>
    <row r="1209" spans="1:15" ht="14" customHeight="1" x14ac:dyDescent="0.3">
      <c r="A1209" s="1" t="s">
        <v>3245</v>
      </c>
      <c r="B1209" s="1">
        <v>30</v>
      </c>
      <c r="C1209" s="1" t="s">
        <v>3246</v>
      </c>
      <c r="D1209" s="1"/>
      <c r="E1209" s="1"/>
      <c r="F1209" s="1">
        <v>126</v>
      </c>
      <c r="G1209" s="1">
        <v>126</v>
      </c>
      <c r="H1209" s="1" t="s">
        <v>3247</v>
      </c>
      <c r="I1209" s="1">
        <v>200</v>
      </c>
      <c r="J1209" s="1" t="s">
        <v>1833</v>
      </c>
      <c r="K1209" s="1">
        <v>6</v>
      </c>
      <c r="L1209" s="1">
        <f t="shared" si="18"/>
        <v>1000</v>
      </c>
      <c r="M1209" s="1" t="s">
        <v>1741</v>
      </c>
      <c r="N1209" s="1"/>
      <c r="O1209" s="1" t="str">
        <f>IF($J1209=Sheet2!$A$2, ROW(), "")</f>
        <v/>
      </c>
    </row>
    <row r="1210" spans="1:15" ht="14" customHeight="1" x14ac:dyDescent="0.3">
      <c r="A1210" s="1" t="s">
        <v>3248</v>
      </c>
      <c r="B1210" s="1">
        <v>30</v>
      </c>
      <c r="C1210" s="1" t="s">
        <v>1738</v>
      </c>
      <c r="D1210" s="1"/>
      <c r="E1210" s="1"/>
      <c r="F1210" s="1">
        <v>126</v>
      </c>
      <c r="G1210" s="1">
        <v>126</v>
      </c>
      <c r="H1210" s="1" t="s">
        <v>1784</v>
      </c>
      <c r="I1210" s="1">
        <v>200</v>
      </c>
      <c r="J1210" s="1" t="s">
        <v>1740</v>
      </c>
      <c r="K1210" s="1">
        <v>6</v>
      </c>
      <c r="L1210" s="1">
        <f t="shared" si="18"/>
        <v>1000</v>
      </c>
      <c r="M1210" s="1" t="s">
        <v>1741</v>
      </c>
      <c r="N1210" s="1"/>
      <c r="O1210" s="1" t="str">
        <f>IF($J1210=Sheet2!$A$2, ROW(), "")</f>
        <v/>
      </c>
    </row>
    <row r="1211" spans="1:15" ht="14" customHeight="1" x14ac:dyDescent="0.3">
      <c r="A1211" s="1" t="s">
        <v>3249</v>
      </c>
      <c r="B1211" s="1">
        <v>30</v>
      </c>
      <c r="C1211" s="1" t="s">
        <v>1738</v>
      </c>
      <c r="D1211" s="1"/>
      <c r="E1211" s="1"/>
      <c r="F1211" s="1">
        <v>128</v>
      </c>
      <c r="G1211" s="1">
        <v>128</v>
      </c>
      <c r="H1211" s="1" t="s">
        <v>3250</v>
      </c>
      <c r="I1211" s="1">
        <v>200</v>
      </c>
      <c r="J1211" s="1" t="s">
        <v>1721</v>
      </c>
      <c r="K1211" s="1">
        <v>6</v>
      </c>
      <c r="L1211" s="1">
        <f t="shared" si="18"/>
        <v>1000</v>
      </c>
      <c r="M1211" s="1" t="s">
        <v>1741</v>
      </c>
      <c r="N1211" s="1"/>
      <c r="O1211" s="1" t="str">
        <f>IF($J1211=Sheet2!$A$2, ROW(), "")</f>
        <v/>
      </c>
    </row>
    <row r="1212" spans="1:15" ht="14" customHeight="1" x14ac:dyDescent="0.3">
      <c r="A1212" s="1" t="s">
        <v>3251</v>
      </c>
      <c r="B1212" s="1">
        <v>30</v>
      </c>
      <c r="C1212" s="1" t="s">
        <v>1869</v>
      </c>
      <c r="D1212" s="1"/>
      <c r="E1212" s="1"/>
      <c r="F1212" s="1">
        <v>130</v>
      </c>
      <c r="G1212" s="1">
        <v>130</v>
      </c>
      <c r="H1212" s="1" t="s">
        <v>1739</v>
      </c>
      <c r="I1212" s="1">
        <v>200</v>
      </c>
      <c r="J1212" s="1" t="s">
        <v>1721</v>
      </c>
      <c r="K1212" s="1">
        <v>6</v>
      </c>
      <c r="L1212" s="1">
        <f t="shared" si="18"/>
        <v>1000</v>
      </c>
      <c r="M1212" s="1" t="s">
        <v>1741</v>
      </c>
      <c r="N1212" s="1"/>
      <c r="O1212" s="1" t="str">
        <f>IF($J1212=Sheet2!$A$2, ROW(), "")</f>
        <v/>
      </c>
    </row>
    <row r="1213" spans="1:15" ht="14" customHeight="1" x14ac:dyDescent="0.3">
      <c r="A1213" s="1" t="s">
        <v>3252</v>
      </c>
      <c r="B1213" s="1">
        <v>30</v>
      </c>
      <c r="C1213" s="1" t="s">
        <v>3253</v>
      </c>
      <c r="D1213" s="1"/>
      <c r="E1213" s="1"/>
      <c r="F1213" s="1">
        <v>127</v>
      </c>
      <c r="G1213" s="1">
        <v>127</v>
      </c>
      <c r="H1213" s="1" t="s">
        <v>1930</v>
      </c>
      <c r="I1213" s="1">
        <v>200</v>
      </c>
      <c r="J1213" s="1" t="s">
        <v>1949</v>
      </c>
      <c r="K1213" s="1">
        <v>6</v>
      </c>
      <c r="L1213" s="1">
        <f t="shared" si="18"/>
        <v>1000</v>
      </c>
      <c r="M1213" s="1" t="s">
        <v>1741</v>
      </c>
      <c r="N1213" s="1"/>
      <c r="O1213" s="1" t="str">
        <f>IF($J1213=Sheet2!$A$2, ROW(), "")</f>
        <v/>
      </c>
    </row>
    <row r="1214" spans="1:15" ht="14" customHeight="1" x14ac:dyDescent="0.3">
      <c r="A1214" s="1" t="s">
        <v>3254</v>
      </c>
      <c r="B1214" s="1">
        <v>30</v>
      </c>
      <c r="C1214" s="1" t="s">
        <v>1869</v>
      </c>
      <c r="D1214" s="1"/>
      <c r="E1214" s="1"/>
      <c r="F1214" s="1">
        <v>128</v>
      </c>
      <c r="G1214" s="1">
        <v>128</v>
      </c>
      <c r="H1214" s="1" t="s">
        <v>3255</v>
      </c>
      <c r="I1214" s="1">
        <v>200</v>
      </c>
      <c r="J1214" s="1" t="s">
        <v>1766</v>
      </c>
      <c r="K1214" s="1">
        <v>6</v>
      </c>
      <c r="L1214" s="1">
        <f t="shared" si="18"/>
        <v>1000</v>
      </c>
      <c r="M1214" s="1" t="s">
        <v>1741</v>
      </c>
      <c r="N1214" s="1"/>
      <c r="O1214" s="1" t="str">
        <f>IF($J1214=Sheet2!$A$2, ROW(), "")</f>
        <v/>
      </c>
    </row>
    <row r="1215" spans="1:15" ht="14" customHeight="1" x14ac:dyDescent="0.3">
      <c r="A1215" s="1" t="s">
        <v>3256</v>
      </c>
      <c r="B1215" s="1">
        <v>30</v>
      </c>
      <c r="C1215" s="1" t="s">
        <v>1849</v>
      </c>
      <c r="D1215" s="1"/>
      <c r="E1215" s="1"/>
      <c r="F1215" s="1">
        <v>126</v>
      </c>
      <c r="G1215" s="1">
        <v>126</v>
      </c>
      <c r="H1215" s="1" t="s">
        <v>1784</v>
      </c>
      <c r="I1215" s="1">
        <v>200</v>
      </c>
      <c r="J1215" s="1" t="s">
        <v>1720</v>
      </c>
      <c r="K1215" s="1">
        <v>6</v>
      </c>
      <c r="L1215" s="1">
        <f t="shared" si="18"/>
        <v>1000</v>
      </c>
      <c r="M1215" s="1" t="s">
        <v>1741</v>
      </c>
      <c r="N1215" s="1"/>
      <c r="O1215" s="1" t="str">
        <f>IF($J1215=Sheet2!$A$2, ROW(), "")</f>
        <v/>
      </c>
    </row>
    <row r="1216" spans="1:15" ht="14" customHeight="1" x14ac:dyDescent="0.3">
      <c r="A1216" s="1" t="s">
        <v>3257</v>
      </c>
      <c r="B1216" s="1">
        <v>30</v>
      </c>
      <c r="C1216" s="1" t="s">
        <v>1869</v>
      </c>
      <c r="D1216" s="1"/>
      <c r="E1216" s="1"/>
      <c r="F1216" s="1">
        <v>130</v>
      </c>
      <c r="G1216" s="1">
        <v>130</v>
      </c>
      <c r="H1216" s="1" t="s">
        <v>3247</v>
      </c>
      <c r="I1216" s="1">
        <v>200</v>
      </c>
      <c r="J1216" s="1" t="s">
        <v>3413</v>
      </c>
      <c r="K1216" s="1">
        <v>6</v>
      </c>
      <c r="L1216" s="1">
        <f t="shared" si="18"/>
        <v>1000</v>
      </c>
      <c r="M1216" s="1" t="s">
        <v>1741</v>
      </c>
      <c r="N1216" s="1"/>
      <c r="O1216" s="1" t="str">
        <f>IF($J1216=Sheet2!$A$2, ROW(), "")</f>
        <v/>
      </c>
    </row>
    <row r="1217" spans="1:15" ht="14" customHeight="1" x14ac:dyDescent="0.3">
      <c r="A1217" s="1" t="s">
        <v>3279</v>
      </c>
      <c r="B1217" s="1">
        <v>20</v>
      </c>
      <c r="C1217" s="1" t="s">
        <v>3280</v>
      </c>
      <c r="D1217" s="1"/>
      <c r="E1217" s="1"/>
      <c r="F1217" s="1">
        <v>126</v>
      </c>
      <c r="G1217" s="1">
        <v>152</v>
      </c>
      <c r="H1217" s="1" t="s">
        <v>1769</v>
      </c>
      <c r="I1217" s="1">
        <v>150</v>
      </c>
      <c r="J1217" s="1" t="s">
        <v>1853</v>
      </c>
      <c r="K1217" s="1">
        <v>6</v>
      </c>
      <c r="L1217" s="1">
        <f t="shared" si="18"/>
        <v>750</v>
      </c>
      <c r="M1217" s="1" t="s">
        <v>1741</v>
      </c>
      <c r="N1217" s="1"/>
      <c r="O1217" s="1" t="str">
        <f>IF($J1217=Sheet2!$A$2, ROW(), "")</f>
        <v/>
      </c>
    </row>
    <row r="1218" spans="1:15" ht="14" customHeight="1" x14ac:dyDescent="0.3">
      <c r="A1218" s="1" t="s">
        <v>3281</v>
      </c>
      <c r="B1218" s="1">
        <v>30</v>
      </c>
      <c r="C1218" s="1" t="s">
        <v>1910</v>
      </c>
      <c r="D1218" s="1"/>
      <c r="E1218" s="1"/>
      <c r="F1218" s="1">
        <v>128</v>
      </c>
      <c r="G1218" s="1">
        <v>128</v>
      </c>
      <c r="H1218" s="1" t="s">
        <v>1779</v>
      </c>
      <c r="I1218" s="1">
        <v>150</v>
      </c>
      <c r="J1218" s="1" t="s">
        <v>1854</v>
      </c>
      <c r="K1218" s="1">
        <v>6</v>
      </c>
      <c r="L1218" s="1">
        <f t="shared" ref="L1218:L1255" si="19">I1218*5</f>
        <v>750</v>
      </c>
      <c r="M1218" s="1" t="s">
        <v>1741</v>
      </c>
      <c r="N1218" s="1"/>
      <c r="O1218" s="1" t="str">
        <f>IF($J1218=Sheet2!$A$2, ROW(), "")</f>
        <v/>
      </c>
    </row>
    <row r="1219" spans="1:15" ht="14" customHeight="1" x14ac:dyDescent="0.3">
      <c r="A1219" s="1" t="s">
        <v>3282</v>
      </c>
      <c r="B1219" s="1">
        <v>30</v>
      </c>
      <c r="C1219" s="1" t="s">
        <v>1889</v>
      </c>
      <c r="D1219" s="1"/>
      <c r="E1219" s="1"/>
      <c r="F1219" s="1">
        <v>130</v>
      </c>
      <c r="G1219" s="1">
        <v>130</v>
      </c>
      <c r="H1219" s="1" t="s">
        <v>1739</v>
      </c>
      <c r="I1219" s="1">
        <v>150</v>
      </c>
      <c r="J1219" s="1" t="s">
        <v>1833</v>
      </c>
      <c r="K1219" s="1">
        <v>6</v>
      </c>
      <c r="L1219" s="1">
        <f t="shared" si="19"/>
        <v>750</v>
      </c>
      <c r="M1219" s="1" t="s">
        <v>1741</v>
      </c>
      <c r="N1219" s="1"/>
      <c r="O1219" s="1" t="str">
        <f>IF($J1219=Sheet2!$A$2, ROW(), "")</f>
        <v/>
      </c>
    </row>
    <row r="1220" spans="1:15" ht="14" customHeight="1" x14ac:dyDescent="0.3">
      <c r="A1220" s="1" t="s">
        <v>3283</v>
      </c>
      <c r="B1220" s="1">
        <v>30</v>
      </c>
      <c r="C1220" s="1" t="s">
        <v>1910</v>
      </c>
      <c r="D1220" s="1"/>
      <c r="E1220" s="1"/>
      <c r="F1220" s="1">
        <v>127</v>
      </c>
      <c r="G1220" s="1">
        <v>127</v>
      </c>
      <c r="H1220" s="1" t="s">
        <v>3284</v>
      </c>
      <c r="I1220" s="1">
        <v>150</v>
      </c>
      <c r="J1220" s="1" t="s">
        <v>1891</v>
      </c>
      <c r="K1220" s="1">
        <v>6</v>
      </c>
      <c r="L1220" s="1">
        <f t="shared" si="19"/>
        <v>750</v>
      </c>
      <c r="M1220" s="1" t="s">
        <v>1741</v>
      </c>
      <c r="N1220" s="1"/>
      <c r="O1220" s="1" t="str">
        <f>IF($J1220=Sheet2!$A$2, ROW(), "")</f>
        <v/>
      </c>
    </row>
    <row r="1221" spans="1:15" ht="14" customHeight="1" x14ac:dyDescent="0.3">
      <c r="A1221" s="1" t="s">
        <v>3285</v>
      </c>
      <c r="B1221" s="1">
        <v>30</v>
      </c>
      <c r="C1221" s="1" t="s">
        <v>3286</v>
      </c>
      <c r="D1221" s="1"/>
      <c r="E1221" s="1"/>
      <c r="F1221" s="1">
        <v>128</v>
      </c>
      <c r="G1221" s="1">
        <v>128</v>
      </c>
      <c r="H1221" s="1" t="s">
        <v>1739</v>
      </c>
      <c r="I1221" s="1">
        <v>150</v>
      </c>
      <c r="J1221" s="1" t="s">
        <v>3229</v>
      </c>
      <c r="K1221" s="1">
        <v>6</v>
      </c>
      <c r="L1221" s="1">
        <f t="shared" si="19"/>
        <v>750</v>
      </c>
      <c r="M1221" s="1" t="s">
        <v>1741</v>
      </c>
      <c r="N1221" s="1"/>
      <c r="O1221" s="1" t="str">
        <f>IF($J1221=Sheet2!$A$2, ROW(), "")</f>
        <v/>
      </c>
    </row>
    <row r="1222" spans="1:15" ht="14" customHeight="1" x14ac:dyDescent="0.3">
      <c r="A1222" s="1" t="s">
        <v>3287</v>
      </c>
      <c r="B1222" s="1">
        <v>30</v>
      </c>
      <c r="C1222" s="1" t="s">
        <v>1795</v>
      </c>
      <c r="D1222" s="1"/>
      <c r="E1222" s="1"/>
      <c r="F1222" s="1">
        <v>128</v>
      </c>
      <c r="G1222" s="1">
        <v>128</v>
      </c>
      <c r="H1222" s="1" t="s">
        <v>3247</v>
      </c>
      <c r="I1222" s="1">
        <v>150</v>
      </c>
      <c r="J1222" s="1" t="s">
        <v>1923</v>
      </c>
      <c r="K1222" s="1">
        <v>6</v>
      </c>
      <c r="L1222" s="1">
        <f t="shared" si="19"/>
        <v>750</v>
      </c>
      <c r="M1222" s="1" t="s">
        <v>1741</v>
      </c>
      <c r="N1222" s="1"/>
      <c r="O1222" s="1" t="str">
        <f>IF($J1222=Sheet2!$A$2, ROW(), "")</f>
        <v/>
      </c>
    </row>
    <row r="1223" spans="1:15" ht="14" customHeight="1" x14ac:dyDescent="0.3">
      <c r="A1223" s="1" t="s">
        <v>3288</v>
      </c>
      <c r="B1223" s="1">
        <v>38</v>
      </c>
      <c r="C1223" s="1" t="s">
        <v>1768</v>
      </c>
      <c r="D1223" s="1"/>
      <c r="E1223" s="1"/>
      <c r="F1223" s="1">
        <v>126</v>
      </c>
      <c r="G1223" s="1">
        <v>174</v>
      </c>
      <c r="H1223" s="1" t="s">
        <v>1739</v>
      </c>
      <c r="I1223" s="1">
        <v>150</v>
      </c>
      <c r="J1223" s="1" t="s">
        <v>1803</v>
      </c>
      <c r="K1223" s="1">
        <v>6</v>
      </c>
      <c r="L1223" s="1">
        <f t="shared" si="19"/>
        <v>750</v>
      </c>
      <c r="M1223" s="1" t="s">
        <v>1741</v>
      </c>
      <c r="N1223" s="1"/>
      <c r="O1223" s="1" t="str">
        <f>IF($J1223=Sheet2!$A$2, ROW(), "")</f>
        <v/>
      </c>
    </row>
    <row r="1224" spans="1:15" ht="14" customHeight="1" x14ac:dyDescent="0.3">
      <c r="A1224" s="1" t="s">
        <v>3289</v>
      </c>
      <c r="B1224" s="1">
        <v>30</v>
      </c>
      <c r="C1224" s="1" t="s">
        <v>1869</v>
      </c>
      <c r="D1224" s="1"/>
      <c r="E1224" s="1"/>
      <c r="F1224" s="1">
        <v>128</v>
      </c>
      <c r="G1224" s="1">
        <v>128</v>
      </c>
      <c r="H1224" s="1" t="s">
        <v>1761</v>
      </c>
      <c r="I1224" s="1">
        <v>150</v>
      </c>
      <c r="J1224" s="1" t="s">
        <v>1763</v>
      </c>
      <c r="K1224" s="1">
        <v>6</v>
      </c>
      <c r="L1224" s="1">
        <f t="shared" si="19"/>
        <v>750</v>
      </c>
      <c r="M1224" s="1" t="s">
        <v>1741</v>
      </c>
      <c r="N1224" s="1"/>
      <c r="O1224" s="1">
        <f>IF($J1224=Sheet2!$A$2, ROW(), "")</f>
        <v>1224</v>
      </c>
    </row>
    <row r="1225" spans="1:15" ht="14" customHeight="1" x14ac:dyDescent="0.3">
      <c r="A1225" s="1" t="s">
        <v>3290</v>
      </c>
      <c r="B1225" s="1">
        <v>30</v>
      </c>
      <c r="C1225" s="1" t="s">
        <v>1795</v>
      </c>
      <c r="D1225" s="1"/>
      <c r="E1225" s="1"/>
      <c r="F1225" s="1">
        <v>126</v>
      </c>
      <c r="G1225" s="1">
        <v>126</v>
      </c>
      <c r="H1225" s="1" t="s">
        <v>3247</v>
      </c>
      <c r="I1225" s="1">
        <v>150</v>
      </c>
      <c r="J1225" s="1" t="s">
        <v>1720</v>
      </c>
      <c r="K1225" s="1">
        <v>6</v>
      </c>
      <c r="L1225" s="1">
        <f t="shared" si="19"/>
        <v>750</v>
      </c>
      <c r="M1225" s="1" t="s">
        <v>1741</v>
      </c>
      <c r="N1225" s="1"/>
      <c r="O1225" s="1" t="str">
        <f>IF($J1225=Sheet2!$A$2, ROW(), "")</f>
        <v/>
      </c>
    </row>
    <row r="1226" spans="1:15" ht="14" customHeight="1" x14ac:dyDescent="0.3">
      <c r="A1226" s="1" t="s">
        <v>3291</v>
      </c>
      <c r="B1226" s="1">
        <v>30</v>
      </c>
      <c r="C1226" s="1" t="s">
        <v>1795</v>
      </c>
      <c r="D1226" s="1"/>
      <c r="E1226" s="1"/>
      <c r="F1226" s="1">
        <v>127</v>
      </c>
      <c r="G1226" s="1">
        <v>127</v>
      </c>
      <c r="H1226" s="1" t="s">
        <v>1739</v>
      </c>
      <c r="I1226" s="1">
        <v>150</v>
      </c>
      <c r="J1226" s="1" t="s">
        <v>1853</v>
      </c>
      <c r="K1226" s="1">
        <v>6</v>
      </c>
      <c r="L1226" s="1">
        <f t="shared" si="19"/>
        <v>750</v>
      </c>
      <c r="M1226" s="1" t="s">
        <v>1741</v>
      </c>
      <c r="N1226" s="1"/>
      <c r="O1226" s="1" t="str">
        <f>IF($J1226=Sheet2!$A$2, ROW(), "")</f>
        <v/>
      </c>
    </row>
    <row r="1227" spans="1:15" ht="14" customHeight="1" x14ac:dyDescent="0.3">
      <c r="A1227" s="1" t="s">
        <v>3292</v>
      </c>
      <c r="B1227" s="1">
        <v>34</v>
      </c>
      <c r="C1227" s="1" t="s">
        <v>1869</v>
      </c>
      <c r="D1227" s="1"/>
      <c r="E1227" s="1"/>
      <c r="F1227" s="1">
        <v>126</v>
      </c>
      <c r="G1227" s="1">
        <v>150</v>
      </c>
      <c r="H1227" s="1" t="s">
        <v>3293</v>
      </c>
      <c r="I1227" s="1">
        <v>150</v>
      </c>
      <c r="J1227" s="1" t="s">
        <v>1949</v>
      </c>
      <c r="K1227" s="1">
        <v>6</v>
      </c>
      <c r="L1227" s="1">
        <f t="shared" si="19"/>
        <v>750</v>
      </c>
      <c r="M1227" s="1" t="s">
        <v>1741</v>
      </c>
      <c r="N1227" s="1"/>
      <c r="O1227" s="1" t="str">
        <f>IF($J1227=Sheet2!$A$2, ROW(), "")</f>
        <v/>
      </c>
    </row>
    <row r="1228" spans="1:15" ht="14" customHeight="1" x14ac:dyDescent="0.3">
      <c r="A1228" s="1" t="s">
        <v>3294</v>
      </c>
      <c r="B1228" s="1">
        <v>31</v>
      </c>
      <c r="C1228" s="1" t="s">
        <v>1955</v>
      </c>
      <c r="D1228" s="1"/>
      <c r="E1228" s="1"/>
      <c r="F1228" s="1">
        <v>126</v>
      </c>
      <c r="G1228" s="1">
        <v>128</v>
      </c>
      <c r="H1228" s="1" t="s">
        <v>1739</v>
      </c>
      <c r="I1228" s="1">
        <v>150</v>
      </c>
      <c r="J1228" s="1" t="s">
        <v>1740</v>
      </c>
      <c r="K1228" s="1">
        <v>6</v>
      </c>
      <c r="L1228" s="1">
        <f t="shared" si="19"/>
        <v>750</v>
      </c>
      <c r="M1228" s="1" t="s">
        <v>1741</v>
      </c>
      <c r="N1228" s="1"/>
      <c r="O1228" s="1" t="str">
        <f>IF($J1228=Sheet2!$A$2, ROW(), "")</f>
        <v/>
      </c>
    </row>
    <row r="1229" spans="1:15" ht="14" customHeight="1" x14ac:dyDescent="0.3">
      <c r="A1229" s="1" t="s">
        <v>3295</v>
      </c>
      <c r="B1229" s="1">
        <v>19</v>
      </c>
      <c r="C1229" s="1" t="s">
        <v>3296</v>
      </c>
      <c r="D1229" s="1"/>
      <c r="E1229" s="1"/>
      <c r="F1229" s="1">
        <v>122</v>
      </c>
      <c r="G1229" s="1">
        <v>170</v>
      </c>
      <c r="H1229" s="1" t="s">
        <v>3297</v>
      </c>
      <c r="I1229" s="1">
        <v>150</v>
      </c>
      <c r="J1229" s="1" t="s">
        <v>3413</v>
      </c>
      <c r="K1229" s="1">
        <v>6</v>
      </c>
      <c r="L1229" s="1">
        <f t="shared" si="19"/>
        <v>750</v>
      </c>
      <c r="M1229" s="1" t="s">
        <v>1741</v>
      </c>
      <c r="N1229" s="1"/>
      <c r="O1229" s="1" t="str">
        <f>IF($J1229=Sheet2!$A$2, ROW(), "")</f>
        <v/>
      </c>
    </row>
    <row r="1230" spans="1:15" ht="14" customHeight="1" x14ac:dyDescent="0.3">
      <c r="A1230" s="1" t="s">
        <v>3298</v>
      </c>
      <c r="B1230" s="1">
        <v>30</v>
      </c>
      <c r="C1230" s="1" t="s">
        <v>3299</v>
      </c>
      <c r="D1230" s="1"/>
      <c r="E1230" s="1"/>
      <c r="F1230" s="1">
        <v>126</v>
      </c>
      <c r="G1230" s="1">
        <v>126</v>
      </c>
      <c r="H1230" s="1" t="s">
        <v>1784</v>
      </c>
      <c r="I1230" s="1">
        <v>150</v>
      </c>
      <c r="J1230" s="1" t="s">
        <v>1833</v>
      </c>
      <c r="K1230" s="1">
        <v>6</v>
      </c>
      <c r="L1230" s="1">
        <f t="shared" si="19"/>
        <v>750</v>
      </c>
      <c r="M1230" s="1" t="s">
        <v>1741</v>
      </c>
      <c r="N1230" s="1"/>
      <c r="O1230" s="1" t="str">
        <f>IF($J1230=Sheet2!$A$2, ROW(), "")</f>
        <v/>
      </c>
    </row>
    <row r="1231" spans="1:15" ht="14" customHeight="1" x14ac:dyDescent="0.3">
      <c r="A1231" s="1" t="s">
        <v>3300</v>
      </c>
      <c r="B1231" s="1">
        <v>30</v>
      </c>
      <c r="C1231" s="1" t="s">
        <v>3301</v>
      </c>
      <c r="D1231" s="1"/>
      <c r="E1231" s="1"/>
      <c r="F1231" s="1">
        <v>128</v>
      </c>
      <c r="G1231" s="1">
        <v>128</v>
      </c>
      <c r="H1231" s="1" t="s">
        <v>1948</v>
      </c>
      <c r="I1231" s="1">
        <v>150</v>
      </c>
      <c r="J1231" s="1" t="s">
        <v>1736</v>
      </c>
      <c r="K1231" s="1">
        <v>6</v>
      </c>
      <c r="L1231" s="1">
        <f t="shared" si="19"/>
        <v>750</v>
      </c>
      <c r="M1231" s="1" t="s">
        <v>1741</v>
      </c>
      <c r="N1231" s="1"/>
      <c r="O1231" s="1" t="str">
        <f>IF($J1231=Sheet2!$A$2, ROW(), "")</f>
        <v/>
      </c>
    </row>
    <row r="1232" spans="1:15" ht="14" customHeight="1" x14ac:dyDescent="0.3">
      <c r="A1232" s="1" t="s">
        <v>3302</v>
      </c>
      <c r="B1232" s="1">
        <v>30</v>
      </c>
      <c r="C1232" s="1" t="s">
        <v>1795</v>
      </c>
      <c r="D1232" s="1"/>
      <c r="E1232" s="1"/>
      <c r="F1232" s="1">
        <v>126</v>
      </c>
      <c r="G1232" s="1">
        <v>126</v>
      </c>
      <c r="H1232" s="1" t="s">
        <v>3303</v>
      </c>
      <c r="I1232" s="1">
        <v>150</v>
      </c>
      <c r="J1232" s="1" t="s">
        <v>1803</v>
      </c>
      <c r="K1232" s="1">
        <v>6</v>
      </c>
      <c r="L1232" s="1">
        <f t="shared" si="19"/>
        <v>750</v>
      </c>
      <c r="M1232" s="1" t="s">
        <v>1741</v>
      </c>
      <c r="N1232" s="1"/>
      <c r="O1232" s="1" t="str">
        <f>IF($J1232=Sheet2!$A$2, ROW(), "")</f>
        <v/>
      </c>
    </row>
    <row r="1233" spans="1:15" ht="14" customHeight="1" x14ac:dyDescent="0.3">
      <c r="A1233" s="1" t="s">
        <v>3304</v>
      </c>
      <c r="B1233" s="1">
        <v>30</v>
      </c>
      <c r="C1233" s="1" t="s">
        <v>1889</v>
      </c>
      <c r="D1233" s="1"/>
      <c r="E1233" s="1"/>
      <c r="F1233" s="1">
        <v>129</v>
      </c>
      <c r="G1233" s="1">
        <v>129</v>
      </c>
      <c r="H1233" s="1" t="s">
        <v>1827</v>
      </c>
      <c r="I1233" s="1">
        <v>150</v>
      </c>
      <c r="J1233" s="1" t="s">
        <v>1740</v>
      </c>
      <c r="K1233" s="1">
        <v>6</v>
      </c>
      <c r="L1233" s="1">
        <f t="shared" si="19"/>
        <v>750</v>
      </c>
      <c r="M1233" s="1" t="s">
        <v>1741</v>
      </c>
      <c r="N1233" s="1"/>
      <c r="O1233" s="1" t="str">
        <f>IF($J1233=Sheet2!$A$2, ROW(), "")</f>
        <v/>
      </c>
    </row>
    <row r="1234" spans="1:15" ht="14" customHeight="1" x14ac:dyDescent="0.3">
      <c r="A1234" s="1" t="s">
        <v>3305</v>
      </c>
      <c r="B1234" s="1">
        <v>21</v>
      </c>
      <c r="C1234" s="1" t="s">
        <v>1773</v>
      </c>
      <c r="D1234" s="1"/>
      <c r="E1234" s="1"/>
      <c r="F1234" s="1">
        <v>126</v>
      </c>
      <c r="G1234" s="1">
        <v>140</v>
      </c>
      <c r="H1234" s="1" t="s">
        <v>1779</v>
      </c>
      <c r="I1234" s="1">
        <v>150</v>
      </c>
      <c r="J1234" s="1" t="s">
        <v>1946</v>
      </c>
      <c r="K1234" s="1">
        <v>6</v>
      </c>
      <c r="L1234" s="1">
        <f t="shared" si="19"/>
        <v>750</v>
      </c>
      <c r="M1234" s="1" t="s">
        <v>1741</v>
      </c>
      <c r="N1234" s="1"/>
      <c r="O1234" s="1" t="str">
        <f>IF($J1234=Sheet2!$A$2, ROW(), "")</f>
        <v/>
      </c>
    </row>
    <row r="1235" spans="1:15" ht="14" customHeight="1" x14ac:dyDescent="0.3">
      <c r="A1235" s="1" t="s">
        <v>3306</v>
      </c>
      <c r="B1235" s="1">
        <v>30</v>
      </c>
      <c r="C1235" s="1" t="s">
        <v>1776</v>
      </c>
      <c r="D1235" s="1"/>
      <c r="E1235" s="1"/>
      <c r="F1235" s="1">
        <v>129</v>
      </c>
      <c r="G1235" s="1">
        <v>129</v>
      </c>
      <c r="H1235" s="1" t="s">
        <v>1739</v>
      </c>
      <c r="I1235" s="1">
        <v>150</v>
      </c>
      <c r="J1235" s="1" t="s">
        <v>1946</v>
      </c>
      <c r="K1235" s="1">
        <v>6</v>
      </c>
      <c r="L1235" s="1">
        <f t="shared" si="19"/>
        <v>750</v>
      </c>
      <c r="M1235" s="1" t="s">
        <v>1741</v>
      </c>
      <c r="N1235" s="1"/>
      <c r="O1235" s="1" t="str">
        <f>IF($J1235=Sheet2!$A$2, ROW(), "")</f>
        <v/>
      </c>
    </row>
    <row r="1236" spans="1:15" ht="14" customHeight="1" x14ac:dyDescent="0.3">
      <c r="A1236" s="1" t="s">
        <v>3307</v>
      </c>
      <c r="B1236" s="1">
        <v>30</v>
      </c>
      <c r="C1236" s="1" t="s">
        <v>1795</v>
      </c>
      <c r="D1236" s="1"/>
      <c r="E1236" s="1"/>
      <c r="F1236" s="1">
        <v>128</v>
      </c>
      <c r="G1236" s="1">
        <v>128</v>
      </c>
      <c r="H1236" s="1" t="s">
        <v>3308</v>
      </c>
      <c r="I1236" s="1">
        <v>150</v>
      </c>
      <c r="J1236" s="1" t="s">
        <v>1752</v>
      </c>
      <c r="K1236" s="1">
        <v>6</v>
      </c>
      <c r="L1236" s="1">
        <f t="shared" si="19"/>
        <v>750</v>
      </c>
      <c r="M1236" s="1" t="s">
        <v>1741</v>
      </c>
      <c r="N1236" s="1"/>
      <c r="O1236" s="1" t="str">
        <f>IF($J1236=Sheet2!$A$2, ROW(), "")</f>
        <v/>
      </c>
    </row>
    <row r="1237" spans="1:15" ht="14" customHeight="1" x14ac:dyDescent="0.3">
      <c r="A1237" s="1" t="s">
        <v>3309</v>
      </c>
      <c r="B1237" s="1">
        <v>30</v>
      </c>
      <c r="C1237" s="1" t="s">
        <v>1795</v>
      </c>
      <c r="D1237" s="1"/>
      <c r="E1237" s="1"/>
      <c r="F1237" s="1">
        <v>128</v>
      </c>
      <c r="G1237" s="1">
        <v>128</v>
      </c>
      <c r="H1237" s="1" t="s">
        <v>1749</v>
      </c>
      <c r="I1237" s="1">
        <v>150</v>
      </c>
      <c r="J1237" s="1" t="s">
        <v>1782</v>
      </c>
      <c r="K1237" s="1">
        <v>6</v>
      </c>
      <c r="L1237" s="1">
        <f t="shared" si="19"/>
        <v>750</v>
      </c>
      <c r="M1237" s="1" t="s">
        <v>1741</v>
      </c>
      <c r="N1237" s="1"/>
      <c r="O1237" s="1" t="str">
        <f>IF($J1237=Sheet2!$A$2, ROW(), "")</f>
        <v/>
      </c>
    </row>
    <row r="1238" spans="1:15" ht="14" customHeight="1" x14ac:dyDescent="0.3">
      <c r="A1238" s="1" t="s">
        <v>3312</v>
      </c>
      <c r="B1238" s="1">
        <v>34</v>
      </c>
      <c r="C1238" s="1" t="s">
        <v>1908</v>
      </c>
      <c r="D1238" s="1"/>
      <c r="E1238" s="1"/>
      <c r="F1238" s="1">
        <v>140</v>
      </c>
      <c r="G1238" s="1">
        <v>148</v>
      </c>
      <c r="H1238" s="1" t="s">
        <v>1739</v>
      </c>
      <c r="I1238" s="1">
        <v>220</v>
      </c>
      <c r="J1238" s="1" t="s">
        <v>1865</v>
      </c>
      <c r="K1238" s="1">
        <v>6</v>
      </c>
      <c r="L1238" s="1">
        <f t="shared" si="19"/>
        <v>1100</v>
      </c>
      <c r="M1238" s="1" t="s">
        <v>1741</v>
      </c>
      <c r="N1238" s="1"/>
      <c r="O1238" s="1" t="str">
        <f>IF($J1238=Sheet2!$A$2, ROW(), "")</f>
        <v/>
      </c>
    </row>
    <row r="1239" spans="1:15" ht="14" customHeight="1" x14ac:dyDescent="0.3">
      <c r="A1239" s="1" t="s">
        <v>3313</v>
      </c>
      <c r="B1239" s="1">
        <v>36</v>
      </c>
      <c r="C1239" s="1" t="s">
        <v>1738</v>
      </c>
      <c r="D1239" s="1"/>
      <c r="E1239" s="1"/>
      <c r="F1239" s="1">
        <v>142</v>
      </c>
      <c r="G1239" s="1">
        <v>170</v>
      </c>
      <c r="H1239" s="1" t="s">
        <v>3314</v>
      </c>
      <c r="I1239" s="1">
        <v>220</v>
      </c>
      <c r="J1239" s="1" t="s">
        <v>1865</v>
      </c>
      <c r="K1239" s="1">
        <v>6</v>
      </c>
      <c r="L1239" s="1">
        <f t="shared" si="19"/>
        <v>1100</v>
      </c>
      <c r="M1239" s="1" t="s">
        <v>1741</v>
      </c>
      <c r="N1239" s="1"/>
      <c r="O1239" s="1" t="str">
        <f>IF($J1239=Sheet2!$A$2, ROW(), "")</f>
        <v/>
      </c>
    </row>
    <row r="1240" spans="1:15" ht="14" customHeight="1" x14ac:dyDescent="0.3">
      <c r="A1240" s="1" t="s">
        <v>3315</v>
      </c>
      <c r="B1240" s="1">
        <v>33</v>
      </c>
      <c r="C1240" s="1" t="s">
        <v>1925</v>
      </c>
      <c r="D1240" s="1"/>
      <c r="E1240" s="1"/>
      <c r="F1240" s="1">
        <v>138</v>
      </c>
      <c r="G1240" s="1">
        <v>138</v>
      </c>
      <c r="H1240" s="1" t="s">
        <v>1739</v>
      </c>
      <c r="I1240" s="1">
        <v>220</v>
      </c>
      <c r="J1240" s="1" t="s">
        <v>1853</v>
      </c>
      <c r="K1240" s="1">
        <v>6</v>
      </c>
      <c r="L1240" s="1">
        <f t="shared" si="19"/>
        <v>1100</v>
      </c>
      <c r="M1240" s="1" t="s">
        <v>1741</v>
      </c>
      <c r="N1240" s="1"/>
      <c r="O1240" s="1" t="str">
        <f>IF($J1240=Sheet2!$A$2, ROW(), "")</f>
        <v/>
      </c>
    </row>
    <row r="1241" spans="1:15" ht="14" customHeight="1" x14ac:dyDescent="0.3">
      <c r="A1241" s="1" t="s">
        <v>3316</v>
      </c>
      <c r="B1241" s="1">
        <v>34</v>
      </c>
      <c r="C1241" s="1" t="s">
        <v>1869</v>
      </c>
      <c r="D1241" s="1"/>
      <c r="E1241" s="1"/>
      <c r="F1241" s="1">
        <v>136</v>
      </c>
      <c r="G1241" s="1">
        <v>136</v>
      </c>
      <c r="H1241" s="1" t="s">
        <v>3317</v>
      </c>
      <c r="I1241" s="1">
        <v>220</v>
      </c>
      <c r="J1241" s="1" t="s">
        <v>1853</v>
      </c>
      <c r="K1241" s="1">
        <v>6</v>
      </c>
      <c r="L1241" s="1">
        <f t="shared" si="19"/>
        <v>1100</v>
      </c>
      <c r="M1241" s="1" t="s">
        <v>1741</v>
      </c>
      <c r="N1241" s="1"/>
      <c r="O1241" s="1" t="str">
        <f>IF($J1241=Sheet2!$A$2, ROW(), "")</f>
        <v/>
      </c>
    </row>
    <row r="1242" spans="1:15" ht="14" customHeight="1" x14ac:dyDescent="0.3">
      <c r="A1242" s="1" t="s">
        <v>3318</v>
      </c>
      <c r="B1242" s="1">
        <v>34</v>
      </c>
      <c r="C1242" s="1" t="s">
        <v>3319</v>
      </c>
      <c r="D1242" s="1"/>
      <c r="E1242" s="1"/>
      <c r="F1242" s="1">
        <v>147</v>
      </c>
      <c r="G1242" s="1">
        <v>147</v>
      </c>
      <c r="H1242" s="1" t="s">
        <v>1739</v>
      </c>
      <c r="I1242" s="1">
        <v>400</v>
      </c>
      <c r="J1242" s="1" t="s">
        <v>1887</v>
      </c>
      <c r="K1242" s="1">
        <v>6</v>
      </c>
      <c r="L1242" s="1">
        <f t="shared" si="19"/>
        <v>2000</v>
      </c>
      <c r="M1242" s="1" t="s">
        <v>1741</v>
      </c>
      <c r="N1242" s="1"/>
      <c r="O1242" s="1" t="str">
        <f>IF($J1242=Sheet2!$A$2, ROW(), "")</f>
        <v/>
      </c>
    </row>
    <row r="1243" spans="1:15" ht="14" customHeight="1" x14ac:dyDescent="0.3">
      <c r="A1243" s="1" t="s">
        <v>3320</v>
      </c>
      <c r="B1243" s="1">
        <v>34</v>
      </c>
      <c r="C1243" s="1" t="s">
        <v>1939</v>
      </c>
      <c r="D1243" s="1"/>
      <c r="E1243" s="1"/>
      <c r="F1243" s="1">
        <v>133</v>
      </c>
      <c r="G1243" s="1">
        <v>145</v>
      </c>
      <c r="H1243" s="1" t="s">
        <v>1786</v>
      </c>
      <c r="I1243" s="1">
        <v>220</v>
      </c>
      <c r="J1243" s="1" t="s">
        <v>3229</v>
      </c>
      <c r="K1243" s="1">
        <v>6</v>
      </c>
      <c r="L1243" s="1">
        <f t="shared" si="19"/>
        <v>1100</v>
      </c>
      <c r="M1243" s="1" t="s">
        <v>1741</v>
      </c>
      <c r="N1243" s="1"/>
      <c r="O1243" s="1" t="str">
        <f>IF($J1243=Sheet2!$A$2, ROW(), "")</f>
        <v/>
      </c>
    </row>
    <row r="1244" spans="1:15" ht="14" customHeight="1" x14ac:dyDescent="0.3">
      <c r="A1244" s="1" t="s">
        <v>3321</v>
      </c>
      <c r="B1244" s="1">
        <v>39</v>
      </c>
      <c r="C1244" s="1" t="s">
        <v>1864</v>
      </c>
      <c r="D1244" s="1"/>
      <c r="E1244" s="1"/>
      <c r="F1244" s="1">
        <v>135</v>
      </c>
      <c r="G1244" s="1">
        <v>168</v>
      </c>
      <c r="H1244" s="1" t="s">
        <v>1739</v>
      </c>
      <c r="I1244" s="1">
        <v>220</v>
      </c>
      <c r="J1244" s="1" t="s">
        <v>1847</v>
      </c>
      <c r="K1244" s="1">
        <v>6</v>
      </c>
      <c r="L1244" s="1">
        <f t="shared" si="19"/>
        <v>1100</v>
      </c>
      <c r="M1244" s="1" t="s">
        <v>1741</v>
      </c>
      <c r="N1244" s="1"/>
      <c r="O1244" s="1" t="str">
        <f>IF($J1244=Sheet2!$A$2, ROW(), "")</f>
        <v/>
      </c>
    </row>
    <row r="1245" spans="1:15" ht="14" customHeight="1" x14ac:dyDescent="0.3">
      <c r="A1245" s="1" t="s">
        <v>3322</v>
      </c>
      <c r="B1245" s="1">
        <v>33</v>
      </c>
      <c r="C1245" s="1" t="s">
        <v>1869</v>
      </c>
      <c r="D1245" s="1"/>
      <c r="E1245" s="1"/>
      <c r="F1245" s="1">
        <v>144</v>
      </c>
      <c r="G1245" s="1">
        <v>144</v>
      </c>
      <c r="H1245" s="1" t="s">
        <v>3323</v>
      </c>
      <c r="I1245" s="1">
        <v>300</v>
      </c>
      <c r="J1245" s="1" t="s">
        <v>1854</v>
      </c>
      <c r="K1245" s="1">
        <v>6</v>
      </c>
      <c r="L1245" s="1">
        <f t="shared" si="19"/>
        <v>1500</v>
      </c>
      <c r="M1245" s="1" t="s">
        <v>1741</v>
      </c>
      <c r="N1245" s="1"/>
      <c r="O1245" s="1" t="str">
        <f>IF($J1245=Sheet2!$A$2, ROW(), "")</f>
        <v/>
      </c>
    </row>
    <row r="1246" spans="1:15" ht="14" customHeight="1" x14ac:dyDescent="0.3">
      <c r="A1246" s="1" t="s">
        <v>3324</v>
      </c>
      <c r="B1246" s="1">
        <v>37</v>
      </c>
      <c r="C1246" s="1" t="s">
        <v>1776</v>
      </c>
      <c r="D1246" s="1"/>
      <c r="E1246" s="1"/>
      <c r="F1246" s="1">
        <v>144</v>
      </c>
      <c r="G1246" s="1">
        <v>174</v>
      </c>
      <c r="H1246" s="1" t="s">
        <v>1871</v>
      </c>
      <c r="I1246" s="1">
        <v>300</v>
      </c>
      <c r="J1246" s="1" t="s">
        <v>1854</v>
      </c>
      <c r="K1246" s="1">
        <v>6</v>
      </c>
      <c r="L1246" s="1">
        <f t="shared" si="19"/>
        <v>1500</v>
      </c>
      <c r="M1246" s="1" t="s">
        <v>1741</v>
      </c>
      <c r="N1246" s="1"/>
      <c r="O1246" s="1" t="str">
        <f>IF($J1246=Sheet2!$A$2, ROW(), "")</f>
        <v/>
      </c>
    </row>
    <row r="1247" spans="1:15" ht="14" customHeight="1" x14ac:dyDescent="0.3">
      <c r="A1247" s="1" t="s">
        <v>3325</v>
      </c>
      <c r="B1247" s="1">
        <v>33</v>
      </c>
      <c r="C1247" s="1" t="s">
        <v>1951</v>
      </c>
      <c r="D1247" s="1"/>
      <c r="E1247" s="1"/>
      <c r="F1247" s="1">
        <v>140</v>
      </c>
      <c r="G1247" s="1">
        <v>145</v>
      </c>
      <c r="H1247" s="1" t="s">
        <v>1749</v>
      </c>
      <c r="I1247" s="1">
        <v>200</v>
      </c>
      <c r="J1247" s="1" t="s">
        <v>1887</v>
      </c>
      <c r="K1247" s="1">
        <v>6</v>
      </c>
      <c r="L1247" s="1">
        <f t="shared" si="19"/>
        <v>1000</v>
      </c>
      <c r="M1247" s="1" t="s">
        <v>1741</v>
      </c>
      <c r="N1247" s="1"/>
      <c r="O1247" s="1" t="str">
        <f>IF($J1247=Sheet2!$A$2, ROW(), "")</f>
        <v/>
      </c>
    </row>
    <row r="1248" spans="1:15" ht="14" customHeight="1" x14ac:dyDescent="0.3">
      <c r="A1248" s="1" t="s">
        <v>3327</v>
      </c>
      <c r="B1248" s="1">
        <v>24</v>
      </c>
      <c r="C1248" s="1" t="s">
        <v>1746</v>
      </c>
      <c r="D1248" s="1"/>
      <c r="E1248" s="1"/>
      <c r="F1248" s="1">
        <v>124</v>
      </c>
      <c r="G1248" s="1">
        <v>138</v>
      </c>
      <c r="H1248" s="1" t="s">
        <v>1837</v>
      </c>
      <c r="I1248" s="1">
        <v>80</v>
      </c>
      <c r="J1248" s="1" t="s">
        <v>1774</v>
      </c>
      <c r="K1248" s="1">
        <v>6</v>
      </c>
      <c r="L1248" s="1">
        <f t="shared" si="19"/>
        <v>400</v>
      </c>
      <c r="M1248" s="1" t="s">
        <v>1741</v>
      </c>
      <c r="N1248" s="1"/>
      <c r="O1248" s="1" t="str">
        <f>IF($J1248=Sheet2!$A$2, ROW(), "")</f>
        <v/>
      </c>
    </row>
    <row r="1249" spans="1:15" ht="14" customHeight="1" x14ac:dyDescent="0.3">
      <c r="A1249" s="1" t="s">
        <v>3328</v>
      </c>
      <c r="B1249" s="1">
        <v>19</v>
      </c>
      <c r="C1249" s="1" t="s">
        <v>1939</v>
      </c>
      <c r="D1249" s="1"/>
      <c r="E1249" s="1"/>
      <c r="F1249" s="1">
        <v>126</v>
      </c>
      <c r="G1249" s="1">
        <v>170</v>
      </c>
      <c r="H1249" s="1" t="s">
        <v>3329</v>
      </c>
      <c r="I1249" s="1">
        <v>300</v>
      </c>
      <c r="J1249" s="1" t="s">
        <v>1759</v>
      </c>
      <c r="K1249" s="1">
        <v>7</v>
      </c>
      <c r="L1249" s="1">
        <f t="shared" si="19"/>
        <v>1500</v>
      </c>
      <c r="M1249" s="1" t="s">
        <v>1741</v>
      </c>
      <c r="N1249" s="1"/>
      <c r="O1249" s="1" t="str">
        <f>IF($J1249=Sheet2!$A$2, ROW(), "")</f>
        <v/>
      </c>
    </row>
    <row r="1250" spans="1:15" ht="14" customHeight="1" x14ac:dyDescent="0.3">
      <c r="A1250" s="1" t="s">
        <v>3330</v>
      </c>
      <c r="B1250" s="1">
        <v>21</v>
      </c>
      <c r="C1250" s="1" t="s">
        <v>1864</v>
      </c>
      <c r="D1250" s="1"/>
      <c r="E1250" s="1"/>
      <c r="F1250" s="1">
        <v>125</v>
      </c>
      <c r="G1250" s="1">
        <v>150</v>
      </c>
      <c r="H1250" s="1" t="s">
        <v>1886</v>
      </c>
      <c r="I1250" s="1">
        <v>150</v>
      </c>
      <c r="J1250" s="1" t="s">
        <v>1891</v>
      </c>
      <c r="K1250" s="1">
        <v>6</v>
      </c>
      <c r="L1250" s="1">
        <f t="shared" si="19"/>
        <v>750</v>
      </c>
      <c r="M1250" s="1" t="s">
        <v>1741</v>
      </c>
      <c r="N1250" s="1"/>
      <c r="O1250" s="1" t="str">
        <f>IF($J1250=Sheet2!$A$2, ROW(), "")</f>
        <v/>
      </c>
    </row>
    <row r="1251" spans="1:15" ht="14" customHeight="1" x14ac:dyDescent="0.3">
      <c r="A1251" s="1" t="s">
        <v>3331</v>
      </c>
      <c r="B1251" s="1">
        <v>18</v>
      </c>
      <c r="C1251" s="1" t="s">
        <v>3246</v>
      </c>
      <c r="D1251" s="1"/>
      <c r="E1251" s="1"/>
      <c r="F1251" s="1">
        <v>117</v>
      </c>
      <c r="G1251" s="1">
        <v>170</v>
      </c>
      <c r="H1251" s="1" t="s">
        <v>3332</v>
      </c>
      <c r="I1251" s="1">
        <v>300</v>
      </c>
      <c r="J1251" s="1" t="s">
        <v>1833</v>
      </c>
      <c r="K1251" s="1">
        <v>6</v>
      </c>
      <c r="L1251" s="1">
        <f t="shared" si="19"/>
        <v>1500</v>
      </c>
      <c r="M1251" s="1" t="s">
        <v>1741</v>
      </c>
      <c r="N1251" s="1"/>
      <c r="O1251" s="1" t="str">
        <f>IF($J1251=Sheet2!$A$2, ROW(), "")</f>
        <v/>
      </c>
    </row>
    <row r="1252" spans="1:15" ht="14" customHeight="1" x14ac:dyDescent="0.3">
      <c r="A1252" s="1" t="s">
        <v>3334</v>
      </c>
      <c r="B1252" s="1">
        <v>22</v>
      </c>
      <c r="C1252" s="1" t="s">
        <v>1955</v>
      </c>
      <c r="D1252" s="1"/>
      <c r="E1252" s="1"/>
      <c r="F1252" s="1">
        <v>126</v>
      </c>
      <c r="G1252" s="1">
        <v>139</v>
      </c>
      <c r="H1252" s="1" t="s">
        <v>1940</v>
      </c>
      <c r="I1252" s="1">
        <v>200</v>
      </c>
      <c r="J1252" s="1" t="s">
        <v>3229</v>
      </c>
      <c r="K1252" s="1">
        <v>6</v>
      </c>
      <c r="L1252" s="1">
        <f t="shared" si="19"/>
        <v>1000</v>
      </c>
      <c r="M1252" s="1" t="s">
        <v>1741</v>
      </c>
      <c r="N1252" s="1"/>
      <c r="O1252" s="1" t="str">
        <f>IF($J1252=Sheet2!$A$2, ROW(), "")</f>
        <v/>
      </c>
    </row>
    <row r="1253" spans="1:15" ht="14" customHeight="1" x14ac:dyDescent="0.3">
      <c r="A1253" s="1" t="s">
        <v>3335</v>
      </c>
      <c r="B1253" s="1">
        <v>22</v>
      </c>
      <c r="C1253" s="1" t="s">
        <v>1746</v>
      </c>
      <c r="D1253" s="1"/>
      <c r="E1253" s="1"/>
      <c r="F1253" s="1">
        <v>126</v>
      </c>
      <c r="G1253" s="1">
        <v>146</v>
      </c>
      <c r="H1253" s="1" t="s">
        <v>1769</v>
      </c>
      <c r="I1253" s="1">
        <v>200</v>
      </c>
      <c r="J1253" s="1" t="s">
        <v>1887</v>
      </c>
      <c r="K1253" s="1">
        <v>6</v>
      </c>
      <c r="L1253" s="1">
        <f t="shared" si="19"/>
        <v>1000</v>
      </c>
      <c r="M1253" s="1" t="s">
        <v>1741</v>
      </c>
      <c r="N1253" s="1"/>
      <c r="O1253" s="1" t="str">
        <f>IF($J1253=Sheet2!$A$2, ROW(), "")</f>
        <v/>
      </c>
    </row>
    <row r="1254" spans="1:15" ht="14" customHeight="1" x14ac:dyDescent="0.3">
      <c r="A1254" s="1" t="s">
        <v>3336</v>
      </c>
      <c r="B1254" s="1">
        <v>22</v>
      </c>
      <c r="C1254" s="1" t="s">
        <v>3337</v>
      </c>
      <c r="D1254" s="1"/>
      <c r="E1254" s="1"/>
      <c r="F1254" s="1">
        <v>125</v>
      </c>
      <c r="G1254" s="1">
        <v>151</v>
      </c>
      <c r="H1254" s="1" t="s">
        <v>3407</v>
      </c>
      <c r="I1254" s="1">
        <v>200</v>
      </c>
      <c r="J1254" s="1" t="s">
        <v>1887</v>
      </c>
      <c r="K1254" s="1">
        <v>6</v>
      </c>
      <c r="L1254" s="1">
        <f t="shared" si="19"/>
        <v>1000</v>
      </c>
      <c r="M1254" s="1" t="s">
        <v>1741</v>
      </c>
      <c r="N1254" s="1"/>
      <c r="O1254" s="1" t="str">
        <f>IF($J1254=Sheet2!$A$2, ROW(), "")</f>
        <v/>
      </c>
    </row>
    <row r="1255" spans="1:15" ht="14" customHeight="1" x14ac:dyDescent="0.3">
      <c r="A1255" s="1" t="s">
        <v>3338</v>
      </c>
      <c r="B1255" s="1">
        <v>16</v>
      </c>
      <c r="C1255" s="1" t="s">
        <v>1908</v>
      </c>
      <c r="D1255" s="1"/>
      <c r="E1255" s="1"/>
      <c r="F1255" s="1">
        <v>124</v>
      </c>
      <c r="G1255" s="1">
        <v>180</v>
      </c>
      <c r="H1255" s="1" t="s">
        <v>1963</v>
      </c>
      <c r="I1255" s="1">
        <v>200</v>
      </c>
      <c r="J1255" s="1" t="s">
        <v>1840</v>
      </c>
      <c r="K1255" s="1">
        <v>8</v>
      </c>
      <c r="L1255" s="1">
        <f t="shared" si="19"/>
        <v>1000</v>
      </c>
      <c r="M1255" s="1" t="s">
        <v>1741</v>
      </c>
      <c r="N1255" s="1"/>
      <c r="O1255" s="1" t="str">
        <f>IF($J1255=Sheet2!$A$2, ROW(), "")</f>
        <v/>
      </c>
    </row>
    <row r="1256" spans="1:15" ht="14" customHeight="1" x14ac:dyDescent="0.3">
      <c r="A1256" s="1" t="s">
        <v>3339</v>
      </c>
      <c r="B1256" s="1">
        <v>23</v>
      </c>
      <c r="C1256" s="1" t="s">
        <v>1939</v>
      </c>
      <c r="D1256" s="1"/>
      <c r="E1256" s="1"/>
      <c r="F1256" s="1">
        <v>126</v>
      </c>
      <c r="G1256" s="1">
        <v>140</v>
      </c>
      <c r="H1256" s="1" t="s">
        <v>3340</v>
      </c>
      <c r="I1256" s="1">
        <v>200</v>
      </c>
      <c r="J1256" s="1" t="s">
        <v>1853</v>
      </c>
      <c r="K1256" s="1">
        <v>6</v>
      </c>
      <c r="L1256" s="1">
        <f t="shared" ref="L1256:L1285" si="20">I1256*5</f>
        <v>1000</v>
      </c>
      <c r="M1256" s="1" t="s">
        <v>1741</v>
      </c>
      <c r="N1256" s="1"/>
      <c r="O1256" s="1" t="str">
        <f>IF($J1256=Sheet2!$A$2, ROW(), "")</f>
        <v/>
      </c>
    </row>
    <row r="1257" spans="1:15" ht="14" customHeight="1" x14ac:dyDescent="0.3">
      <c r="A1257" s="1" t="s">
        <v>3341</v>
      </c>
      <c r="B1257" s="1">
        <v>24</v>
      </c>
      <c r="C1257" s="1" t="s">
        <v>3342</v>
      </c>
      <c r="D1257" s="1"/>
      <c r="E1257" s="1"/>
      <c r="F1257" s="1">
        <v>126</v>
      </c>
      <c r="G1257" s="1">
        <v>132</v>
      </c>
      <c r="H1257" s="1" t="s">
        <v>3343</v>
      </c>
      <c r="I1257" s="1">
        <v>150</v>
      </c>
      <c r="J1257" s="1" t="s">
        <v>3229</v>
      </c>
      <c r="K1257" s="1">
        <v>6</v>
      </c>
      <c r="L1257" s="1">
        <f t="shared" si="20"/>
        <v>750</v>
      </c>
      <c r="M1257" s="1" t="s">
        <v>1741</v>
      </c>
      <c r="N1257" s="1"/>
      <c r="O1257" s="1" t="str">
        <f>IF($J1257=Sheet2!$A$2, ROW(), "")</f>
        <v/>
      </c>
    </row>
    <row r="1258" spans="1:15" ht="14" customHeight="1" x14ac:dyDescent="0.3">
      <c r="A1258" s="1" t="s">
        <v>3344</v>
      </c>
      <c r="B1258" s="1">
        <v>35</v>
      </c>
      <c r="C1258" s="1" t="s">
        <v>1746</v>
      </c>
      <c r="D1258" s="1"/>
      <c r="E1258" s="1"/>
      <c r="F1258" s="1">
        <v>126</v>
      </c>
      <c r="G1258" s="1">
        <v>130</v>
      </c>
      <c r="H1258" s="1" t="s">
        <v>1739</v>
      </c>
      <c r="I1258" s="1">
        <v>200</v>
      </c>
      <c r="J1258" s="1" t="s">
        <v>1721</v>
      </c>
      <c r="K1258" s="1">
        <v>6</v>
      </c>
      <c r="L1258" s="1">
        <f t="shared" si="20"/>
        <v>1000</v>
      </c>
      <c r="M1258" s="1" t="s">
        <v>1741</v>
      </c>
      <c r="N1258" s="1"/>
      <c r="O1258" s="1" t="str">
        <f>IF($J1258=Sheet2!$A$2, ROW(), "")</f>
        <v/>
      </c>
    </row>
    <row r="1259" spans="1:15" ht="14" customHeight="1" x14ac:dyDescent="0.3">
      <c r="A1259" s="1" t="s">
        <v>3345</v>
      </c>
      <c r="B1259" s="1">
        <v>25</v>
      </c>
      <c r="C1259" s="1" t="s">
        <v>1939</v>
      </c>
      <c r="D1259" s="1"/>
      <c r="E1259" s="1"/>
      <c r="F1259" s="1">
        <v>126</v>
      </c>
      <c r="G1259" s="1">
        <v>136</v>
      </c>
      <c r="H1259" s="1" t="s">
        <v>1784</v>
      </c>
      <c r="I1259" s="1">
        <v>150</v>
      </c>
      <c r="J1259" s="1" t="s">
        <v>1949</v>
      </c>
      <c r="K1259" s="1">
        <v>6</v>
      </c>
      <c r="L1259" s="1">
        <f t="shared" si="20"/>
        <v>750</v>
      </c>
      <c r="M1259" s="1" t="s">
        <v>1741</v>
      </c>
      <c r="N1259" s="1"/>
      <c r="O1259" s="1" t="str">
        <f>IF($J1259=Sheet2!$A$2, ROW(), "")</f>
        <v/>
      </c>
    </row>
    <row r="1260" spans="1:15" ht="14" customHeight="1" x14ac:dyDescent="0.3">
      <c r="A1260" s="1" t="s">
        <v>3346</v>
      </c>
      <c r="B1260" s="1">
        <v>21</v>
      </c>
      <c r="C1260" s="1" t="s">
        <v>1939</v>
      </c>
      <c r="D1260" s="1"/>
      <c r="E1260" s="1"/>
      <c r="F1260" s="1">
        <v>118</v>
      </c>
      <c r="G1260" s="1">
        <v>140</v>
      </c>
      <c r="H1260" s="1" t="s">
        <v>1837</v>
      </c>
      <c r="I1260" s="1">
        <v>150</v>
      </c>
      <c r="J1260" s="1" t="s">
        <v>1949</v>
      </c>
      <c r="K1260" s="1">
        <v>6</v>
      </c>
      <c r="L1260" s="1">
        <f t="shared" si="20"/>
        <v>750</v>
      </c>
      <c r="M1260" s="1" t="s">
        <v>1741</v>
      </c>
      <c r="N1260" s="1"/>
      <c r="O1260" s="1" t="str">
        <f>IF($J1260=Sheet2!$A$2, ROW(), "")</f>
        <v/>
      </c>
    </row>
    <row r="1261" spans="1:15" ht="14" customHeight="1" x14ac:dyDescent="0.3">
      <c r="A1261" s="1" t="s">
        <v>3347</v>
      </c>
      <c r="B1261" s="1">
        <v>23</v>
      </c>
      <c r="C1261" s="1" t="s">
        <v>1864</v>
      </c>
      <c r="D1261" s="1"/>
      <c r="E1261" s="1"/>
      <c r="F1261" s="1">
        <v>124</v>
      </c>
      <c r="G1261" s="1">
        <v>138</v>
      </c>
      <c r="H1261" s="1" t="s">
        <v>1769</v>
      </c>
      <c r="I1261" s="1">
        <v>90</v>
      </c>
      <c r="J1261" s="1" t="s">
        <v>1774</v>
      </c>
      <c r="K1261" s="1">
        <v>6</v>
      </c>
      <c r="L1261" s="1">
        <f t="shared" si="20"/>
        <v>450</v>
      </c>
      <c r="M1261" s="1" t="s">
        <v>1741</v>
      </c>
      <c r="N1261" s="1"/>
      <c r="O1261" s="1" t="str">
        <f>IF($J1261=Sheet2!$A$2, ROW(), "")</f>
        <v/>
      </c>
    </row>
    <row r="1262" spans="1:15" ht="14" customHeight="1" x14ac:dyDescent="0.3">
      <c r="A1262" s="1" t="s">
        <v>3348</v>
      </c>
      <c r="B1262" s="1">
        <v>24</v>
      </c>
      <c r="C1262" s="1" t="s">
        <v>1925</v>
      </c>
      <c r="D1262" s="1"/>
      <c r="E1262" s="1"/>
      <c r="F1262" s="1">
        <v>124</v>
      </c>
      <c r="G1262" s="1">
        <v>134</v>
      </c>
      <c r="H1262" s="1" t="s">
        <v>1756</v>
      </c>
      <c r="I1262" s="1">
        <v>100</v>
      </c>
      <c r="J1262" s="1" t="s">
        <v>1774</v>
      </c>
      <c r="K1262" s="1">
        <v>6</v>
      </c>
      <c r="L1262" s="1">
        <f t="shared" si="20"/>
        <v>500</v>
      </c>
      <c r="M1262" s="1" t="s">
        <v>1741</v>
      </c>
      <c r="N1262" s="1"/>
      <c r="O1262" s="1" t="str">
        <f>IF($J1262=Sheet2!$A$2, ROW(), "")</f>
        <v/>
      </c>
    </row>
    <row r="1263" spans="1:15" ht="14" customHeight="1" x14ac:dyDescent="0.3">
      <c r="A1263" s="1" t="s">
        <v>3349</v>
      </c>
      <c r="B1263" s="1">
        <v>23</v>
      </c>
      <c r="C1263" s="1" t="s">
        <v>1955</v>
      </c>
      <c r="D1263" s="1"/>
      <c r="E1263" s="1"/>
      <c r="F1263" s="1">
        <v>120</v>
      </c>
      <c r="G1263" s="1">
        <v>140</v>
      </c>
      <c r="H1263" s="1" t="s">
        <v>1837</v>
      </c>
      <c r="I1263" s="1">
        <v>80</v>
      </c>
      <c r="J1263" s="1" t="s">
        <v>1774</v>
      </c>
      <c r="K1263" s="1">
        <v>6</v>
      </c>
      <c r="L1263" s="1">
        <f t="shared" si="20"/>
        <v>400</v>
      </c>
      <c r="M1263" s="1" t="s">
        <v>1741</v>
      </c>
      <c r="N1263" s="1"/>
      <c r="O1263" s="1" t="str">
        <f>IF($J1263=Sheet2!$A$2, ROW(), "")</f>
        <v/>
      </c>
    </row>
    <row r="1264" spans="1:15" ht="14" customHeight="1" x14ac:dyDescent="0.3">
      <c r="A1264" s="1" t="s">
        <v>3350</v>
      </c>
      <c r="B1264" s="1">
        <v>22</v>
      </c>
      <c r="C1264" s="1" t="s">
        <v>1889</v>
      </c>
      <c r="D1264" s="1"/>
      <c r="E1264" s="1"/>
      <c r="F1264" s="1">
        <v>126</v>
      </c>
      <c r="G1264" s="1">
        <v>170</v>
      </c>
      <c r="H1264" s="1" t="s">
        <v>3247</v>
      </c>
      <c r="I1264" s="1">
        <v>200</v>
      </c>
      <c r="J1264" s="1" t="s">
        <v>1887</v>
      </c>
      <c r="K1264" s="1">
        <v>6</v>
      </c>
      <c r="L1264" s="1">
        <f t="shared" si="20"/>
        <v>1000</v>
      </c>
      <c r="M1264" s="1" t="s">
        <v>1741</v>
      </c>
      <c r="N1264" s="1"/>
      <c r="O1264" s="1" t="str">
        <f>IF($J1264=Sheet2!$A$2, ROW(), "")</f>
        <v/>
      </c>
    </row>
    <row r="1265" spans="1:15" ht="14" customHeight="1" x14ac:dyDescent="0.3">
      <c r="A1265" s="1" t="s">
        <v>3351</v>
      </c>
      <c r="B1265" s="1">
        <v>23</v>
      </c>
      <c r="C1265" s="1" t="s">
        <v>3352</v>
      </c>
      <c r="D1265" s="1"/>
      <c r="E1265" s="1"/>
      <c r="F1265" s="1">
        <v>114</v>
      </c>
      <c r="G1265" s="1">
        <v>145</v>
      </c>
      <c r="H1265" s="1" t="s">
        <v>1786</v>
      </c>
      <c r="I1265" s="1">
        <v>150</v>
      </c>
      <c r="J1265" s="1" t="s">
        <v>1854</v>
      </c>
      <c r="K1265" s="1">
        <v>6</v>
      </c>
      <c r="L1265" s="1">
        <f t="shared" si="20"/>
        <v>750</v>
      </c>
      <c r="M1265" s="1" t="s">
        <v>1741</v>
      </c>
      <c r="N1265" s="1"/>
      <c r="O1265" s="1" t="str">
        <f>IF($J1265=Sheet2!$A$2, ROW(), "")</f>
        <v/>
      </c>
    </row>
    <row r="1266" spans="1:15" ht="14" customHeight="1" x14ac:dyDescent="0.3">
      <c r="A1266" s="1" t="s">
        <v>3353</v>
      </c>
      <c r="B1266" s="1">
        <v>22</v>
      </c>
      <c r="C1266" s="1" t="s">
        <v>1939</v>
      </c>
      <c r="D1266" s="1"/>
      <c r="E1266" s="1"/>
      <c r="F1266" s="1">
        <v>120</v>
      </c>
      <c r="G1266" s="1">
        <v>135</v>
      </c>
      <c r="H1266" s="1" t="s">
        <v>1786</v>
      </c>
      <c r="I1266" s="1">
        <v>150</v>
      </c>
      <c r="J1266" s="1" t="s">
        <v>1774</v>
      </c>
      <c r="K1266" s="1">
        <v>6</v>
      </c>
      <c r="L1266" s="1">
        <f t="shared" si="20"/>
        <v>750</v>
      </c>
      <c r="M1266" s="1" t="s">
        <v>1741</v>
      </c>
      <c r="N1266" s="1"/>
      <c r="O1266" s="1" t="str">
        <f>IF($J1266=Sheet2!$A$2, ROW(), "")</f>
        <v/>
      </c>
    </row>
    <row r="1267" spans="1:15" ht="14" customHeight="1" x14ac:dyDescent="0.3">
      <c r="A1267" s="1" t="s">
        <v>3354</v>
      </c>
      <c r="B1267" s="1">
        <v>23</v>
      </c>
      <c r="C1267" s="1" t="s">
        <v>1773</v>
      </c>
      <c r="D1267" s="1"/>
      <c r="E1267" s="1"/>
      <c r="F1267" s="1">
        <v>126</v>
      </c>
      <c r="G1267" s="1">
        <v>142</v>
      </c>
      <c r="H1267" s="1" t="s">
        <v>1769</v>
      </c>
      <c r="I1267" s="1">
        <v>150</v>
      </c>
      <c r="J1267" s="1" t="s">
        <v>1720</v>
      </c>
      <c r="K1267" s="1">
        <v>6</v>
      </c>
      <c r="L1267" s="1">
        <f t="shared" si="20"/>
        <v>750</v>
      </c>
      <c r="M1267" s="1" t="s">
        <v>1741</v>
      </c>
      <c r="N1267" s="1"/>
      <c r="O1267" s="1" t="str">
        <f>IF($J1267=Sheet2!$A$2, ROW(), "")</f>
        <v/>
      </c>
    </row>
    <row r="1268" spans="1:15" ht="14" customHeight="1" x14ac:dyDescent="0.3">
      <c r="A1268" s="1" t="s">
        <v>3355</v>
      </c>
      <c r="B1268" s="1">
        <v>22</v>
      </c>
      <c r="C1268" s="1" t="s">
        <v>3356</v>
      </c>
      <c r="D1268" s="1"/>
      <c r="E1268" s="1"/>
      <c r="F1268" s="1">
        <v>102</v>
      </c>
      <c r="G1268" s="1">
        <v>140</v>
      </c>
      <c r="H1268" s="1" t="s">
        <v>3357</v>
      </c>
      <c r="I1268" s="1">
        <v>60</v>
      </c>
      <c r="J1268" s="1" t="s">
        <v>1774</v>
      </c>
      <c r="K1268" s="1">
        <v>6</v>
      </c>
      <c r="L1268" s="1">
        <f t="shared" si="20"/>
        <v>300</v>
      </c>
      <c r="M1268" s="1" t="s">
        <v>1741</v>
      </c>
      <c r="N1268" s="1"/>
      <c r="O1268" s="1" t="str">
        <f>IF($J1268=Sheet2!$A$2, ROW(), "")</f>
        <v/>
      </c>
    </row>
    <row r="1269" spans="1:15" ht="14" customHeight="1" x14ac:dyDescent="0.3">
      <c r="A1269" s="1" t="s">
        <v>3358</v>
      </c>
      <c r="B1269" s="1">
        <v>24</v>
      </c>
      <c r="C1269" s="1" t="s">
        <v>1864</v>
      </c>
      <c r="D1269" s="1"/>
      <c r="E1269" s="1"/>
      <c r="F1269" s="1">
        <v>123</v>
      </c>
      <c r="G1269" s="1">
        <v>140</v>
      </c>
      <c r="H1269" s="1" t="s">
        <v>1769</v>
      </c>
      <c r="I1269" s="1">
        <v>200</v>
      </c>
      <c r="J1269" s="1" t="s">
        <v>1865</v>
      </c>
      <c r="K1269" s="1">
        <v>6</v>
      </c>
      <c r="L1269" s="1">
        <f t="shared" si="20"/>
        <v>1000</v>
      </c>
      <c r="M1269" s="1" t="s">
        <v>1741</v>
      </c>
      <c r="N1269" s="1"/>
      <c r="O1269" s="1" t="str">
        <f>IF($J1269=Sheet2!$A$2, ROW(), "")</f>
        <v/>
      </c>
    </row>
    <row r="1270" spans="1:15" ht="14" customHeight="1" x14ac:dyDescent="0.3">
      <c r="A1270" s="1" t="s">
        <v>3359</v>
      </c>
      <c r="B1270" s="1">
        <v>23</v>
      </c>
      <c r="C1270" s="1" t="s">
        <v>1939</v>
      </c>
      <c r="D1270" s="1"/>
      <c r="E1270" s="1"/>
      <c r="F1270" s="1">
        <v>119</v>
      </c>
      <c r="G1270" s="1">
        <v>133</v>
      </c>
      <c r="H1270" s="1" t="s">
        <v>1871</v>
      </c>
      <c r="I1270" s="1">
        <v>150</v>
      </c>
      <c r="J1270" s="1" t="s">
        <v>1740</v>
      </c>
      <c r="K1270" s="1">
        <v>6</v>
      </c>
      <c r="L1270" s="1">
        <f t="shared" si="20"/>
        <v>750</v>
      </c>
      <c r="M1270" s="1" t="s">
        <v>1741</v>
      </c>
      <c r="N1270" s="1"/>
      <c r="O1270" s="1" t="str">
        <f>IF($J1270=Sheet2!$A$2, ROW(), "")</f>
        <v/>
      </c>
    </row>
    <row r="1271" spans="1:15" ht="14" customHeight="1" x14ac:dyDescent="0.3">
      <c r="A1271" s="1" t="s">
        <v>3360</v>
      </c>
      <c r="B1271" s="1">
        <v>21</v>
      </c>
      <c r="C1271" s="1" t="s">
        <v>3361</v>
      </c>
      <c r="D1271" s="1"/>
      <c r="E1271" s="1"/>
      <c r="F1271" s="1">
        <v>102</v>
      </c>
      <c r="G1271" s="1">
        <v>136</v>
      </c>
      <c r="H1271" s="1" t="s">
        <v>1874</v>
      </c>
      <c r="I1271" s="1">
        <v>150</v>
      </c>
      <c r="J1271" s="1" t="s">
        <v>1740</v>
      </c>
      <c r="K1271" s="1">
        <v>6</v>
      </c>
      <c r="L1271" s="1">
        <f t="shared" si="20"/>
        <v>750</v>
      </c>
      <c r="M1271" s="1" t="s">
        <v>1741</v>
      </c>
      <c r="N1271" s="1"/>
      <c r="O1271" s="1" t="str">
        <f>IF($J1271=Sheet2!$A$2, ROW(), "")</f>
        <v/>
      </c>
    </row>
    <row r="1272" spans="1:15" ht="14" customHeight="1" x14ac:dyDescent="0.3">
      <c r="A1272" s="1" t="s">
        <v>3362</v>
      </c>
      <c r="B1272" s="1">
        <v>23</v>
      </c>
      <c r="C1272" s="1" t="s">
        <v>3363</v>
      </c>
      <c r="D1272" s="1"/>
      <c r="E1272" s="1"/>
      <c r="F1272" s="1">
        <v>115</v>
      </c>
      <c r="G1272" s="1">
        <v>145</v>
      </c>
      <c r="H1272" s="1" t="s">
        <v>1749</v>
      </c>
      <c r="I1272" s="1">
        <v>120</v>
      </c>
      <c r="J1272" s="1" t="s">
        <v>1774</v>
      </c>
      <c r="K1272" s="1">
        <v>6</v>
      </c>
      <c r="L1272" s="1">
        <f t="shared" si="20"/>
        <v>600</v>
      </c>
      <c r="M1272" s="1" t="s">
        <v>1741</v>
      </c>
      <c r="N1272" s="1"/>
      <c r="O1272" s="1" t="str">
        <f>IF($J1272=Sheet2!$A$2, ROW(), "")</f>
        <v/>
      </c>
    </row>
    <row r="1273" spans="1:15" ht="14" customHeight="1" x14ac:dyDescent="0.3">
      <c r="A1273" s="1" t="s">
        <v>3364</v>
      </c>
      <c r="B1273" s="1">
        <v>21</v>
      </c>
      <c r="C1273" s="1" t="s">
        <v>1860</v>
      </c>
      <c r="D1273" s="1"/>
      <c r="E1273" s="1"/>
      <c r="F1273" s="1">
        <v>126</v>
      </c>
      <c r="G1273" s="1">
        <v>150</v>
      </c>
      <c r="H1273" s="1" t="s">
        <v>1769</v>
      </c>
      <c r="I1273" s="1">
        <v>180</v>
      </c>
      <c r="J1273" s="1" t="s">
        <v>1854</v>
      </c>
      <c r="K1273" s="1">
        <v>6</v>
      </c>
      <c r="L1273" s="1">
        <f t="shared" si="20"/>
        <v>900</v>
      </c>
      <c r="M1273" s="1" t="s">
        <v>1741</v>
      </c>
      <c r="N1273" s="1"/>
      <c r="O1273" s="1" t="str">
        <f>IF($J1273=Sheet2!$A$2, ROW(), "")</f>
        <v/>
      </c>
    </row>
    <row r="1274" spans="1:15" ht="14" customHeight="1" x14ac:dyDescent="0.3">
      <c r="A1274" s="1" t="s">
        <v>3365</v>
      </c>
      <c r="B1274" s="1">
        <v>21</v>
      </c>
      <c r="C1274" s="1" t="s">
        <v>3366</v>
      </c>
      <c r="D1274" s="1"/>
      <c r="E1274" s="1"/>
      <c r="F1274" s="1">
        <v>115</v>
      </c>
      <c r="G1274" s="1">
        <v>140</v>
      </c>
      <c r="H1274" s="1" t="s">
        <v>1810</v>
      </c>
      <c r="I1274" s="1">
        <v>120</v>
      </c>
      <c r="J1274" s="1" t="s">
        <v>1774</v>
      </c>
      <c r="K1274" s="1">
        <v>6</v>
      </c>
      <c r="L1274" s="1">
        <f t="shared" si="20"/>
        <v>600</v>
      </c>
      <c r="M1274" s="1" t="s">
        <v>1741</v>
      </c>
      <c r="N1274" s="1"/>
      <c r="O1274" s="1" t="str">
        <f>IF($J1274=Sheet2!$A$2, ROW(), "")</f>
        <v/>
      </c>
    </row>
    <row r="1275" spans="1:15" ht="14" customHeight="1" x14ac:dyDescent="0.3">
      <c r="A1275" s="1" t="s">
        <v>3367</v>
      </c>
      <c r="B1275" s="1">
        <v>21</v>
      </c>
      <c r="C1275" s="1" t="s">
        <v>1889</v>
      </c>
      <c r="D1275" s="1"/>
      <c r="E1275" s="1"/>
      <c r="F1275" s="1">
        <v>125</v>
      </c>
      <c r="G1275" s="1">
        <v>170</v>
      </c>
      <c r="H1275" s="1" t="s">
        <v>3368</v>
      </c>
      <c r="I1275" s="1">
        <v>200</v>
      </c>
      <c r="J1275" s="1" t="s">
        <v>1865</v>
      </c>
      <c r="K1275" s="1">
        <v>6</v>
      </c>
      <c r="L1275" s="1">
        <f t="shared" si="20"/>
        <v>1000</v>
      </c>
      <c r="M1275" s="1" t="s">
        <v>1741</v>
      </c>
      <c r="N1275" s="1"/>
      <c r="O1275" s="1" t="str">
        <f>IF($J1275=Sheet2!$A$2, ROW(), "")</f>
        <v/>
      </c>
    </row>
    <row r="1276" spans="1:15" ht="14" customHeight="1" x14ac:dyDescent="0.3">
      <c r="A1276" s="1" t="s">
        <v>3369</v>
      </c>
      <c r="B1276" s="1">
        <v>21</v>
      </c>
      <c r="C1276" s="1" t="s">
        <v>3370</v>
      </c>
      <c r="D1276" s="1"/>
      <c r="E1276" s="1"/>
      <c r="F1276" s="1">
        <v>119</v>
      </c>
      <c r="G1276" s="1">
        <v>147</v>
      </c>
      <c r="H1276" s="1" t="s">
        <v>1970</v>
      </c>
      <c r="I1276" s="1">
        <v>160</v>
      </c>
      <c r="J1276" s="1" t="s">
        <v>1774</v>
      </c>
      <c r="K1276" s="1">
        <v>6</v>
      </c>
      <c r="L1276" s="1">
        <f t="shared" si="20"/>
        <v>800</v>
      </c>
      <c r="M1276" s="1" t="s">
        <v>1741</v>
      </c>
      <c r="N1276" s="1"/>
      <c r="O1276" s="1" t="str">
        <f>IF($J1276=Sheet2!$A$2, ROW(), "")</f>
        <v/>
      </c>
    </row>
    <row r="1277" spans="1:15" ht="14" customHeight="1" x14ac:dyDescent="0.3">
      <c r="A1277" s="1" t="s">
        <v>3371</v>
      </c>
      <c r="B1277" s="1">
        <v>21</v>
      </c>
      <c r="C1277" s="1" t="s">
        <v>3372</v>
      </c>
      <c r="D1277" s="1"/>
      <c r="E1277" s="1"/>
      <c r="F1277" s="1">
        <v>109</v>
      </c>
      <c r="G1277" s="1">
        <v>136</v>
      </c>
      <c r="H1277" s="1" t="s">
        <v>1747</v>
      </c>
      <c r="I1277" s="1">
        <v>100</v>
      </c>
      <c r="J1277" s="1" t="s">
        <v>1774</v>
      </c>
      <c r="K1277" s="1">
        <v>6</v>
      </c>
      <c r="L1277" s="1">
        <f t="shared" si="20"/>
        <v>500</v>
      </c>
      <c r="M1277" s="1" t="s">
        <v>1741</v>
      </c>
      <c r="N1277" s="1"/>
      <c r="O1277" s="1" t="str">
        <f>IF($J1277=Sheet2!$A$2, ROW(), "")</f>
        <v/>
      </c>
    </row>
    <row r="1278" spans="1:15" ht="14" customHeight="1" x14ac:dyDescent="0.3">
      <c r="A1278" s="1" t="s">
        <v>3373</v>
      </c>
      <c r="B1278" s="1">
        <v>37</v>
      </c>
      <c r="C1278" s="1" t="s">
        <v>1939</v>
      </c>
      <c r="D1278" s="1"/>
      <c r="E1278" s="1"/>
      <c r="F1278" s="1">
        <v>122</v>
      </c>
      <c r="G1278" s="1">
        <v>127</v>
      </c>
      <c r="H1278" s="1" t="s">
        <v>1749</v>
      </c>
      <c r="I1278" s="1">
        <v>150</v>
      </c>
      <c r="J1278" s="1" t="s">
        <v>1865</v>
      </c>
      <c r="K1278" s="1">
        <v>6</v>
      </c>
      <c r="L1278" s="1">
        <f t="shared" si="20"/>
        <v>750</v>
      </c>
      <c r="M1278" s="1" t="s">
        <v>1741</v>
      </c>
      <c r="N1278" s="1"/>
      <c r="O1278" s="1" t="str">
        <f>IF($J1278=Sheet2!$A$2, ROW(), "")</f>
        <v/>
      </c>
    </row>
    <row r="1279" spans="1:15" ht="14" customHeight="1" x14ac:dyDescent="0.3">
      <c r="A1279" s="1" t="s">
        <v>3374</v>
      </c>
      <c r="B1279" s="1">
        <v>33</v>
      </c>
      <c r="C1279" s="1" t="s">
        <v>1939</v>
      </c>
      <c r="D1279" s="1"/>
      <c r="E1279" s="1"/>
      <c r="F1279" s="1">
        <v>124</v>
      </c>
      <c r="G1279" s="1">
        <v>148</v>
      </c>
      <c r="H1279" s="1" t="s">
        <v>1842</v>
      </c>
      <c r="I1279" s="1">
        <v>150</v>
      </c>
      <c r="J1279" s="1" t="s">
        <v>1865</v>
      </c>
      <c r="K1279" s="1">
        <v>6</v>
      </c>
      <c r="L1279" s="1">
        <f t="shared" si="20"/>
        <v>750</v>
      </c>
      <c r="M1279" s="1" t="s">
        <v>1741</v>
      </c>
      <c r="N1279" s="1"/>
      <c r="O1279" s="1" t="str">
        <f>IF($J1279=Sheet2!$A$2, ROW(), "")</f>
        <v/>
      </c>
    </row>
    <row r="1280" spans="1:15" ht="14" customHeight="1" x14ac:dyDescent="0.3">
      <c r="A1280" s="1" t="s">
        <v>3375</v>
      </c>
      <c r="B1280" s="1">
        <v>21</v>
      </c>
      <c r="C1280" s="1" t="s">
        <v>1955</v>
      </c>
      <c r="D1280" s="1"/>
      <c r="E1280" s="1"/>
      <c r="F1280" s="1">
        <v>113</v>
      </c>
      <c r="G1280" s="1">
        <v>136</v>
      </c>
      <c r="H1280" s="1" t="s">
        <v>1886</v>
      </c>
      <c r="I1280" s="1">
        <v>150</v>
      </c>
      <c r="J1280" s="1" t="s">
        <v>1976</v>
      </c>
      <c r="K1280" s="1">
        <v>6</v>
      </c>
      <c r="L1280" s="1">
        <f t="shared" si="20"/>
        <v>750</v>
      </c>
      <c r="M1280" s="1" t="s">
        <v>1741</v>
      </c>
      <c r="N1280" s="1"/>
      <c r="O1280" s="1" t="str">
        <f>IF($J1280=Sheet2!$A$2, ROW(), "")</f>
        <v/>
      </c>
    </row>
    <row r="1281" spans="1:15" ht="14" customHeight="1" x14ac:dyDescent="0.3">
      <c r="A1281" s="1" t="s">
        <v>3376</v>
      </c>
      <c r="B1281" s="1">
        <v>20</v>
      </c>
      <c r="C1281" s="1" t="s">
        <v>1758</v>
      </c>
      <c r="D1281" s="1"/>
      <c r="E1281" s="1"/>
      <c r="F1281" s="1">
        <v>125</v>
      </c>
      <c r="G1281" s="1">
        <v>170</v>
      </c>
      <c r="H1281" s="1" t="s">
        <v>1812</v>
      </c>
      <c r="I1281" s="1">
        <v>400</v>
      </c>
      <c r="J1281" s="1" t="s">
        <v>1847</v>
      </c>
      <c r="K1281" s="1">
        <v>8</v>
      </c>
      <c r="L1281" s="1">
        <f t="shared" si="20"/>
        <v>2000</v>
      </c>
      <c r="M1281" s="1" t="s">
        <v>1741</v>
      </c>
      <c r="N1281" s="1"/>
      <c r="O1281" s="1" t="str">
        <f>IF($J1281=Sheet2!$A$2, ROW(), "")</f>
        <v/>
      </c>
    </row>
    <row r="1282" spans="1:15" ht="14" customHeight="1" x14ac:dyDescent="0.3">
      <c r="A1282" s="1" t="s">
        <v>3377</v>
      </c>
      <c r="B1282" s="1">
        <v>21</v>
      </c>
      <c r="C1282" s="1" t="s">
        <v>3378</v>
      </c>
      <c r="D1282" s="1"/>
      <c r="E1282" s="1"/>
      <c r="F1282" s="1">
        <v>108</v>
      </c>
      <c r="G1282" s="1">
        <v>142</v>
      </c>
      <c r="H1282" s="1" t="s">
        <v>1747</v>
      </c>
      <c r="I1282" s="1">
        <v>180</v>
      </c>
      <c r="J1282" s="1" t="s">
        <v>1740</v>
      </c>
      <c r="K1282" s="1">
        <v>6</v>
      </c>
      <c r="L1282" s="1">
        <f t="shared" si="20"/>
        <v>900</v>
      </c>
      <c r="M1282" s="1" t="s">
        <v>1741</v>
      </c>
      <c r="N1282" s="1"/>
      <c r="O1282" s="1" t="str">
        <f>IF($J1282=Sheet2!$A$2, ROW(), "")</f>
        <v/>
      </c>
    </row>
    <row r="1283" spans="1:15" ht="14" customHeight="1" x14ac:dyDescent="0.3">
      <c r="A1283" s="1" t="s">
        <v>3379</v>
      </c>
      <c r="B1283" s="1">
        <v>25</v>
      </c>
      <c r="C1283" s="1" t="s">
        <v>3380</v>
      </c>
      <c r="D1283" s="1"/>
      <c r="E1283" s="1"/>
      <c r="F1283" s="1">
        <v>120</v>
      </c>
      <c r="G1283" s="1">
        <v>140</v>
      </c>
      <c r="H1283" s="1" t="s">
        <v>3381</v>
      </c>
      <c r="I1283" s="1">
        <v>120</v>
      </c>
      <c r="J1283" s="1" t="s">
        <v>1774</v>
      </c>
      <c r="K1283" s="1">
        <v>6</v>
      </c>
      <c r="L1283" s="1">
        <f t="shared" si="20"/>
        <v>600</v>
      </c>
      <c r="M1283" s="1" t="s">
        <v>1741</v>
      </c>
      <c r="N1283" s="1"/>
      <c r="O1283" s="1" t="str">
        <f>IF($J1283=Sheet2!$A$2, ROW(), "")</f>
        <v/>
      </c>
    </row>
    <row r="1284" spans="1:15" ht="14" customHeight="1" x14ac:dyDescent="0.3">
      <c r="A1284" s="1" t="s">
        <v>3382</v>
      </c>
      <c r="B1284" s="1">
        <v>20</v>
      </c>
      <c r="C1284" s="1" t="s">
        <v>1738</v>
      </c>
      <c r="D1284" s="1"/>
      <c r="E1284" s="1"/>
      <c r="F1284" s="1">
        <v>124</v>
      </c>
      <c r="G1284" s="1">
        <v>150</v>
      </c>
      <c r="H1284" s="1" t="s">
        <v>3247</v>
      </c>
      <c r="I1284" s="1">
        <v>150</v>
      </c>
      <c r="J1284" s="1" t="s">
        <v>1720</v>
      </c>
      <c r="K1284" s="1">
        <v>6</v>
      </c>
      <c r="L1284" s="1">
        <f t="shared" si="20"/>
        <v>750</v>
      </c>
      <c r="M1284" s="1" t="s">
        <v>1741</v>
      </c>
      <c r="N1284" s="1"/>
      <c r="O1284" s="1" t="str">
        <f>IF($J1284=Sheet2!$A$2, ROW(), "")</f>
        <v/>
      </c>
    </row>
    <row r="1285" spans="1:15" ht="14" customHeight="1" x14ac:dyDescent="0.3">
      <c r="A1285" s="1" t="s">
        <v>3383</v>
      </c>
      <c r="B1285" s="1">
        <v>22</v>
      </c>
      <c r="C1285" s="1" t="s">
        <v>1864</v>
      </c>
      <c r="D1285" s="1"/>
      <c r="E1285" s="1"/>
      <c r="F1285" s="1">
        <v>114</v>
      </c>
      <c r="G1285" s="1">
        <v>130</v>
      </c>
      <c r="H1285" s="1" t="s">
        <v>3384</v>
      </c>
      <c r="I1285" s="1">
        <v>140</v>
      </c>
      <c r="J1285" s="1" t="s">
        <v>1740</v>
      </c>
      <c r="K1285" s="1">
        <v>6</v>
      </c>
      <c r="L1285" s="1">
        <f t="shared" si="20"/>
        <v>700</v>
      </c>
      <c r="M1285" s="1" t="s">
        <v>1741</v>
      </c>
      <c r="N1285" s="1"/>
      <c r="O1285" s="1" t="str">
        <f>IF($J1285=Sheet2!$A$2, ROW(), "")</f>
        <v/>
      </c>
    </row>
    <row r="1286" spans="1:15" ht="14" customHeight="1" x14ac:dyDescent="0.3">
      <c r="A1286" s="1" t="s">
        <v>3385</v>
      </c>
      <c r="B1286" s="1">
        <v>27</v>
      </c>
      <c r="C1286" s="1" t="s">
        <v>1955</v>
      </c>
      <c r="D1286" s="1"/>
      <c r="E1286" s="1"/>
      <c r="F1286" s="1">
        <v>114</v>
      </c>
      <c r="G1286" s="1">
        <v>120</v>
      </c>
      <c r="H1286" s="1" t="s">
        <v>1749</v>
      </c>
      <c r="I1286" s="1">
        <v>100</v>
      </c>
      <c r="J1286" s="1" t="s">
        <v>1854</v>
      </c>
      <c r="K1286" s="1">
        <v>6</v>
      </c>
      <c r="L1286" s="1">
        <f t="shared" ref="L1286:L1315" si="21">I1286*5</f>
        <v>500</v>
      </c>
      <c r="M1286" s="1" t="s">
        <v>1741</v>
      </c>
      <c r="N1286" s="1"/>
      <c r="O1286" s="1" t="str">
        <f>IF($J1286=Sheet2!$A$2, ROW(), "")</f>
        <v/>
      </c>
    </row>
    <row r="1287" spans="1:15" ht="14" customHeight="1" x14ac:dyDescent="0.3">
      <c r="A1287" s="1" t="s">
        <v>3386</v>
      </c>
      <c r="B1287" s="1">
        <v>28</v>
      </c>
      <c r="C1287" s="1" t="s">
        <v>3337</v>
      </c>
      <c r="D1287" s="1"/>
      <c r="E1287" s="1"/>
      <c r="F1287" s="1">
        <v>125</v>
      </c>
      <c r="G1287" s="1">
        <v>145</v>
      </c>
      <c r="H1287" s="1" t="s">
        <v>1739</v>
      </c>
      <c r="I1287" s="1">
        <v>150</v>
      </c>
      <c r="J1287" s="1" t="s">
        <v>1865</v>
      </c>
      <c r="K1287" s="1">
        <v>6</v>
      </c>
      <c r="L1287" s="1">
        <f t="shared" si="21"/>
        <v>750</v>
      </c>
      <c r="M1287" s="1" t="s">
        <v>1741</v>
      </c>
      <c r="N1287" s="1"/>
      <c r="O1287" s="1" t="str">
        <f>IF($J1287=Sheet2!$A$2, ROW(), "")</f>
        <v/>
      </c>
    </row>
    <row r="1288" spans="1:15" ht="14" customHeight="1" x14ac:dyDescent="0.3">
      <c r="A1288" s="1" t="s">
        <v>3387</v>
      </c>
      <c r="B1288" s="1">
        <v>22</v>
      </c>
      <c r="C1288" s="1" t="s">
        <v>1856</v>
      </c>
      <c r="D1288" s="1"/>
      <c r="E1288" s="1"/>
      <c r="F1288" s="1">
        <v>122</v>
      </c>
      <c r="G1288" s="1">
        <v>142</v>
      </c>
      <c r="H1288" s="1" t="s">
        <v>3388</v>
      </c>
      <c r="I1288" s="1">
        <v>150</v>
      </c>
      <c r="J1288" s="1" t="s">
        <v>1752</v>
      </c>
      <c r="K1288" s="1">
        <v>6</v>
      </c>
      <c r="L1288" s="1">
        <f t="shared" si="21"/>
        <v>750</v>
      </c>
      <c r="M1288" s="1" t="s">
        <v>1741</v>
      </c>
      <c r="N1288" s="1"/>
      <c r="O1288" s="1" t="str">
        <f>IF($J1288=Sheet2!$A$2, ROW(), "")</f>
        <v/>
      </c>
    </row>
    <row r="1289" spans="1:15" ht="14" customHeight="1" x14ac:dyDescent="0.3">
      <c r="A1289" s="1" t="s">
        <v>3389</v>
      </c>
      <c r="B1289" s="1">
        <v>20</v>
      </c>
      <c r="C1289" s="1" t="s">
        <v>1746</v>
      </c>
      <c r="D1289" s="1"/>
      <c r="E1289" s="1"/>
      <c r="F1289" s="1">
        <v>116</v>
      </c>
      <c r="G1289" s="1">
        <v>150</v>
      </c>
      <c r="H1289" s="1" t="s">
        <v>1739</v>
      </c>
      <c r="I1289" s="1">
        <v>100</v>
      </c>
      <c r="J1289" s="1" t="s">
        <v>1854</v>
      </c>
      <c r="K1289" s="1">
        <v>6</v>
      </c>
      <c r="L1289" s="1">
        <f t="shared" si="21"/>
        <v>500</v>
      </c>
      <c r="M1289" s="1" t="s">
        <v>1741</v>
      </c>
      <c r="N1289" s="1"/>
      <c r="O1289" s="1" t="str">
        <f>IF($J1289=Sheet2!$A$2, ROW(), "")</f>
        <v/>
      </c>
    </row>
    <row r="1290" spans="1:15" ht="14" customHeight="1" x14ac:dyDescent="0.3">
      <c r="A1290" s="1" t="s">
        <v>3390</v>
      </c>
      <c r="B1290" s="1">
        <v>34</v>
      </c>
      <c r="C1290" s="1" t="s">
        <v>3181</v>
      </c>
      <c r="D1290" s="1"/>
      <c r="E1290" s="1"/>
      <c r="F1290" s="1">
        <v>126</v>
      </c>
      <c r="G1290" s="1">
        <v>128</v>
      </c>
      <c r="H1290" s="1" t="s">
        <v>1784</v>
      </c>
      <c r="I1290" s="1">
        <v>90</v>
      </c>
      <c r="J1290" s="1" t="s">
        <v>1774</v>
      </c>
      <c r="K1290" s="1">
        <v>6</v>
      </c>
      <c r="L1290" s="1">
        <f t="shared" si="21"/>
        <v>450</v>
      </c>
      <c r="M1290" s="1" t="s">
        <v>1741</v>
      </c>
      <c r="N1290" s="1"/>
      <c r="O1290" s="1" t="str">
        <f>IF($J1290=Sheet2!$A$2, ROW(), "")</f>
        <v/>
      </c>
    </row>
    <row r="1291" spans="1:15" ht="14" customHeight="1" x14ac:dyDescent="0.3">
      <c r="A1291" s="1" t="s">
        <v>3391</v>
      </c>
      <c r="B1291" s="1">
        <v>30</v>
      </c>
      <c r="C1291" s="1" t="s">
        <v>1743</v>
      </c>
      <c r="D1291" s="1"/>
      <c r="E1291" s="1"/>
      <c r="F1291" s="1">
        <v>126</v>
      </c>
      <c r="G1291" s="1">
        <v>128</v>
      </c>
      <c r="H1291" s="1" t="s">
        <v>1861</v>
      </c>
      <c r="I1291" s="1">
        <v>80</v>
      </c>
      <c r="J1291" s="1" t="s">
        <v>1774</v>
      </c>
      <c r="K1291" s="1">
        <v>6</v>
      </c>
      <c r="L1291" s="1">
        <f t="shared" si="21"/>
        <v>400</v>
      </c>
      <c r="M1291" s="1" t="s">
        <v>1741</v>
      </c>
      <c r="N1291" s="1"/>
      <c r="O1291" s="1" t="str">
        <f>IF($J1291=Sheet2!$A$2, ROW(), "")</f>
        <v/>
      </c>
    </row>
    <row r="1292" spans="1:15" ht="14" customHeight="1" x14ac:dyDescent="0.3">
      <c r="A1292" s="1" t="s">
        <v>3392</v>
      </c>
      <c r="B1292" s="1">
        <v>28</v>
      </c>
      <c r="C1292" s="1" t="s">
        <v>1889</v>
      </c>
      <c r="D1292" s="1"/>
      <c r="E1292" s="1"/>
      <c r="F1292" s="1">
        <v>124</v>
      </c>
      <c r="G1292" s="1">
        <v>128</v>
      </c>
      <c r="H1292" s="1" t="s">
        <v>3393</v>
      </c>
      <c r="I1292" s="1">
        <v>80</v>
      </c>
      <c r="J1292" s="1" t="s">
        <v>1774</v>
      </c>
      <c r="K1292" s="1">
        <v>6</v>
      </c>
      <c r="L1292" s="1">
        <f t="shared" si="21"/>
        <v>400</v>
      </c>
      <c r="M1292" s="1" t="s">
        <v>1741</v>
      </c>
      <c r="N1292" s="1"/>
      <c r="O1292" s="1" t="str">
        <f>IF($J1292=Sheet2!$A$2, ROW(), "")</f>
        <v/>
      </c>
    </row>
    <row r="1293" spans="1:15" ht="14" customHeight="1" x14ac:dyDescent="0.3">
      <c r="A1293" s="1" t="s">
        <v>3394</v>
      </c>
      <c r="B1293" s="1">
        <v>30</v>
      </c>
      <c r="C1293" s="1" t="s">
        <v>1889</v>
      </c>
      <c r="D1293" s="1"/>
      <c r="E1293" s="1"/>
      <c r="F1293" s="1">
        <v>126</v>
      </c>
      <c r="G1293" s="1">
        <v>136</v>
      </c>
      <c r="H1293" s="1" t="s">
        <v>1784</v>
      </c>
      <c r="I1293" s="1">
        <v>90</v>
      </c>
      <c r="J1293" s="1" t="s">
        <v>1774</v>
      </c>
      <c r="K1293" s="1">
        <v>6</v>
      </c>
      <c r="L1293" s="1">
        <f t="shared" si="21"/>
        <v>450</v>
      </c>
      <c r="M1293" s="1" t="s">
        <v>1741</v>
      </c>
      <c r="N1293" s="1"/>
      <c r="O1293" s="1" t="str">
        <f>IF($J1293=Sheet2!$A$2, ROW(), "")</f>
        <v/>
      </c>
    </row>
    <row r="1294" spans="1:15" ht="14" customHeight="1" x14ac:dyDescent="0.3">
      <c r="A1294" s="1" t="s">
        <v>3395</v>
      </c>
      <c r="B1294" s="1">
        <v>31</v>
      </c>
      <c r="C1294" s="1" t="s">
        <v>1889</v>
      </c>
      <c r="D1294" s="1"/>
      <c r="E1294" s="1"/>
      <c r="F1294" s="1">
        <v>126</v>
      </c>
      <c r="G1294" s="1">
        <v>130</v>
      </c>
      <c r="H1294" s="1" t="s">
        <v>1739</v>
      </c>
      <c r="I1294" s="1">
        <v>100</v>
      </c>
      <c r="J1294" s="1" t="s">
        <v>1774</v>
      </c>
      <c r="K1294" s="1">
        <v>6</v>
      </c>
      <c r="L1294" s="1">
        <f t="shared" si="21"/>
        <v>500</v>
      </c>
      <c r="M1294" s="1" t="s">
        <v>1741</v>
      </c>
      <c r="N1294" s="1"/>
      <c r="O1294" s="1" t="str">
        <f>IF($J1294=Sheet2!$A$2, ROW(), "")</f>
        <v/>
      </c>
    </row>
    <row r="1295" spans="1:15" ht="14" customHeight="1" x14ac:dyDescent="0.3">
      <c r="A1295" s="1" t="s">
        <v>3396</v>
      </c>
      <c r="B1295" s="1">
        <v>28</v>
      </c>
      <c r="C1295" s="1" t="s">
        <v>1776</v>
      </c>
      <c r="D1295" s="1"/>
      <c r="E1295" s="1"/>
      <c r="F1295" s="1">
        <v>126</v>
      </c>
      <c r="G1295" s="1">
        <v>140</v>
      </c>
      <c r="H1295" s="1" t="s">
        <v>1807</v>
      </c>
      <c r="I1295" s="1">
        <v>100</v>
      </c>
      <c r="J1295" s="1" t="s">
        <v>1774</v>
      </c>
      <c r="K1295" s="1">
        <v>6</v>
      </c>
      <c r="L1295" s="1">
        <f t="shared" si="21"/>
        <v>500</v>
      </c>
      <c r="M1295" s="1" t="s">
        <v>1741</v>
      </c>
      <c r="N1295" s="1"/>
      <c r="O1295" s="1" t="str">
        <f>IF($J1295=Sheet2!$A$2, ROW(), "")</f>
        <v/>
      </c>
    </row>
    <row r="1296" spans="1:15" ht="14" customHeight="1" x14ac:dyDescent="0.3">
      <c r="A1296" s="1" t="s">
        <v>3397</v>
      </c>
      <c r="B1296" s="1">
        <v>20</v>
      </c>
      <c r="C1296" s="1" t="s">
        <v>3398</v>
      </c>
      <c r="D1296" s="1"/>
      <c r="E1296" s="1"/>
      <c r="F1296" s="1">
        <v>112</v>
      </c>
      <c r="G1296" s="1">
        <v>148</v>
      </c>
      <c r="H1296" s="1" t="s">
        <v>3399</v>
      </c>
      <c r="I1296" s="1">
        <v>100</v>
      </c>
      <c r="J1296" s="1" t="s">
        <v>1854</v>
      </c>
      <c r="K1296" s="1">
        <v>6</v>
      </c>
      <c r="L1296" s="1">
        <f t="shared" si="21"/>
        <v>500</v>
      </c>
      <c r="M1296" s="1" t="s">
        <v>1741</v>
      </c>
      <c r="N1296" s="1"/>
      <c r="O1296" s="1" t="str">
        <f>IF($J1296=Sheet2!$A$2, ROW(), "")</f>
        <v/>
      </c>
    </row>
    <row r="1297" spans="1:15" ht="14" customHeight="1" x14ac:dyDescent="0.3">
      <c r="A1297" s="1" t="s">
        <v>3400</v>
      </c>
      <c r="B1297" s="1">
        <v>20</v>
      </c>
      <c r="C1297" s="1" t="s">
        <v>1955</v>
      </c>
      <c r="D1297" s="1"/>
      <c r="E1297" s="1"/>
      <c r="F1297" s="1">
        <v>100</v>
      </c>
      <c r="G1297" s="1">
        <v>140</v>
      </c>
      <c r="H1297" s="1" t="s">
        <v>1842</v>
      </c>
      <c r="I1297" s="1">
        <v>40</v>
      </c>
      <c r="J1297" s="1" t="s">
        <v>1774</v>
      </c>
      <c r="K1297" s="1">
        <v>6</v>
      </c>
      <c r="L1297" s="1">
        <f t="shared" si="21"/>
        <v>200</v>
      </c>
      <c r="M1297" s="1" t="s">
        <v>1741</v>
      </c>
      <c r="N1297" s="1"/>
      <c r="O1297" s="1" t="str">
        <f>IF($J1297=Sheet2!$A$2, ROW(), "")</f>
        <v/>
      </c>
    </row>
    <row r="1298" spans="1:15" ht="14" customHeight="1" x14ac:dyDescent="0.3">
      <c r="A1298" s="1" t="s">
        <v>3401</v>
      </c>
      <c r="B1298" s="1">
        <v>17</v>
      </c>
      <c r="C1298" s="1" t="s">
        <v>3402</v>
      </c>
      <c r="D1298" s="1"/>
      <c r="E1298" s="1"/>
      <c r="F1298" s="1">
        <v>97</v>
      </c>
      <c r="G1298" s="1">
        <v>150</v>
      </c>
      <c r="H1298" s="1" t="s">
        <v>1812</v>
      </c>
      <c r="I1298" s="1">
        <v>24</v>
      </c>
      <c r="J1298" s="1" t="s">
        <v>1774</v>
      </c>
      <c r="K1298" s="1">
        <v>6</v>
      </c>
      <c r="L1298" s="1">
        <f t="shared" si="21"/>
        <v>120</v>
      </c>
      <c r="M1298" s="1" t="s">
        <v>1741</v>
      </c>
      <c r="N1298" s="1"/>
      <c r="O1298" s="1" t="str">
        <f>IF($J1298=Sheet2!$A$2, ROW(), "")</f>
        <v/>
      </c>
    </row>
    <row r="1299" spans="1:15" ht="14" customHeight="1" x14ac:dyDescent="0.3">
      <c r="A1299" s="1" t="s">
        <v>3403</v>
      </c>
      <c r="B1299" s="1">
        <v>21</v>
      </c>
      <c r="C1299" s="1" t="s">
        <v>1738</v>
      </c>
      <c r="D1299" s="1"/>
      <c r="E1299" s="1"/>
      <c r="F1299" s="1">
        <v>125</v>
      </c>
      <c r="G1299" s="1">
        <v>162</v>
      </c>
      <c r="H1299" s="1" t="s">
        <v>1749</v>
      </c>
      <c r="I1299" s="1">
        <v>120</v>
      </c>
      <c r="J1299" s="1" t="s">
        <v>1931</v>
      </c>
      <c r="K1299" s="1">
        <v>6</v>
      </c>
      <c r="L1299" s="1">
        <f t="shared" si="21"/>
        <v>600</v>
      </c>
      <c r="M1299" s="1" t="s">
        <v>1741</v>
      </c>
      <c r="N1299" s="1" t="s">
        <v>3404</v>
      </c>
      <c r="O1299" s="1" t="str">
        <f>IF($J1299=Sheet2!$A$2, ROW(), "")</f>
        <v/>
      </c>
    </row>
    <row r="1300" spans="1:15" ht="14" customHeight="1" x14ac:dyDescent="0.3">
      <c r="A1300" s="1" t="s">
        <v>3405</v>
      </c>
      <c r="B1300" s="1">
        <v>15</v>
      </c>
      <c r="C1300" s="1" t="s">
        <v>1869</v>
      </c>
      <c r="D1300" s="1"/>
      <c r="E1300" s="1"/>
      <c r="F1300" s="1">
        <v>125</v>
      </c>
      <c r="G1300" s="1">
        <v>180</v>
      </c>
      <c r="H1300" s="1" t="s">
        <v>1786</v>
      </c>
      <c r="I1300" s="1">
        <v>300</v>
      </c>
      <c r="J1300" s="1" t="s">
        <v>1865</v>
      </c>
      <c r="K1300" s="1">
        <v>6</v>
      </c>
      <c r="L1300" s="1">
        <f t="shared" si="21"/>
        <v>1500</v>
      </c>
      <c r="M1300" s="1" t="s">
        <v>1741</v>
      </c>
      <c r="N1300" s="1"/>
      <c r="O1300" s="1" t="str">
        <f>IF($J1300=Sheet2!$A$2, ROW(), "")</f>
        <v/>
      </c>
    </row>
    <row r="1301" spans="1:15" ht="14" customHeight="1" x14ac:dyDescent="0.3">
      <c r="A1301" s="1" t="s">
        <v>3406</v>
      </c>
      <c r="B1301" s="1">
        <v>20</v>
      </c>
      <c r="C1301" s="1" t="s">
        <v>1746</v>
      </c>
      <c r="D1301" s="1"/>
      <c r="E1301" s="1"/>
      <c r="F1301" s="1">
        <v>115</v>
      </c>
      <c r="G1301" s="1">
        <v>145</v>
      </c>
      <c r="H1301" s="1" t="s">
        <v>1784</v>
      </c>
      <c r="I1301" s="1">
        <v>120</v>
      </c>
      <c r="J1301" s="1" t="s">
        <v>3244</v>
      </c>
      <c r="K1301" s="1">
        <v>6</v>
      </c>
      <c r="L1301" s="1">
        <f t="shared" si="21"/>
        <v>600</v>
      </c>
      <c r="M1301" s="1" t="s">
        <v>1741</v>
      </c>
      <c r="N1301" s="1"/>
      <c r="O1301" s="1" t="str">
        <f>IF($J1301=Sheet2!$A$2, ROW(), "")</f>
        <v/>
      </c>
    </row>
    <row r="1302" spans="1:15" ht="14" customHeight="1" x14ac:dyDescent="0.3">
      <c r="A1302" s="1" t="s">
        <v>3408</v>
      </c>
      <c r="B1302" s="1">
        <v>27</v>
      </c>
      <c r="C1302" s="1" t="s">
        <v>1939</v>
      </c>
      <c r="D1302" s="1"/>
      <c r="E1302" s="1"/>
      <c r="F1302" s="1">
        <v>120</v>
      </c>
      <c r="G1302" s="1">
        <v>126</v>
      </c>
      <c r="H1302" s="1" t="s">
        <v>1784</v>
      </c>
      <c r="I1302" s="1">
        <v>220</v>
      </c>
      <c r="J1302" s="1" t="s">
        <v>1740</v>
      </c>
      <c r="K1302" s="1">
        <v>6</v>
      </c>
      <c r="L1302" s="1">
        <f t="shared" si="21"/>
        <v>1100</v>
      </c>
      <c r="M1302" s="1" t="s">
        <v>1741</v>
      </c>
      <c r="N1302" s="1"/>
      <c r="O1302" s="1" t="str">
        <f>IF($J1302=Sheet2!$A$2, ROW(), "")</f>
        <v/>
      </c>
    </row>
    <row r="1303" spans="1:15" ht="14" customHeight="1" x14ac:dyDescent="0.3">
      <c r="A1303" s="1" t="s">
        <v>3409</v>
      </c>
      <c r="B1303" s="1">
        <v>19</v>
      </c>
      <c r="C1303" s="1" t="s">
        <v>3280</v>
      </c>
      <c r="D1303" s="1"/>
      <c r="E1303" s="1"/>
      <c r="F1303" s="1">
        <v>114</v>
      </c>
      <c r="G1303" s="1">
        <v>150</v>
      </c>
      <c r="H1303" s="1" t="s">
        <v>3410</v>
      </c>
      <c r="I1303" s="1">
        <v>120</v>
      </c>
      <c r="J1303" s="1" t="s">
        <v>1854</v>
      </c>
      <c r="K1303" s="1">
        <v>6</v>
      </c>
      <c r="L1303" s="1">
        <f t="shared" si="21"/>
        <v>600</v>
      </c>
      <c r="M1303" s="1" t="s">
        <v>1741</v>
      </c>
      <c r="N1303" s="1"/>
      <c r="O1303" s="1" t="str">
        <f>IF($J1303=Sheet2!$A$2, ROW(), "")</f>
        <v/>
      </c>
    </row>
    <row r="1304" spans="1:15" ht="14" customHeight="1" x14ac:dyDescent="0.3">
      <c r="A1304" s="1" t="s">
        <v>3415</v>
      </c>
      <c r="B1304" s="1">
        <v>25</v>
      </c>
      <c r="C1304" s="1" t="s">
        <v>1939</v>
      </c>
      <c r="D1304" s="1"/>
      <c r="E1304" s="1"/>
      <c r="F1304" s="1">
        <v>114</v>
      </c>
      <c r="G1304" s="1">
        <v>128</v>
      </c>
      <c r="H1304" s="1" t="s">
        <v>3368</v>
      </c>
      <c r="I1304" s="1">
        <v>100</v>
      </c>
      <c r="J1304" s="1" t="s">
        <v>1740</v>
      </c>
      <c r="K1304" s="1">
        <v>6</v>
      </c>
      <c r="L1304" s="1">
        <f t="shared" si="21"/>
        <v>500</v>
      </c>
      <c r="M1304" s="1" t="s">
        <v>1741</v>
      </c>
      <c r="N1304" s="1"/>
      <c r="O1304" s="1" t="str">
        <f>IF($J1304=Sheet2!$A$2, ROW(), "")</f>
        <v/>
      </c>
    </row>
    <row r="1305" spans="1:15" ht="14" customHeight="1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>
        <f t="shared" si="21"/>
        <v>0</v>
      </c>
      <c r="M1305" s="1"/>
      <c r="N1305" s="1"/>
      <c r="O1305" s="1" t="str">
        <f>IF($J1305=Sheet2!$A$2, ROW(), "")</f>
        <v/>
      </c>
    </row>
    <row r="1306" spans="1:15" ht="14" customHeight="1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>
        <f t="shared" si="21"/>
        <v>0</v>
      </c>
      <c r="M1306" s="1"/>
      <c r="N1306" s="1"/>
      <c r="O1306" s="1" t="str">
        <f>IF($J1306=Sheet2!$A$2, ROW(), "")</f>
        <v/>
      </c>
    </row>
    <row r="1307" spans="1:15" ht="14" customHeight="1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>
        <f t="shared" si="21"/>
        <v>0</v>
      </c>
      <c r="M1307" s="1"/>
      <c r="N1307" s="1"/>
      <c r="O1307" s="1" t="str">
        <f>IF($J1307=Sheet2!$A$2, ROW(), "")</f>
        <v/>
      </c>
    </row>
    <row r="1308" spans="1:15" ht="14" customHeight="1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>
        <f t="shared" si="21"/>
        <v>0</v>
      </c>
      <c r="M1308" s="1"/>
      <c r="N1308" s="1"/>
      <c r="O1308" s="1" t="str">
        <f>IF($J1308=Sheet2!$A$2, ROW(), "")</f>
        <v/>
      </c>
    </row>
    <row r="1309" spans="1:15" ht="14" customHeight="1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>
        <f t="shared" si="21"/>
        <v>0</v>
      </c>
      <c r="M1309" s="1"/>
      <c r="N1309" s="1"/>
      <c r="O1309" s="1" t="str">
        <f>IF($J1309=Sheet2!$A$2, ROW(), "")</f>
        <v/>
      </c>
    </row>
    <row r="1310" spans="1:15" ht="14" customHeight="1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>
        <f t="shared" si="21"/>
        <v>0</v>
      </c>
      <c r="M1310" s="1"/>
      <c r="N1310" s="1"/>
      <c r="O1310" s="1" t="str">
        <f>IF($J1310=Sheet2!$A$2, ROW(), "")</f>
        <v/>
      </c>
    </row>
    <row r="1311" spans="1:15" ht="14" customHeight="1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>
        <f t="shared" si="21"/>
        <v>0</v>
      </c>
      <c r="M1311" s="1"/>
      <c r="N1311" s="1"/>
      <c r="O1311" s="1" t="str">
        <f>IF($J1311=Sheet2!$A$2, ROW(), "")</f>
        <v/>
      </c>
    </row>
    <row r="1312" spans="1:15" ht="14" customHeight="1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>
        <f t="shared" si="21"/>
        <v>0</v>
      </c>
      <c r="M1312" s="1"/>
      <c r="N1312" s="1"/>
      <c r="O1312" s="1" t="str">
        <f>IF($J1312=Sheet2!$A$2, ROW(), "")</f>
        <v/>
      </c>
    </row>
    <row r="1313" spans="1:15" ht="14" customHeight="1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>
        <f t="shared" si="21"/>
        <v>0</v>
      </c>
      <c r="M1313" s="1"/>
      <c r="N1313" s="1"/>
      <c r="O1313" s="1" t="str">
        <f>IF($J1313=Sheet2!$A$2, ROW(), "")</f>
        <v/>
      </c>
    </row>
    <row r="1314" spans="1:15" ht="14" customHeight="1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>
        <f t="shared" si="21"/>
        <v>0</v>
      </c>
      <c r="M1314" s="1"/>
      <c r="N1314" s="1"/>
      <c r="O1314" s="1" t="str">
        <f>IF($J1314=Sheet2!$A$2, ROW(), "")</f>
        <v/>
      </c>
    </row>
    <row r="1315" spans="1:15" ht="14" customHeight="1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>
        <f t="shared" si="21"/>
        <v>0</v>
      </c>
      <c r="M1315" s="1"/>
      <c r="N1315" s="1"/>
      <c r="O1315" s="1" t="str">
        <f>IF($J1315=Sheet2!$A$2, ROW(), "")</f>
        <v/>
      </c>
    </row>
    <row r="1316" spans="1:15" ht="14" customHeight="1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>
        <f t="shared" ref="L1316:L1338" si="22">I1316*5</f>
        <v>0</v>
      </c>
      <c r="M1316" s="1"/>
      <c r="N1316" s="1"/>
      <c r="O1316" s="1" t="str">
        <f>IF($J1316=Sheet2!$A$2, ROW(), "")</f>
        <v/>
      </c>
    </row>
    <row r="1317" spans="1:15" ht="14" customHeight="1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>
        <f t="shared" si="22"/>
        <v>0</v>
      </c>
      <c r="M1317" s="1"/>
      <c r="N1317" s="1"/>
      <c r="O1317" s="1" t="str">
        <f>IF($J1317=Sheet2!$A$2, ROW(), "")</f>
        <v/>
      </c>
    </row>
    <row r="1318" spans="1:15" ht="14" customHeight="1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>
        <f t="shared" si="22"/>
        <v>0</v>
      </c>
      <c r="M1318" s="1"/>
      <c r="N1318" s="1"/>
      <c r="O1318" s="1" t="str">
        <f>IF($J1318=Sheet2!$A$2, ROW(), "")</f>
        <v/>
      </c>
    </row>
    <row r="1319" spans="1:15" ht="14" customHeight="1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>
        <f t="shared" si="22"/>
        <v>0</v>
      </c>
      <c r="M1319" s="1"/>
      <c r="N1319" s="1"/>
      <c r="O1319" s="1" t="str">
        <f>IF($J1319=Sheet2!$A$2, ROW(), "")</f>
        <v/>
      </c>
    </row>
    <row r="1320" spans="1:15" ht="14" customHeight="1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>
        <f t="shared" si="22"/>
        <v>0</v>
      </c>
      <c r="M1320" s="1"/>
      <c r="N1320" s="1"/>
      <c r="O1320" s="1" t="str">
        <f>IF($J1320=Sheet2!$A$2, ROW(), "")</f>
        <v/>
      </c>
    </row>
    <row r="1321" spans="1:15" ht="14" customHeight="1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>
        <f t="shared" si="22"/>
        <v>0</v>
      </c>
      <c r="M1321" s="1"/>
      <c r="N1321" s="1"/>
      <c r="O1321" s="1" t="str">
        <f>IF($J1321=Sheet2!$A$2, ROW(), "")</f>
        <v/>
      </c>
    </row>
    <row r="1322" spans="1:15" ht="14" customHeight="1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>
        <f t="shared" si="22"/>
        <v>0</v>
      </c>
      <c r="M1322" s="1"/>
      <c r="N1322" s="1"/>
      <c r="O1322" s="1" t="str">
        <f>IF($J1322=Sheet2!$A$2, ROW(), "")</f>
        <v/>
      </c>
    </row>
    <row r="1323" spans="1:15" ht="14" customHeight="1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>
        <f t="shared" si="22"/>
        <v>0</v>
      </c>
      <c r="M1323" s="1"/>
      <c r="N1323" s="1"/>
      <c r="O1323" s="1" t="str">
        <f>IF($J1323=Sheet2!$A$2, ROW(), "")</f>
        <v/>
      </c>
    </row>
    <row r="1324" spans="1:15" ht="14" customHeight="1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>
        <f t="shared" si="22"/>
        <v>0</v>
      </c>
      <c r="M1324" s="1"/>
      <c r="N1324" s="1"/>
      <c r="O1324" s="1" t="str">
        <f>IF($J1324=Sheet2!$A$2, ROW(), "")</f>
        <v/>
      </c>
    </row>
    <row r="1325" spans="1:15" ht="14" customHeight="1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>
        <f t="shared" si="22"/>
        <v>0</v>
      </c>
      <c r="M1325" s="1"/>
      <c r="N1325" s="1"/>
      <c r="O1325" s="1" t="str">
        <f>IF($J1325=Sheet2!$A$2, ROW(), "")</f>
        <v/>
      </c>
    </row>
    <row r="1326" spans="1:15" ht="14" customHeight="1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>
        <f t="shared" si="22"/>
        <v>0</v>
      </c>
      <c r="M1326" s="1"/>
      <c r="N1326" s="1"/>
      <c r="O1326" s="1" t="str">
        <f>IF($J1326=Sheet2!$A$2, ROW(), "")</f>
        <v/>
      </c>
    </row>
    <row r="1327" spans="1:15" ht="14" customHeight="1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>
        <f t="shared" si="22"/>
        <v>0</v>
      </c>
      <c r="M1327" s="1"/>
      <c r="N1327" s="1"/>
      <c r="O1327" s="1" t="str">
        <f>IF($J1327=Sheet2!$A$2, ROW(), "")</f>
        <v/>
      </c>
    </row>
    <row r="1328" spans="1:15" ht="14" customHeight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>
        <f t="shared" si="22"/>
        <v>0</v>
      </c>
      <c r="M1328" s="1"/>
      <c r="N1328" s="1"/>
      <c r="O1328" s="1" t="str">
        <f>IF($J1328=Sheet2!$A$2, ROW(), "")</f>
        <v/>
      </c>
    </row>
    <row r="1329" spans="1:15" ht="14" customHeight="1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>
        <f t="shared" si="22"/>
        <v>0</v>
      </c>
      <c r="M1329" s="1"/>
      <c r="N1329" s="1"/>
      <c r="O1329" s="1" t="str">
        <f>IF($J1329=Sheet2!$A$2, ROW(), "")</f>
        <v/>
      </c>
    </row>
    <row r="1330" spans="1:15" ht="14" customHeight="1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>
        <f t="shared" si="22"/>
        <v>0</v>
      </c>
      <c r="M1330" s="1"/>
      <c r="N1330" s="1"/>
      <c r="O1330" s="1" t="str">
        <f>IF($J1330=Sheet2!$A$2, ROW(), "")</f>
        <v/>
      </c>
    </row>
    <row r="1331" spans="1:15" ht="14" customHeight="1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>
        <f t="shared" si="22"/>
        <v>0</v>
      </c>
      <c r="M1331" s="1"/>
      <c r="N1331" s="1"/>
      <c r="O1331" s="1" t="str">
        <f>IF($J1331=Sheet2!$A$2, ROW(), "")</f>
        <v/>
      </c>
    </row>
    <row r="1332" spans="1:15" ht="14" customHeight="1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>
        <f t="shared" si="22"/>
        <v>0</v>
      </c>
      <c r="M1332" s="1"/>
      <c r="N1332" s="1"/>
      <c r="O1332" s="1" t="str">
        <f>IF($J1332=Sheet2!$A$2, ROW(), "")</f>
        <v/>
      </c>
    </row>
    <row r="1333" spans="1:15" ht="14" customHeight="1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>
        <f t="shared" si="22"/>
        <v>0</v>
      </c>
      <c r="M1333" s="1"/>
      <c r="N1333" s="1"/>
      <c r="O1333" s="1" t="str">
        <f>IF($J1333=Sheet2!$A$2, ROW(), "")</f>
        <v/>
      </c>
    </row>
    <row r="1334" spans="1:15" ht="14" customHeight="1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>
        <f t="shared" si="22"/>
        <v>0</v>
      </c>
      <c r="M1334" s="1"/>
      <c r="N1334" s="1"/>
      <c r="O1334" s="1" t="str">
        <f>IF($J1334=Sheet2!$A$2, ROW(), "")</f>
        <v/>
      </c>
    </row>
    <row r="1335" spans="1:15" ht="14" customHeight="1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>
        <f t="shared" si="22"/>
        <v>0</v>
      </c>
      <c r="M1335" s="1"/>
      <c r="N1335" s="1"/>
      <c r="O1335" s="1" t="str">
        <f>IF($J1335=Sheet2!$A$2, ROW(), "")</f>
        <v/>
      </c>
    </row>
    <row r="1336" spans="1:15" ht="14" customHeight="1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>
        <f t="shared" si="22"/>
        <v>0</v>
      </c>
      <c r="M1336" s="1"/>
      <c r="N1336" s="1"/>
      <c r="O1336" s="1" t="str">
        <f>IF($J1336=Sheet2!$A$2, ROW(), "")</f>
        <v/>
      </c>
    </row>
    <row r="1337" spans="1:15" ht="14" customHeight="1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>
        <f t="shared" si="22"/>
        <v>0</v>
      </c>
      <c r="M1337" s="1"/>
      <c r="N1337" s="1"/>
      <c r="O1337" s="1" t="str">
        <f>IF($J1337=Sheet2!$A$2, ROW(), "")</f>
        <v/>
      </c>
    </row>
    <row r="1338" spans="1:15" ht="14" customHeight="1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>
        <f t="shared" si="22"/>
        <v>0</v>
      </c>
      <c r="M1338" s="1"/>
      <c r="N1338" s="1"/>
      <c r="O1338" s="1" t="str">
        <f>IF($J1338=Sheet2!$A$2,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topLeftCell="A28" workbookViewId="0">
      <selection activeCell="B35" sqref="B35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1704</v>
      </c>
      <c r="B1" s="8" t="s">
        <v>1705</v>
      </c>
      <c r="C1" s="8" t="s">
        <v>1706</v>
      </c>
      <c r="D1" s="8" t="s">
        <v>1707</v>
      </c>
      <c r="E1" s="8" t="s">
        <v>1708</v>
      </c>
      <c r="F1" s="8" t="s">
        <v>1709</v>
      </c>
      <c r="G1" s="8" t="s">
        <v>1710</v>
      </c>
      <c r="H1" s="8" t="s">
        <v>1711</v>
      </c>
      <c r="I1" s="8" t="s">
        <v>1712</v>
      </c>
      <c r="J1" s="8" t="s">
        <v>1713</v>
      </c>
      <c r="K1" s="8" t="s">
        <v>1714</v>
      </c>
      <c r="L1" s="8" t="s">
        <v>1715</v>
      </c>
      <c r="M1" s="8" t="s">
        <v>1716</v>
      </c>
    </row>
    <row r="2" spans="1:13" ht="42" x14ac:dyDescent="0.3">
      <c r="A2" s="6" t="s">
        <v>271</v>
      </c>
      <c r="B2" s="1" t="s">
        <v>1618</v>
      </c>
      <c r="C2" s="1" t="s">
        <v>3272</v>
      </c>
      <c r="D2" s="1" t="s">
        <v>1619</v>
      </c>
      <c r="E2" s="1">
        <v>15000</v>
      </c>
      <c r="F2" s="3">
        <v>9228</v>
      </c>
      <c r="G2" s="5">
        <f>表2[[#This Row],[场均上座]]/表2[[#This Row],[座席数]]</f>
        <v>0.61519999999999997</v>
      </c>
      <c r="H2" s="3">
        <f>表2[[#This Row],[场均上座]]*95*20</f>
        <v>17533200</v>
      </c>
      <c r="I2" s="1">
        <v>1103</v>
      </c>
      <c r="J2" s="1" t="s">
        <v>3184</v>
      </c>
      <c r="K2" s="1" t="s">
        <v>3185</v>
      </c>
      <c r="L2" s="1">
        <v>22</v>
      </c>
      <c r="M2" s="1" t="s">
        <v>1620</v>
      </c>
    </row>
    <row r="3" spans="1:13" ht="42" x14ac:dyDescent="0.3">
      <c r="A3" s="6" t="s">
        <v>1774</v>
      </c>
      <c r="B3" s="1" t="s">
        <v>1622</v>
      </c>
      <c r="C3" s="1" t="s">
        <v>3274</v>
      </c>
      <c r="D3" s="1" t="s">
        <v>1623</v>
      </c>
      <c r="E3" s="1">
        <v>30000</v>
      </c>
      <c r="F3" s="3">
        <v>9195</v>
      </c>
      <c r="G3" s="5">
        <f>表2[[#This Row],[场均上座]]/表2[[#This Row],[座席数]]</f>
        <v>0.30649999999999999</v>
      </c>
      <c r="H3" s="3">
        <f>表2[[#This Row],[场均上座]]*95*20</f>
        <v>17470500</v>
      </c>
      <c r="I3" s="1">
        <v>3259</v>
      </c>
      <c r="J3" s="1" t="s">
        <v>3186</v>
      </c>
      <c r="K3" s="1"/>
      <c r="L3" s="1">
        <v>60</v>
      </c>
      <c r="M3" s="1" t="s">
        <v>1624</v>
      </c>
    </row>
    <row r="4" spans="1:13" ht="42" x14ac:dyDescent="0.3">
      <c r="A4" s="6" t="s">
        <v>683</v>
      </c>
      <c r="B4" s="1" t="s">
        <v>1703</v>
      </c>
      <c r="C4" s="1" t="s">
        <v>3260</v>
      </c>
      <c r="D4" s="1" t="s">
        <v>1625</v>
      </c>
      <c r="E4" s="1">
        <v>10000</v>
      </c>
      <c r="F4" s="1">
        <v>9468</v>
      </c>
      <c r="G4" s="5">
        <f>表2[[#This Row],[场均上座]]/表2[[#This Row],[座席数]]</f>
        <v>0.94679999999999997</v>
      </c>
      <c r="H4" s="3">
        <f>表2[[#This Row],[场均上座]]*95*20</f>
        <v>17989200</v>
      </c>
      <c r="I4" s="1">
        <v>5990</v>
      </c>
      <c r="J4" s="1" t="s">
        <v>3187</v>
      </c>
      <c r="K4" s="1" t="s">
        <v>3188</v>
      </c>
      <c r="L4" s="1">
        <v>5</v>
      </c>
      <c r="M4" s="1" t="s">
        <v>203</v>
      </c>
    </row>
    <row r="5" spans="1:13" ht="42" x14ac:dyDescent="0.3">
      <c r="A5" s="6" t="s">
        <v>173</v>
      </c>
      <c r="B5" s="1" t="s">
        <v>1781</v>
      </c>
      <c r="C5" s="1" t="s">
        <v>3310</v>
      </c>
      <c r="D5" s="1" t="s">
        <v>1626</v>
      </c>
      <c r="E5" s="1">
        <v>3500</v>
      </c>
      <c r="F5" s="1">
        <v>128</v>
      </c>
      <c r="G5" s="5">
        <f>表2[[#This Row],[场均上座]]/表2[[#This Row],[座席数]]</f>
        <v>3.6571428571428574E-2</v>
      </c>
      <c r="H5" s="3">
        <f>表2[[#This Row],[场均上座]]*95*20</f>
        <v>243200</v>
      </c>
      <c r="I5" s="1">
        <v>3600</v>
      </c>
      <c r="J5" s="1" t="s">
        <v>3189</v>
      </c>
      <c r="K5" s="1"/>
      <c r="L5" s="1"/>
      <c r="M5" s="1" t="s">
        <v>203</v>
      </c>
    </row>
    <row r="6" spans="1:13" x14ac:dyDescent="0.3">
      <c r="A6" s="6" t="s">
        <v>91</v>
      </c>
      <c r="B6" s="1" t="s">
        <v>1627</v>
      </c>
      <c r="C6" s="1" t="s">
        <v>3176</v>
      </c>
      <c r="D6" s="1" t="s">
        <v>1628</v>
      </c>
      <c r="E6" s="1">
        <v>250</v>
      </c>
      <c r="F6" s="1">
        <v>76</v>
      </c>
      <c r="G6" s="5">
        <f>表2[[#This Row],[场均上座]]/表2[[#This Row],[座席数]]</f>
        <v>0.30399999999999999</v>
      </c>
      <c r="H6" s="3">
        <f>表2[[#This Row],[场均上座]]*95*20</f>
        <v>144400</v>
      </c>
      <c r="I6" s="1">
        <v>2964</v>
      </c>
      <c r="J6" s="1"/>
      <c r="K6" s="1"/>
      <c r="L6" s="1">
        <v>2</v>
      </c>
      <c r="M6" s="1" t="s">
        <v>203</v>
      </c>
    </row>
    <row r="7" spans="1:13" ht="42" x14ac:dyDescent="0.3">
      <c r="A7" s="6" t="s">
        <v>520</v>
      </c>
      <c r="B7" s="1" t="s">
        <v>1629</v>
      </c>
      <c r="C7" s="1" t="s">
        <v>3276</v>
      </c>
      <c r="D7" s="1" t="s">
        <v>1630</v>
      </c>
      <c r="E7" s="1">
        <v>700</v>
      </c>
      <c r="F7" s="1">
        <v>582</v>
      </c>
      <c r="G7" s="5">
        <f>表2[[#This Row],[场均上座]]/表2[[#This Row],[座席数]]</f>
        <v>0.83142857142857141</v>
      </c>
      <c r="H7" s="3">
        <f>表2[[#This Row],[场均上座]]*95*20</f>
        <v>1105800</v>
      </c>
      <c r="I7" s="1">
        <v>1050</v>
      </c>
      <c r="J7" s="1" t="s">
        <v>3190</v>
      </c>
      <c r="K7" s="1"/>
      <c r="L7" s="1">
        <v>10</v>
      </c>
      <c r="M7" s="1" t="s">
        <v>203</v>
      </c>
    </row>
    <row r="8" spans="1:13" ht="42" x14ac:dyDescent="0.3">
      <c r="A8" s="6" t="s">
        <v>689</v>
      </c>
      <c r="B8" s="1" t="s">
        <v>1631</v>
      </c>
      <c r="C8" s="1" t="s">
        <v>3262</v>
      </c>
      <c r="D8" s="1" t="s">
        <v>1632</v>
      </c>
      <c r="E8" s="1">
        <v>30000</v>
      </c>
      <c r="F8" s="3">
        <v>29938</v>
      </c>
      <c r="G8" s="5">
        <f>表2[[#This Row],[场均上座]]/表2[[#This Row],[座席数]]</f>
        <v>0.99793333333333334</v>
      </c>
      <c r="H8" s="3">
        <f>表2[[#This Row],[场均上座]]*95*20</f>
        <v>56882200</v>
      </c>
      <c r="I8" s="1">
        <v>7223</v>
      </c>
      <c r="J8" s="1" t="s">
        <v>3191</v>
      </c>
      <c r="K8" s="1" t="s">
        <v>3192</v>
      </c>
      <c r="L8" s="1"/>
      <c r="M8" s="1" t="s">
        <v>203</v>
      </c>
    </row>
    <row r="9" spans="1:13" x14ac:dyDescent="0.3">
      <c r="A9" s="6" t="s">
        <v>303</v>
      </c>
      <c r="B9" s="1" t="s">
        <v>1633</v>
      </c>
      <c r="C9" s="1" t="s">
        <v>1634</v>
      </c>
      <c r="D9" s="1" t="s">
        <v>1635</v>
      </c>
      <c r="E9" s="1">
        <v>15000</v>
      </c>
      <c r="F9" s="3">
        <v>0</v>
      </c>
      <c r="G9" s="5">
        <f>表2[[#This Row],[场均上座]]/表2[[#This Row],[座席数]]</f>
        <v>0</v>
      </c>
      <c r="H9" s="3">
        <f>表2[[#This Row],[场均上座]]*95*20</f>
        <v>0</v>
      </c>
      <c r="I9" s="1">
        <v>382</v>
      </c>
      <c r="J9" s="1"/>
      <c r="K9" s="1"/>
      <c r="L9" s="1"/>
      <c r="M9" s="1" t="s">
        <v>1977</v>
      </c>
    </row>
    <row r="10" spans="1:13" ht="42" x14ac:dyDescent="0.3">
      <c r="A10" s="6" t="s">
        <v>264</v>
      </c>
      <c r="B10" s="1" t="s">
        <v>1637</v>
      </c>
      <c r="C10" s="1" t="s">
        <v>3277</v>
      </c>
      <c r="D10" s="1" t="s">
        <v>1638</v>
      </c>
      <c r="E10" s="1">
        <v>10000</v>
      </c>
      <c r="F10" s="1">
        <v>3884</v>
      </c>
      <c r="G10" s="5">
        <f>表2[[#This Row],[场均上座]]/表2[[#This Row],[座席数]]</f>
        <v>0.38840000000000002</v>
      </c>
      <c r="H10" s="3">
        <f>表2[[#This Row],[场均上座]]*95*20</f>
        <v>7379600</v>
      </c>
      <c r="I10" s="1">
        <v>3680</v>
      </c>
      <c r="J10" s="1" t="s">
        <v>3193</v>
      </c>
      <c r="K10" s="1" t="s">
        <v>3194</v>
      </c>
      <c r="L10" s="1">
        <v>20</v>
      </c>
      <c r="M10" s="1" t="s">
        <v>1639</v>
      </c>
    </row>
    <row r="11" spans="1:13" ht="42" x14ac:dyDescent="0.3">
      <c r="A11" s="6" t="s">
        <v>111</v>
      </c>
      <c r="B11" s="1" t="s">
        <v>1640</v>
      </c>
      <c r="C11" s="1" t="s">
        <v>3261</v>
      </c>
      <c r="D11" s="1" t="s">
        <v>1641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Row],[场均上座]]*95*20</f>
        <v>1330000</v>
      </c>
      <c r="I11" s="1">
        <v>831</v>
      </c>
      <c r="J11" s="1" t="s">
        <v>3195</v>
      </c>
      <c r="K11" s="1" t="s">
        <v>3196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1642</v>
      </c>
      <c r="C12" s="1" t="s">
        <v>3266</v>
      </c>
      <c r="D12" s="1" t="s">
        <v>1850</v>
      </c>
      <c r="E12" s="1">
        <v>3000</v>
      </c>
      <c r="F12" s="1">
        <v>2848</v>
      </c>
      <c r="G12" s="5">
        <f>表2[[#This Row],[场均上座]]/表2[[#This Row],[座席数]]</f>
        <v>0.94933333333333336</v>
      </c>
      <c r="H12" s="3">
        <f>表2[[#This Row],[场均上座]]*95*20</f>
        <v>5411200</v>
      </c>
      <c r="I12" s="1">
        <v>4217</v>
      </c>
      <c r="J12" s="1" t="s">
        <v>3197</v>
      </c>
      <c r="K12" s="1" t="s">
        <v>3198</v>
      </c>
      <c r="L12" s="1">
        <v>100</v>
      </c>
      <c r="M12" s="1" t="s">
        <v>1978</v>
      </c>
    </row>
    <row r="13" spans="1:13" ht="42" x14ac:dyDescent="0.3">
      <c r="A13" s="6" t="s">
        <v>130</v>
      </c>
      <c r="B13" s="1" t="s">
        <v>1643</v>
      </c>
      <c r="C13" s="1" t="s">
        <v>3259</v>
      </c>
      <c r="D13" s="1" t="s">
        <v>1644</v>
      </c>
      <c r="E13" s="1">
        <v>16500</v>
      </c>
      <c r="F13" s="3">
        <v>9472</v>
      </c>
      <c r="G13" s="5">
        <f>表2[[#This Row],[场均上座]]/表2[[#This Row],[座席数]]</f>
        <v>0.57406060606060605</v>
      </c>
      <c r="H13" s="3">
        <f>表2[[#This Row],[场均上座]]*95*20</f>
        <v>17996800</v>
      </c>
      <c r="I13" s="1">
        <v>8200</v>
      </c>
      <c r="J13" s="1" t="s">
        <v>3199</v>
      </c>
      <c r="K13" s="1" t="s">
        <v>3200</v>
      </c>
      <c r="L13" s="1">
        <v>3</v>
      </c>
      <c r="M13" s="1" t="s">
        <v>1645</v>
      </c>
    </row>
    <row r="14" spans="1:13" ht="28" x14ac:dyDescent="0.3">
      <c r="A14" s="6" t="s">
        <v>327</v>
      </c>
      <c r="B14" s="1" t="s">
        <v>1646</v>
      </c>
      <c r="C14" s="1" t="s">
        <v>3267</v>
      </c>
      <c r="D14" s="1" t="s">
        <v>1623</v>
      </c>
      <c r="E14" s="1">
        <v>30000</v>
      </c>
      <c r="F14" s="3">
        <v>29839</v>
      </c>
      <c r="G14" s="5">
        <f>表2[[#This Row],[场均上座]]/表2[[#This Row],[座席数]]</f>
        <v>0.99463333333333337</v>
      </c>
      <c r="H14" s="3">
        <f>表2[[#This Row],[场均上座]]*95*20</f>
        <v>56694100</v>
      </c>
      <c r="I14" s="1">
        <v>7929</v>
      </c>
      <c r="J14" s="1" t="s">
        <v>3201</v>
      </c>
      <c r="K14" s="1" t="s">
        <v>3202</v>
      </c>
      <c r="L14" s="1"/>
      <c r="M14" s="1" t="s">
        <v>203</v>
      </c>
    </row>
    <row r="15" spans="1:13" ht="42" x14ac:dyDescent="0.3">
      <c r="A15" s="6" t="s">
        <v>274</v>
      </c>
      <c r="B15" s="1" t="s">
        <v>1647</v>
      </c>
      <c r="C15" s="1" t="s">
        <v>3268</v>
      </c>
      <c r="D15" s="1" t="s">
        <v>1926</v>
      </c>
      <c r="E15" s="1">
        <v>35000</v>
      </c>
      <c r="F15" s="3">
        <v>24259</v>
      </c>
      <c r="G15" s="5">
        <f>表2[[#This Row],[场均上座]]/表2[[#This Row],[座席数]]</f>
        <v>0.69311428571428568</v>
      </c>
      <c r="H15" s="3">
        <f>表2[[#This Row],[场均上座]]*95*20</f>
        <v>46092100</v>
      </c>
      <c r="I15" s="1">
        <v>4790</v>
      </c>
      <c r="J15" s="1" t="s">
        <v>3203</v>
      </c>
      <c r="K15" s="1" t="s">
        <v>3204</v>
      </c>
      <c r="L15" s="1">
        <v>100</v>
      </c>
      <c r="M15" s="1" t="s">
        <v>1636</v>
      </c>
    </row>
    <row r="16" spans="1:13" ht="42" x14ac:dyDescent="0.3">
      <c r="A16" s="6" t="s">
        <v>315</v>
      </c>
      <c r="B16" s="1" t="s">
        <v>1648</v>
      </c>
      <c r="C16" s="1" t="s">
        <v>3258</v>
      </c>
      <c r="D16" s="1" t="s">
        <v>1725</v>
      </c>
      <c r="E16" s="1">
        <v>20000</v>
      </c>
      <c r="F16" s="3">
        <v>14129</v>
      </c>
      <c r="G16" s="5">
        <f>表2[[#This Row],[场均上座]]/表2[[#This Row],[座席数]]</f>
        <v>0.70645000000000002</v>
      </c>
      <c r="H16" s="3">
        <f>表2[[#This Row],[场均上座]]*95*20</f>
        <v>26845100</v>
      </c>
      <c r="I16" s="1">
        <v>3578</v>
      </c>
      <c r="J16" s="1" t="s">
        <v>3205</v>
      </c>
      <c r="K16" s="1" t="s">
        <v>3206</v>
      </c>
      <c r="L16" s="1">
        <v>9</v>
      </c>
      <c r="M16" s="1" t="s">
        <v>1649</v>
      </c>
    </row>
    <row r="17" spans="1:14" ht="42" x14ac:dyDescent="0.3">
      <c r="A17" s="6" t="s">
        <v>1847</v>
      </c>
      <c r="B17" s="1" t="s">
        <v>1650</v>
      </c>
      <c r="C17" s="1" t="s">
        <v>3264</v>
      </c>
      <c r="D17" s="1" t="s">
        <v>1851</v>
      </c>
      <c r="E17" s="1">
        <v>30000</v>
      </c>
      <c r="F17" s="3">
        <v>13129</v>
      </c>
      <c r="G17" s="5">
        <f>表2[[#This Row],[场均上座]]/表2[[#This Row],[座席数]]</f>
        <v>0.43763333333333332</v>
      </c>
      <c r="H17" s="3">
        <f>表2[[#This Row],[场均上座]]*95*20</f>
        <v>24945100</v>
      </c>
      <c r="I17" s="1">
        <v>4352</v>
      </c>
      <c r="J17" s="1" t="s">
        <v>3207</v>
      </c>
      <c r="K17" s="1" t="s">
        <v>3208</v>
      </c>
      <c r="L17" s="1">
        <v>11</v>
      </c>
      <c r="M17" s="1" t="s">
        <v>203</v>
      </c>
    </row>
    <row r="18" spans="1:14" ht="28" x14ac:dyDescent="0.3">
      <c r="A18" s="6" t="s">
        <v>1972</v>
      </c>
      <c r="B18" s="1" t="s">
        <v>1862</v>
      </c>
      <c r="C18" s="1" t="s">
        <v>3177</v>
      </c>
      <c r="D18" s="1" t="s">
        <v>1973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Row],[场均上座]]*95*20</f>
        <v>1385100</v>
      </c>
      <c r="I18" s="1">
        <v>2603</v>
      </c>
      <c r="J18" s="1"/>
      <c r="K18" s="1"/>
      <c r="L18" s="1">
        <v>10</v>
      </c>
      <c r="M18" s="1" t="s">
        <v>1977</v>
      </c>
    </row>
    <row r="19" spans="1:14" x14ac:dyDescent="0.3">
      <c r="A19" s="6" t="s">
        <v>37</v>
      </c>
      <c r="B19" s="1" t="s">
        <v>1651</v>
      </c>
      <c r="C19" s="1" t="s">
        <v>1652</v>
      </c>
      <c r="D19" s="1" t="s">
        <v>1653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Row],[场均上座]]*95*20</f>
        <v>338200</v>
      </c>
      <c r="I19" s="1">
        <v>2449</v>
      </c>
      <c r="J19" s="1"/>
      <c r="K19" s="1"/>
      <c r="L19" s="1">
        <v>10</v>
      </c>
      <c r="M19" s="1" t="s">
        <v>203</v>
      </c>
    </row>
    <row r="20" spans="1:14" ht="42" x14ac:dyDescent="0.3">
      <c r="A20" s="6" t="s">
        <v>1720</v>
      </c>
      <c r="B20" s="1" t="s">
        <v>1654</v>
      </c>
      <c r="C20" s="1" t="s">
        <v>3270</v>
      </c>
      <c r="D20" s="1" t="s">
        <v>1655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Row],[场均上座]]*95*20</f>
        <v>19245100</v>
      </c>
      <c r="I20" s="1">
        <v>2925</v>
      </c>
      <c r="J20" s="1" t="s">
        <v>3209</v>
      </c>
      <c r="K20" s="1" t="s">
        <v>3210</v>
      </c>
      <c r="L20" s="1">
        <v>90</v>
      </c>
      <c r="M20" s="1" t="s">
        <v>203</v>
      </c>
    </row>
    <row r="21" spans="1:14" ht="28" x14ac:dyDescent="0.3">
      <c r="A21" s="6" t="s">
        <v>1976</v>
      </c>
      <c r="B21" s="1" t="s">
        <v>1952</v>
      </c>
      <c r="C21" s="1" t="s">
        <v>3182</v>
      </c>
      <c r="D21" s="1" t="s">
        <v>1625</v>
      </c>
      <c r="E21" s="1">
        <v>10000</v>
      </c>
      <c r="F21" s="3">
        <v>3316</v>
      </c>
      <c r="G21" s="5">
        <f>表2[[#This Row],[场均上座]]/表2[[#This Row],[座席数]]</f>
        <v>0.33160000000000001</v>
      </c>
      <c r="H21" s="3">
        <f>表2[[#This Row],[场均上座]]*95*20</f>
        <v>6300400</v>
      </c>
      <c r="I21" s="1">
        <v>1701</v>
      </c>
      <c r="J21" s="1" t="s">
        <v>3211</v>
      </c>
      <c r="K21" s="1"/>
      <c r="L21" s="1"/>
      <c r="M21" s="1" t="s">
        <v>1977</v>
      </c>
    </row>
    <row r="22" spans="1:14" ht="42" x14ac:dyDescent="0.3">
      <c r="A22" s="6" t="s">
        <v>1721</v>
      </c>
      <c r="B22" s="1" t="s">
        <v>1656</v>
      </c>
      <c r="C22" s="1" t="s">
        <v>3269</v>
      </c>
      <c r="D22" s="1" t="s">
        <v>1657</v>
      </c>
      <c r="E22" s="1">
        <v>16500</v>
      </c>
      <c r="F22" s="3">
        <v>15129</v>
      </c>
      <c r="G22" s="5">
        <f>表2[[#This Row],[场均上座]]/表2[[#This Row],[座席数]]</f>
        <v>0.9169090909090909</v>
      </c>
      <c r="H22" s="3">
        <f>表2[[#This Row],[场均上座]]*95*20</f>
        <v>28745100</v>
      </c>
      <c r="I22" s="1">
        <v>2915</v>
      </c>
      <c r="J22" s="1" t="s">
        <v>3212</v>
      </c>
      <c r="K22" s="1"/>
      <c r="L22" s="1">
        <v>90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3271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Row],[场均上座]]*95*20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1658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Row],[场均上座]]*95*20</f>
        <v>0</v>
      </c>
      <c r="I24" s="1">
        <v>5000</v>
      </c>
      <c r="J24" s="1"/>
      <c r="K24" s="1"/>
      <c r="L24" s="1"/>
      <c r="M24" s="1"/>
    </row>
    <row r="25" spans="1:14" ht="42" x14ac:dyDescent="0.3">
      <c r="A25" s="6" t="s">
        <v>1659</v>
      </c>
      <c r="B25" s="1" t="s">
        <v>1660</v>
      </c>
      <c r="C25" s="1" t="s">
        <v>3265</v>
      </c>
      <c r="D25" s="1" t="s">
        <v>1661</v>
      </c>
      <c r="E25" s="1">
        <v>15000</v>
      </c>
      <c r="F25" s="3">
        <v>6000</v>
      </c>
      <c r="G25" s="5">
        <f>表2[[#This Row],[场均上座]]/表2[[#This Row],[座席数]]</f>
        <v>0.4</v>
      </c>
      <c r="H25" s="3">
        <f>表2[[#This Row],[场均上座]]*95*20</f>
        <v>11400000</v>
      </c>
      <c r="I25" s="1">
        <v>3227</v>
      </c>
      <c r="J25" s="1" t="s">
        <v>3213</v>
      </c>
      <c r="K25" s="1" t="s">
        <v>3214</v>
      </c>
      <c r="L25" s="1"/>
      <c r="M25" s="1"/>
    </row>
    <row r="26" spans="1:14" ht="28" x14ac:dyDescent="0.3">
      <c r="A26" s="6" t="s">
        <v>1039</v>
      </c>
      <c r="B26" s="1" t="s">
        <v>1662</v>
      </c>
      <c r="C26" s="1" t="s">
        <v>1663</v>
      </c>
      <c r="D26" s="1" t="s">
        <v>1664</v>
      </c>
      <c r="E26" s="1">
        <v>6000</v>
      </c>
      <c r="F26" s="1">
        <v>5859</v>
      </c>
      <c r="G26" s="5">
        <f>表2[[#This Row],[场均上座]]/表2[[#This Row],[座席数]]</f>
        <v>0.97650000000000003</v>
      </c>
      <c r="H26" s="3">
        <f>表2[[#This Row],[场均上座]]*95*20</f>
        <v>11132100</v>
      </c>
      <c r="I26" s="1">
        <v>4635</v>
      </c>
      <c r="J26" s="1" t="s">
        <v>3215</v>
      </c>
      <c r="K26" s="1" t="s">
        <v>3216</v>
      </c>
      <c r="L26" s="1"/>
      <c r="M26" s="1"/>
      <c r="N26" s="2">
        <f>3430-180</f>
        <v>3250</v>
      </c>
    </row>
    <row r="27" spans="1:14" ht="42" x14ac:dyDescent="0.3">
      <c r="A27" s="6" t="s">
        <v>1766</v>
      </c>
      <c r="B27" s="1" t="s">
        <v>1665</v>
      </c>
      <c r="C27" s="1" t="s">
        <v>3273</v>
      </c>
      <c r="D27" s="1" t="s">
        <v>1852</v>
      </c>
      <c r="E27" s="1">
        <v>30000</v>
      </c>
      <c r="F27" s="3">
        <v>12000</v>
      </c>
      <c r="G27" s="5">
        <f>表2[[#This Row],[场均上座]]/表2[[#This Row],[座席数]]</f>
        <v>0.4</v>
      </c>
      <c r="H27" s="3">
        <f>表2[[#This Row],[场均上座]]*95*20</f>
        <v>22800000</v>
      </c>
      <c r="I27" s="1">
        <v>2767</v>
      </c>
      <c r="J27" s="1" t="s">
        <v>3217</v>
      </c>
      <c r="K27" s="1" t="s">
        <v>3218</v>
      </c>
      <c r="L27" s="1">
        <v>15</v>
      </c>
      <c r="M27" s="1"/>
    </row>
    <row r="28" spans="1:14" x14ac:dyDescent="0.3">
      <c r="A28" s="6" t="s">
        <v>100</v>
      </c>
      <c r="B28" s="1"/>
      <c r="C28" s="1"/>
      <c r="D28" s="1" t="s">
        <v>1666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Row],[场均上座]]*95*20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609</v>
      </c>
      <c r="B29" s="1" t="s">
        <v>1637</v>
      </c>
      <c r="C29" s="1" t="s">
        <v>3178</v>
      </c>
      <c r="D29" s="1" t="s">
        <v>1638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Row],[场均上座]]*95*20</f>
        <v>1683400</v>
      </c>
      <c r="I29" s="1">
        <v>1414</v>
      </c>
      <c r="J29" s="1" t="s">
        <v>3219</v>
      </c>
      <c r="K29" s="1"/>
      <c r="L29" s="1"/>
      <c r="M29" s="1"/>
    </row>
    <row r="30" spans="1:14" ht="42" x14ac:dyDescent="0.3">
      <c r="A30" s="6" t="s">
        <v>233</v>
      </c>
      <c r="B30" s="1" t="s">
        <v>1667</v>
      </c>
      <c r="C30" s="1" t="s">
        <v>3263</v>
      </c>
      <c r="D30" s="1" t="s">
        <v>1668</v>
      </c>
      <c r="E30" s="1">
        <v>50000</v>
      </c>
      <c r="F30" s="1">
        <v>992</v>
      </c>
      <c r="G30" s="5">
        <f>表2[[#This Row],[场均上座]]/表2[[#This Row],[座席数]]</f>
        <v>1.984E-2</v>
      </c>
      <c r="H30" s="3">
        <f>表2[[#This Row],[场均上座]]*95*20</f>
        <v>1884800</v>
      </c>
      <c r="I30" s="1">
        <v>2499</v>
      </c>
      <c r="J30" s="1" t="s">
        <v>3220</v>
      </c>
      <c r="K30" s="1"/>
      <c r="L30" s="1"/>
      <c r="M30" s="1"/>
    </row>
    <row r="31" spans="1:14" ht="28" x14ac:dyDescent="0.3">
      <c r="A31" s="6" t="s">
        <v>278</v>
      </c>
      <c r="B31" s="1" t="s">
        <v>1669</v>
      </c>
      <c r="C31" s="1"/>
      <c r="D31" s="1" t="s">
        <v>1670</v>
      </c>
      <c r="E31" s="1">
        <v>4500</v>
      </c>
      <c r="F31" s="1">
        <v>1923</v>
      </c>
      <c r="G31" s="5">
        <f>表2[[#This Row],[场均上座]]/表2[[#This Row],[座席数]]</f>
        <v>0.42733333333333334</v>
      </c>
      <c r="H31" s="3">
        <f>表2[[#This Row],[场均上座]]*95*20</f>
        <v>3653700</v>
      </c>
      <c r="I31" s="1">
        <v>3663</v>
      </c>
      <c r="J31" s="1" t="s">
        <v>3221</v>
      </c>
      <c r="K31" s="1"/>
      <c r="L31" s="1"/>
      <c r="M31" s="1"/>
    </row>
    <row r="32" spans="1:14" ht="42" x14ac:dyDescent="0.3">
      <c r="A32" s="6" t="s">
        <v>3412</v>
      </c>
      <c r="B32" s="1" t="s">
        <v>1672</v>
      </c>
      <c r="C32" s="1" t="s">
        <v>3275</v>
      </c>
      <c r="D32" s="1" t="s">
        <v>1673</v>
      </c>
      <c r="E32" s="1">
        <v>700</v>
      </c>
      <c r="F32" s="1">
        <v>537</v>
      </c>
      <c r="G32" s="5">
        <f>表2[[#This Row],[场均上座]]/表2[[#This Row],[座席数]]</f>
        <v>0.76714285714285713</v>
      </c>
      <c r="H32" s="3">
        <f>表2[[#This Row],[场均上座]]*95*20</f>
        <v>1020300</v>
      </c>
      <c r="I32" s="1">
        <v>0</v>
      </c>
      <c r="J32" s="1" t="s">
        <v>3222</v>
      </c>
      <c r="K32" s="1"/>
      <c r="L32" s="1"/>
      <c r="M32" s="1"/>
    </row>
    <row r="33" spans="1:13" ht="42" x14ac:dyDescent="0.3">
      <c r="A33" s="6" t="s">
        <v>268</v>
      </c>
      <c r="B33" s="1" t="s">
        <v>1674</v>
      </c>
      <c r="C33" s="1" t="s">
        <v>3278</v>
      </c>
      <c r="D33" s="1" t="s">
        <v>1675</v>
      </c>
      <c r="E33" s="1">
        <v>2000</v>
      </c>
      <c r="F33" s="1">
        <v>1359</v>
      </c>
      <c r="G33" s="5">
        <f>表2[[#This Row],[场均上座]]/表2[[#This Row],[座席数]]</f>
        <v>0.67949999999999999</v>
      </c>
      <c r="H33" s="3">
        <f>表2[[#This Row],[场均上座]]*95*20</f>
        <v>2582100</v>
      </c>
      <c r="I33" s="1">
        <v>0</v>
      </c>
      <c r="J33" s="1" t="s">
        <v>3184</v>
      </c>
      <c r="K33" s="1" t="s">
        <v>3223</v>
      </c>
      <c r="L33" s="1"/>
      <c r="M33" s="1"/>
    </row>
    <row r="34" spans="1:13" ht="32" x14ac:dyDescent="0.3">
      <c r="A34" s="6" t="s">
        <v>1676</v>
      </c>
      <c r="B34" s="1" t="s">
        <v>1677</v>
      </c>
      <c r="C34" s="1" t="s">
        <v>1678</v>
      </c>
      <c r="D34" s="1" t="s">
        <v>1679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Row],[场均上座]]*95*20</f>
        <v>0</v>
      </c>
      <c r="I34" s="1">
        <v>3342</v>
      </c>
      <c r="J34" s="1"/>
      <c r="K34" s="1"/>
      <c r="L34" s="1"/>
      <c r="M34" s="1"/>
    </row>
    <row r="35" spans="1:13" ht="42" x14ac:dyDescent="0.3">
      <c r="A35" s="6" t="s">
        <v>108</v>
      </c>
      <c r="B35" s="1" t="s">
        <v>1680</v>
      </c>
      <c r="C35" s="1" t="s">
        <v>3183</v>
      </c>
      <c r="D35" s="1" t="s">
        <v>1681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Row],[场均上座]]*95*20</f>
        <v>0</v>
      </c>
      <c r="I35" s="1">
        <v>3905</v>
      </c>
      <c r="J35" s="1"/>
      <c r="K35" s="1"/>
      <c r="L35" s="1"/>
      <c r="M35" s="1"/>
    </row>
    <row r="36" spans="1:13" x14ac:dyDescent="0.3">
      <c r="A36" s="6" t="s">
        <v>3414</v>
      </c>
      <c r="B36" s="1" t="s">
        <v>1682</v>
      </c>
      <c r="C36" s="1" t="s">
        <v>1900</v>
      </c>
      <c r="D36" s="1" t="s">
        <v>1683</v>
      </c>
      <c r="E36" s="1">
        <v>6000</v>
      </c>
      <c r="F36" s="1">
        <v>5237</v>
      </c>
      <c r="G36" s="5">
        <f>表2[[#This Row],[场均上座]]/表2[[#This Row],[座席数]]</f>
        <v>0.87283333333333335</v>
      </c>
      <c r="H36" s="3">
        <f>表2[[#This Row],[场均上座]]*95*20</f>
        <v>9950300</v>
      </c>
      <c r="I36" s="1">
        <v>2633</v>
      </c>
      <c r="J36" s="1" t="s">
        <v>3224</v>
      </c>
      <c r="K36" s="1" t="s">
        <v>3225</v>
      </c>
      <c r="L36" s="1"/>
      <c r="M36" s="1"/>
    </row>
    <row r="37" spans="1:13" x14ac:dyDescent="0.3">
      <c r="A37" s="6" t="s">
        <v>1104</v>
      </c>
      <c r="B37" s="1" t="s">
        <v>1684</v>
      </c>
      <c r="C37" s="1" t="s">
        <v>3179</v>
      </c>
      <c r="D37" s="1" t="s">
        <v>1661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Row],[场均上座]]*95*20</f>
        <v>0</v>
      </c>
      <c r="I37" s="1">
        <v>507</v>
      </c>
      <c r="J37" s="1"/>
      <c r="K37" s="1"/>
      <c r="L37" s="1"/>
      <c r="M37" s="1"/>
    </row>
    <row r="38" spans="1:13" x14ac:dyDescent="0.3">
      <c r="A38" s="6" t="s">
        <v>1918</v>
      </c>
      <c r="B38" s="1" t="s">
        <v>1685</v>
      </c>
      <c r="C38" s="1" t="s">
        <v>1686</v>
      </c>
      <c r="D38" s="1" t="s">
        <v>1927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Row],[场均上座]]*95*20</f>
        <v>0</v>
      </c>
      <c r="I38" s="1">
        <v>2812</v>
      </c>
      <c r="J38" s="1"/>
      <c r="K38" s="1"/>
      <c r="L38" s="1"/>
      <c r="M38" s="1"/>
    </row>
    <row r="39" spans="1:13" ht="28" x14ac:dyDescent="0.3">
      <c r="A39" s="6" t="s">
        <v>1752</v>
      </c>
      <c r="B39" s="1" t="s">
        <v>1688</v>
      </c>
      <c r="C39" s="1" t="s">
        <v>1689</v>
      </c>
      <c r="D39" s="1" t="s">
        <v>1690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Row],[场均上座]]*95*20</f>
        <v>0</v>
      </c>
      <c r="I39" s="1">
        <v>2746</v>
      </c>
      <c r="J39" s="1"/>
      <c r="K39" s="1"/>
      <c r="L39" s="1"/>
      <c r="M39" s="1"/>
    </row>
    <row r="40" spans="1:13" ht="28" x14ac:dyDescent="0.3">
      <c r="A40" s="6" t="s">
        <v>561</v>
      </c>
      <c r="B40" s="1" t="s">
        <v>1691</v>
      </c>
      <c r="C40" s="1" t="s">
        <v>1692</v>
      </c>
      <c r="D40" s="1" t="s">
        <v>1683</v>
      </c>
      <c r="E40" s="1">
        <v>6000</v>
      </c>
      <c r="F40" s="1">
        <v>3129</v>
      </c>
      <c r="G40" s="5">
        <f>表2[[#This Row],[场均上座]]/表2[[#This Row],[座席数]]</f>
        <v>0.52149999999999996</v>
      </c>
      <c r="H40" s="3">
        <f>表2[[#This Row],[场均上座]]*95*20</f>
        <v>5945100</v>
      </c>
      <c r="I40" s="1">
        <v>1670</v>
      </c>
      <c r="J40" s="1"/>
      <c r="K40" s="1"/>
      <c r="L40" s="1"/>
      <c r="M40" s="1"/>
    </row>
    <row r="41" spans="1:13" x14ac:dyDescent="0.3">
      <c r="A41" s="6" t="s">
        <v>1156</v>
      </c>
      <c r="B41" s="1" t="s">
        <v>1693</v>
      </c>
      <c r="C41" s="1" t="s">
        <v>1694</v>
      </c>
      <c r="D41" s="1" t="s">
        <v>1926</v>
      </c>
      <c r="E41" s="1">
        <v>35000</v>
      </c>
      <c r="F41" s="1">
        <v>1239</v>
      </c>
      <c r="G41" s="5">
        <f>表2[[#This Row],[场均上座]]/表2[[#This Row],[座席数]]</f>
        <v>3.5400000000000001E-2</v>
      </c>
      <c r="H41" s="3">
        <f>表2[[#This Row],[场均上座]]*95*20</f>
        <v>2354100</v>
      </c>
      <c r="I41" s="1">
        <v>4169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1695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Row],[场均上座]]*95*20</f>
        <v>0</v>
      </c>
      <c r="I42" s="1">
        <v>4728</v>
      </c>
      <c r="J42" s="1"/>
      <c r="K42" s="1"/>
      <c r="L42" s="1"/>
      <c r="M42" s="1"/>
    </row>
    <row r="43" spans="1:13" x14ac:dyDescent="0.3">
      <c r="A43" s="6" t="s">
        <v>1291</v>
      </c>
      <c r="B43" s="1" t="s">
        <v>1696</v>
      </c>
      <c r="C43" s="1" t="s">
        <v>1697</v>
      </c>
      <c r="D43" s="1" t="s">
        <v>1698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Row],[场均上座]]*95*20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1444</v>
      </c>
      <c r="B44" s="1" t="s">
        <v>1699</v>
      </c>
      <c r="C44" s="1"/>
      <c r="D44" s="1" t="s">
        <v>1653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Row],[场均上座]]*95*20</f>
        <v>0</v>
      </c>
      <c r="I44" s="1">
        <v>2900</v>
      </c>
      <c r="J44" s="1"/>
      <c r="K44" s="1"/>
      <c r="L44" s="1"/>
      <c r="M44" s="1"/>
    </row>
    <row r="45" spans="1:13" ht="28" x14ac:dyDescent="0.3">
      <c r="A45" s="6" t="s">
        <v>257</v>
      </c>
      <c r="B45" s="1" t="s">
        <v>1700</v>
      </c>
      <c r="C45" s="1" t="s">
        <v>1701</v>
      </c>
      <c r="D45" s="1" t="s">
        <v>1702</v>
      </c>
      <c r="E45" s="1">
        <v>4000</v>
      </c>
      <c r="F45" s="1">
        <v>3938</v>
      </c>
      <c r="G45" s="5">
        <f>表2[[#This Row],[场均上座]]/表2[[#This Row],[座席数]]</f>
        <v>0.98450000000000004</v>
      </c>
      <c r="H45" s="3">
        <f>表2[[#This Row],[场均上座]]*95*20</f>
        <v>7482200</v>
      </c>
      <c r="I45" s="1">
        <v>1537</v>
      </c>
      <c r="J45" s="1" t="s">
        <v>3226</v>
      </c>
      <c r="K45" s="1" t="s">
        <v>3227</v>
      </c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1723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1705</v>
      </c>
      <c r="C2" s="14" t="s">
        <v>1706</v>
      </c>
      <c r="D2" s="14" t="s">
        <v>1707</v>
      </c>
      <c r="E2" s="14" t="s">
        <v>1708</v>
      </c>
      <c r="F2" s="14" t="s">
        <v>1709</v>
      </c>
      <c r="G2" s="14" t="s">
        <v>1710</v>
      </c>
      <c r="H2" s="14" t="s">
        <v>1734</v>
      </c>
      <c r="I2" s="14" t="s">
        <v>1712</v>
      </c>
      <c r="J2" s="14" t="s">
        <v>1713</v>
      </c>
      <c r="K2" s="14" t="s">
        <v>1714</v>
      </c>
      <c r="L2" s="14" t="s">
        <v>1715</v>
      </c>
      <c r="M2" s="14" t="s">
        <v>1716</v>
      </c>
      <c r="X2" s="11" t="s">
        <v>1621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F-卡纳瓦罗、[助教]扬科维奇、[助教]郑智、[助教]P-卡纳瓦罗、[助教]阿巴雷拉、[助教]弗雷斯特、[队医]阿拉莫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2848</v>
      </c>
      <c r="G3" s="1">
        <f>INDEX(球队表格!G:G, MATCH($A$2, 球队表格!A:A, 0))</f>
        <v>0.94933333333333336</v>
      </c>
      <c r="H3" s="1">
        <f>INDEX(球队表格!H:H, MATCH($A$2, 球队表格!A:A, 0))</f>
        <v>5411200</v>
      </c>
      <c r="I3" s="21">
        <f>INDEX(球队表格!I:I, MATCH($A$2, 球队表格!A:A, 0))</f>
        <v>4217</v>
      </c>
      <c r="J3" s="1" t="str">
        <f>INDEX(球队表格!J:J, MATCH($A$2, 球队表格!A:A, 0))</f>
        <v>加西亚荷兰人商会 600</v>
      </c>
      <c r="K3" s="1" t="str">
        <f>INDEX(球队表格!K:K, MATCH($A$2, 球队表格!A:A, 0))</f>
        <v>阿拉尼亚省金控集团 500</v>
      </c>
      <c r="L3" s="1">
        <f>INDEX(球队表格!L:L, MATCH($A$2, 球队表格!A:A, 0))</f>
        <v>100</v>
      </c>
      <c r="M3" s="1" t="str">
        <f>INDEX(球队表格!M:M, MATCH($A$2, 球队表格!A:A, 0))</f>
        <v>英国足总杯预选赛阶段第一圈</v>
      </c>
      <c r="X3" s="10" t="s">
        <v>683</v>
      </c>
    </row>
    <row r="4" spans="1:24" ht="14" customHeight="1" thickBot="1" x14ac:dyDescent="0.35">
      <c r="B4" s="2"/>
      <c r="C4" s="2"/>
      <c r="D4" s="14" t="s">
        <v>1729</v>
      </c>
      <c r="E4" s="14" t="s">
        <v>1730</v>
      </c>
      <c r="F4" s="14" t="s">
        <v>1732</v>
      </c>
      <c r="G4" s="14" t="s">
        <v>1733</v>
      </c>
      <c r="H4" s="2"/>
      <c r="I4" s="14" t="s">
        <v>1726</v>
      </c>
      <c r="J4" s="14" t="s">
        <v>1727</v>
      </c>
      <c r="K4" s="14" t="s">
        <v>1731</v>
      </c>
      <c r="L4" s="14" t="s">
        <v>1728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118.42105263157895</v>
      </c>
      <c r="E5" s="2">
        <f>AVERAGE(G10:G43)</f>
        <v>126.21052631578948</v>
      </c>
      <c r="F5" s="2">
        <f>MAX(B10:B43)</f>
        <v>30</v>
      </c>
      <c r="G5" s="2">
        <f>MIN(B10:B43)</f>
        <v>18</v>
      </c>
      <c r="H5" s="2"/>
      <c r="I5" s="22">
        <f>SUM(I10:I43)</f>
        <v>1101</v>
      </c>
      <c r="J5" s="22">
        <f>I3-I5</f>
        <v>3116</v>
      </c>
      <c r="K5" s="2">
        <f>COUNTIF(B10:B43, "&lt;=26")</f>
        <v>14</v>
      </c>
      <c r="L5" s="2">
        <f>AVERAGE(B10:B43)</f>
        <v>23.315789473684209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520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689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1604</v>
      </c>
      <c r="B9" s="18" t="s">
        <v>1605</v>
      </c>
      <c r="C9" s="18" t="s">
        <v>1606</v>
      </c>
      <c r="D9" s="18" t="s">
        <v>1607</v>
      </c>
      <c r="E9" s="18" t="s">
        <v>1608</v>
      </c>
      <c r="F9" s="18" t="s">
        <v>1609</v>
      </c>
      <c r="G9" s="18" t="s">
        <v>1610</v>
      </c>
      <c r="H9" s="18" t="s">
        <v>1613</v>
      </c>
      <c r="I9" s="18" t="s">
        <v>1614</v>
      </c>
      <c r="J9" s="18" t="s">
        <v>1615</v>
      </c>
      <c r="K9" s="18" t="s">
        <v>1611</v>
      </c>
      <c r="L9" s="18" t="s">
        <v>1612</v>
      </c>
      <c r="M9" s="18" t="s">
        <v>1616</v>
      </c>
      <c r="N9" s="18" t="s">
        <v>1617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斯坦利·约瑟夫</v>
      </c>
      <c r="B10" s="19">
        <f t="array" ref="B10">IFERROR(
  INDEX(球员数据库!B:B,
    SMALL(球员数据库!$O:$O, ROWS($A$10:A10))
  ),
"")</f>
        <v>24</v>
      </c>
      <c r="C10" s="19" t="str">
        <f t="array" ref="C10">IFERROR(
  INDEX(球员数据库!C:C,
    SMALL(球员数据库!$O:$O, ROWS($A$10:A10))
  ),
"")</f>
        <v>尼日利亚</v>
      </c>
      <c r="D10" s="19">
        <f t="array" ref="D10">IFERROR(
  INDEX(球员数据库!E:E,
    SMALL(球员数据库!$O:$O, ROWS($A$10:A10))
  ),
"")</f>
        <v>74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122</v>
      </c>
      <c r="G10" s="19">
        <f t="array" ref="G10">IFERROR(
  INDEX(球员数据库!G:G,
    SMALL(球员数据库!$O:$O, ROWS($A$10:A10))
  ),
"")</f>
        <v>122</v>
      </c>
      <c r="H10" s="19" t="str">
        <f>IFERROR(
  INDEX(球员数据库!H:H,
    SMALL(球员数据库!$O:$O, ROWS($A$10:H10))
  ),
"")</f>
        <v>中卫，左边后卫</v>
      </c>
      <c r="I10" s="19">
        <f>IFERROR(
  INDEX(球员数据库!I:I,
    SMALL(球员数据库!$O:$O, ROWS($A$10:H10))
  ),
"")</f>
        <v>80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5</v>
      </c>
      <c r="L10" s="19">
        <f>IFERROR(
  INDEX(球员数据库!L:L,
    SMALL(球员数据库!$O:$O, ROWS($A$10:J10))
  ),
"")</f>
        <v>400</v>
      </c>
      <c r="M10" s="19" t="str">
        <f>IFERROR(
  INDEX(球员数据库!M:M,
    SMALL(球员数据库!$O:$O, ROWS($A$10:M10))
  ),
"")</f>
        <v>全额保障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吉先·萨米</v>
      </c>
      <c r="B11" s="19">
        <f t="array" ref="B11">IFERROR(
  INDEX(球员数据库!B:B,
    SMALL(球员数据库!$O:$O, ROWS($A$10:A11))
  ),
"")</f>
        <v>27</v>
      </c>
      <c r="C11" s="19" t="str">
        <f t="array" ref="C11">IFERROR(
  INDEX(球员数据库!C:C,
    SMALL(球员数据库!$O:$O, ROWS($A$10:A11))
  ),
"")</f>
        <v>斐济</v>
      </c>
      <c r="D11" s="19">
        <f t="array" ref="D11">IFERROR(
  INDEX(球员数据库!E:E,
    SMALL(球员数据库!$O:$O, ROWS($A$10:A11))
  ),
"")</f>
        <v>75</v>
      </c>
      <c r="E11" s="20">
        <f t="array" ref="E11">IFERROR(
  INDEX(球员数据库!D:D,
    SMALL(球员数据库!$O:$O, ROWS($A$10:A11))
  ),
"")</f>
        <v>178</v>
      </c>
      <c r="F11" s="19">
        <f t="array" ref="F11">IFERROR(
  INDEX(球员数据库!F:F,
    SMALL(球员数据库!$O:$O, ROWS($A$10:A11))
  ),
"")</f>
        <v>74</v>
      </c>
      <c r="G11" s="19">
        <f t="array" ref="G11">IFERROR(
  INDEX(球员数据库!G:G,
    SMALL(球员数据库!$O:$O, ROWS($A$10:A11))
  ),
"")</f>
        <v>74</v>
      </c>
      <c r="H11" s="19" t="str">
        <f>IFERROR(
  INDEX(球员数据库!H:H,
    SMALL(球员数据库!$O:$O, ROWS($A$10:H11))
  ),
"")</f>
        <v>左右边后卫，左右边翼卫</v>
      </c>
      <c r="I11" s="19">
        <f>IFERROR(
  INDEX(球员数据库!I:I,
    SMALL(球员数据库!$O:$O, ROWS($A$10:H11))
  ),
"")</f>
        <v>24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120</v>
      </c>
      <c r="M11" s="19" t="str">
        <f>IFERROR(
  INDEX(球员数据库!M:M,
    SMALL(球员数据库!$O:$O, ROWS($A$10:M11))
  ),
"")</f>
        <v>半保障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弗雷德里希·穆勒</v>
      </c>
      <c r="B12" s="19">
        <f t="array" ref="B12">IFERROR(
  INDEX(球员数据库!B:B,
    SMALL(球员数据库!$O:$O, ROWS($A$10:A12))
  ),
"")</f>
        <v>22</v>
      </c>
      <c r="C12" s="19" t="str">
        <f t="array" ref="C12">IFERROR(
  INDEX(球员数据库!C:C,
    SMALL(球员数据库!$O:$O, ROWS($A$10:A12))
  ),
"")</f>
        <v>德国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169</v>
      </c>
      <c r="F12" s="19">
        <f t="array" ref="F12">IFERROR(
  INDEX(球员数据库!F:F,
    SMALL(球员数据库!$O:$O, ROWS($A$10:A12))
  ),
"")</f>
        <v>124</v>
      </c>
      <c r="G12" s="19">
        <f t="array" ref="G12">IFERROR(
  INDEX(球员数据库!G:G,
    SMALL(球员数据库!$O:$O, ROWS($A$10:A12))
  ),
"")</f>
        <v>140</v>
      </c>
      <c r="H12" s="19" t="str">
        <f>IFERROR(
  INDEX(球员数据库!H:H,
    SMALL(球员数据库!$O:$O, ROWS($A$10:H12))
  ),
"")</f>
        <v>中场，左边中场</v>
      </c>
      <c r="I12" s="19">
        <f>IFERROR(
  INDEX(球员数据库!I:I,
    SMALL(球员数据库!$O:$O, ROWS($A$10:H12))
  ),
"")</f>
        <v>100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500</v>
      </c>
      <c r="M12" s="19" t="str">
        <f>IFERROR(
  INDEX(球员数据库!M:M,
    SMALL(球员数据库!$O:$O, ROWS($A$10:M12))
  ),
"")</f>
        <v>全额保障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张国哲（小）</v>
      </c>
      <c r="B13" s="19">
        <f t="array" ref="B13">IFERROR(
  INDEX(球员数据库!B:B,
    SMALL(球员数据库!$O:$O, ROWS($A$10:A13))
  ),
"")</f>
        <v>29</v>
      </c>
      <c r="C13" s="19" t="str">
        <f t="array" ref="C13">IFERROR(
  INDEX(球员数据库!C:C,
    SMALL(球员数据库!$O:$O, ROWS($A$10:A13))
  ),
"")</f>
        <v>朝鲜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177</v>
      </c>
      <c r="F13" s="19">
        <f t="array" ref="F13">IFERROR(
  INDEX(球员数据库!F:F,
    SMALL(球员数据库!$O:$O, ROWS($A$10:A13))
  ),
"")</f>
        <v>98</v>
      </c>
      <c r="G13" s="19">
        <f t="array" ref="G13">IFERROR(
  INDEX(球员数据库!G:G,
    SMALL(球员数据库!$O:$O, ROWS($A$10:A13))
  ),
"")</f>
        <v>110</v>
      </c>
      <c r="H13" s="19" t="str">
        <f>IFERROR(
  INDEX(球员数据库!H:H,
    SMALL(球员数据库!$O:$O, ROWS($A$10:H13))
  ),
"")</f>
        <v>左边锋，中场，左边后卫</v>
      </c>
      <c r="I13" s="19">
        <f>IFERROR(
  INDEX(球员数据库!I:I,
    SMALL(球员数据库!$O:$O, ROWS($A$10:H13))
  ),
"")</f>
        <v>25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125</v>
      </c>
      <c r="M13" s="19" t="str">
        <f>IFERROR(
  INDEX(球员数据库!M:M,
    SMALL(球员数据库!$O:$O, ROWS($A$10:M13))
  ),
"")</f>
        <v>全额保障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金成日</v>
      </c>
      <c r="B14" s="19">
        <f t="array" ref="B14">IFERROR(
  INDEX(球员数据库!B:B,
    SMALL(球员数据库!$O:$O, ROWS($A$10:A14))
  ),
"")</f>
        <v>22</v>
      </c>
      <c r="C14" s="19" t="str">
        <f t="array" ref="C14">IFERROR(
  INDEX(球员数据库!C:C,
    SMALL(球员数据库!$O:$O, ROWS($A$10:A14))
  ),
"")</f>
        <v>朝鲜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182</v>
      </c>
      <c r="F14" s="19">
        <f t="array" ref="F14">IFERROR(
  INDEX(球员数据库!F:F,
    SMALL(球员数据库!$O:$O, ROWS($A$10:A14))
  ),
"")</f>
        <v>132</v>
      </c>
      <c r="G14" s="19">
        <f t="array" ref="G14">IFERROR(
  INDEX(球员数据库!G:G,
    SMALL(球员数据库!$O:$O, ROWS($A$10:A14))
  ),
"")</f>
        <v>132</v>
      </c>
      <c r="H14" s="19" t="str">
        <f>IFERROR(
  INDEX(球员数据库!H:H,
    SMALL(球员数据库!$O:$O, ROWS($A$10:H14))
  ),
"")</f>
        <v>后腰，中场</v>
      </c>
      <c r="I14" s="19">
        <f>IFERROR(
  INDEX(球员数据库!I:I,
    SMALL(球员数据库!$O:$O, ROWS($A$10:H14))
  ),
"")</f>
        <v>24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7</v>
      </c>
      <c r="L14" s="19">
        <f>IFERROR(
  INDEX(球员数据库!L:L,
    SMALL(球员数据库!$O:$O, ROWS($A$10:J14))
  ),
"")</f>
        <v>120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博·勒鲁瓦</v>
      </c>
      <c r="B15" s="19">
        <f t="array" ref="B15">IFERROR(
  INDEX(球员数据库!B:B,
    SMALL(球员数据库!$O:$O, ROWS($A$10:A15))
  ),
"")</f>
        <v>23</v>
      </c>
      <c r="C15" s="19" t="str">
        <f t="array" ref="C15">IFERROR(
  INDEX(球员数据库!C:C,
    SMALL(球员数据库!$O:$O, ROWS($A$10:A15))
  ),
"")</f>
        <v>中国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178</v>
      </c>
      <c r="F15" s="19">
        <f t="array" ref="F15">IFERROR(
  INDEX(球员数据库!F:F,
    SMALL(球员数据库!$O:$O, ROWS($A$10:A15))
  ),
"")</f>
        <v>126</v>
      </c>
      <c r="G15" s="19">
        <f t="array" ref="G15">IFERROR(
  INDEX(球员数据库!G:G,
    SMALL(球员数据库!$O:$O, ROWS($A$10:A15))
  ),
"")</f>
        <v>136</v>
      </c>
      <c r="H15" s="19" t="str">
        <f>IFERROR(
  INDEX(球员数据库!H:H,
    SMALL(球员数据库!$O:$O, ROWS($A$10:H15))
  ),
"")</f>
        <v>中场</v>
      </c>
      <c r="I15" s="19">
        <f>IFERROR(
  INDEX(球员数据库!I:I,
    SMALL(球员数据库!$O:$O, ROWS($A$10:H15))
  ),
"")</f>
        <v>120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600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维罗尼·普罗布斯特</v>
      </c>
      <c r="B16" s="19">
        <f t="array" ref="B16">IFERROR(
  INDEX(球员数据库!B:B,
    SMALL(球员数据库!$O:$O, ROWS($A$10:A16))
  ),
"")</f>
        <v>23</v>
      </c>
      <c r="C16" s="19" t="str">
        <f t="array" ref="C16">IFERROR(
  INDEX(球员数据库!C:C,
    SMALL(球员数据库!$O:$O, ROWS($A$10:A16))
  ),
"")</f>
        <v>加西亚，德国</v>
      </c>
      <c r="D16" s="19">
        <f t="array" ref="D16">IFERROR(
  INDEX(球员数据库!E:E,
    SMALL(球员数据库!$O:$O, ROWS($A$10:A16))
  ),
"")</f>
        <v>92</v>
      </c>
      <c r="E16" s="20">
        <f t="array" ref="E16">IFERROR(
  INDEX(球员数据库!D:D,
    SMALL(球员数据库!$O:$O, ROWS($A$10:A16))
  ),
"")</f>
        <v>202</v>
      </c>
      <c r="F16" s="19">
        <f t="array" ref="F16">IFERROR(
  INDEX(球员数据库!F:F,
    SMALL(球员数据库!$O:$O, ROWS($A$10:A16))
  ),
"")</f>
        <v>124</v>
      </c>
      <c r="G16" s="19">
        <f t="array" ref="G16">IFERROR(
  INDEX(球员数据库!G:G,
    SMALL(球员数据库!$O:$O, ROWS($A$10:A16))
  ),
"")</f>
        <v>124</v>
      </c>
      <c r="H16" s="19" t="str">
        <f>IFERROR(
  INDEX(球员数据库!H:H,
    SMALL(球员数据库!$O:$O, ROWS($A$10:H16))
  ),
"")</f>
        <v>前锋</v>
      </c>
      <c r="I16" s="19">
        <f>IFERROR(
  INDEX(球员数据库!I:I,
    SMALL(球员数据库!$O:$O, ROWS($A$10:H16))
  ),
"")</f>
        <v>100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8</v>
      </c>
      <c r="L16" s="19">
        <f>IFERROR(
  INDEX(球员数据库!L:L,
    SMALL(球员数据库!$O:$O, ROWS($A$10:J16))
  ),
"")</f>
        <v>500</v>
      </c>
      <c r="M16" s="19" t="str">
        <f>IFERROR(
  INDEX(球员数据库!M:M,
    SMALL(球员数据库!$O:$O, ROWS($A$10:M16))
  ),
"")</f>
        <v>全额保障</v>
      </c>
      <c r="N16" s="19">
        <f>IFERROR(
  INDEX(球员数据库!N:N,
    SMALL(球员数据库!$O:$O, ROWS($A$10:M16))
  ),
"")</f>
        <v>0</v>
      </c>
      <c r="O16" s="9"/>
      <c r="Q16" s="13"/>
      <c r="X16" s="11" t="s">
        <v>1719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安格尔·图伊马莱桑加</v>
      </c>
      <c r="B17" s="19">
        <f t="array" ref="B17">IFERROR(
  INDEX(球员数据库!B:B,
    SMALL(球员数据库!$O:$O, ROWS($A$10:A17))
  ),
"")</f>
        <v>21</v>
      </c>
      <c r="C17" s="19" t="str">
        <f t="array" ref="C17">IFERROR(
  INDEX(球员数据库!C:C,
    SMALL(球员数据库!$O:$O, ROWS($A$10:A17))
  ),
"")</f>
        <v>加西亚，汤加</v>
      </c>
      <c r="D17" s="19">
        <f t="array" ref="D17">IFERROR(
  INDEX(球员数据库!E:E,
    SMALL(球员数据库!$O:$O, ROWS($A$10:A17))
  ),
"")</f>
        <v>86</v>
      </c>
      <c r="E17" s="20">
        <f t="array" ref="E17">IFERROR(
  INDEX(球员数据库!D:D,
    SMALL(球员数据库!$O:$O, ROWS($A$10:A17))
  ),
"")</f>
        <v>185</v>
      </c>
      <c r="F17" s="19">
        <f t="array" ref="F17">IFERROR(
  INDEX(球员数据库!F:F,
    SMALL(球员数据库!$O:$O, ROWS($A$10:A17))
  ),
"")</f>
        <v>121</v>
      </c>
      <c r="G17" s="19">
        <f t="array" ref="G17">IFERROR(
  INDEX(球员数据库!G:G,
    SMALL(球员数据库!$O:$O, ROWS($A$10:A17))
  ),
"")</f>
        <v>121</v>
      </c>
      <c r="H17" s="19" t="str">
        <f>IFERROR(
  INDEX(球员数据库!H:H,
    SMALL(球员数据库!$O:$O, ROWS($A$10:H17))
  ),
"")</f>
        <v>中卫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6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半保障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约翰森·罗阿德</v>
      </c>
      <c r="B18" s="19">
        <f t="array" ref="B18">IFERROR(
  INDEX(球员数据库!B:B,
    SMALL(球员数据库!$O:$O, ROWS($A$10:A18))
  ),
"")</f>
        <v>20</v>
      </c>
      <c r="C18" s="19" t="str">
        <f t="array" ref="C18">IFERROR(
  INDEX(球员数据库!C:C,
    SMALL(球员数据库!$O:$O, ROWS($A$10:A18))
  ),
"")</f>
        <v>加西亚</v>
      </c>
      <c r="D18" s="19">
        <f t="array" ref="D18">IFERROR(
  INDEX(球员数据库!E:E,
    SMALL(球员数据库!$O:$O, ROWS($A$10:A18))
  ),
"")</f>
        <v>78</v>
      </c>
      <c r="E18" s="20">
        <f t="array" ref="E18">IFERROR(
  INDEX(球员数据库!D:D,
    SMALL(球员数据库!$O:$O, ROWS($A$10:A18))
  ),
"")</f>
        <v>187</v>
      </c>
      <c r="F18" s="19">
        <f t="array" ref="F18">IFERROR(
  INDEX(球员数据库!F:F,
    SMALL(球员数据库!$O:$O, ROWS($A$10:A18))
  ),
"")</f>
        <v>124</v>
      </c>
      <c r="G18" s="19">
        <f t="array" ref="G18">IFERROR(
  INDEX(球员数据库!G:G,
    SMALL(球员数据库!$O:$O, ROWS($A$10:A18))
  ),
"")</f>
        <v>124</v>
      </c>
      <c r="H18" s="19" t="str">
        <f>IFERROR(
  INDEX(球员数据库!H:H,
    SMALL(球员数据库!$O:$O, ROWS($A$10:H18))
  ),
"")</f>
        <v>中卫，中锋</v>
      </c>
      <c r="I18" s="19">
        <f>IFERROR(
  INDEX(球员数据库!I:I,
    SMALL(球员数据库!$O:$O, ROWS($A$10:H18))
  ),
"")</f>
        <v>24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120</v>
      </c>
      <c r="M18" s="19" t="str">
        <f>IFERROR(
  INDEX(球员数据库!M:M,
    SMALL(球员数据库!$O:$O, ROWS($A$10:M18))
  ),
"")</f>
        <v>半保障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栾毅</v>
      </c>
      <c r="B19" s="19">
        <f t="array" ref="B19">IFERROR(
  INDEX(球员数据库!B:B,
    SMALL(球员数据库!$O:$O, ROWS($A$10:A19))
  ),
"")</f>
        <v>21</v>
      </c>
      <c r="C19" s="19" t="str">
        <f t="array" ref="C19">IFERROR(
  INDEX(球员数据库!C:C,
    SMALL(球员数据库!$O:$O, ROWS($A$10:A19))
  ),
"")</f>
        <v>中国</v>
      </c>
      <c r="D19" s="19">
        <f t="array" ref="D19">IFERROR(
  INDEX(球员数据库!E:E,
    SMALL(球员数据库!$O:$O, ROWS($A$10:A19))
  ),
"")</f>
        <v>70</v>
      </c>
      <c r="E19" s="20">
        <f t="array" ref="E19">IFERROR(
  INDEX(球员数据库!D:D,
    SMALL(球员数据库!$O:$O, ROWS($A$10:A19))
  ),
"")</f>
        <v>195</v>
      </c>
      <c r="F19" s="19">
        <f t="array" ref="F19">IFERROR(
  INDEX(球员数据库!F:F,
    SMALL(球员数据库!$O:$O, ROWS($A$10:A19))
  ),
"")</f>
        <v>106</v>
      </c>
      <c r="G19" s="19">
        <f t="array" ref="G19">IFERROR(
  INDEX(球员数据库!G:G,
    SMALL(球员数据库!$O:$O, ROWS($A$10:A19))
  ),
"")</f>
        <v>106</v>
      </c>
      <c r="H19" s="19" t="str">
        <f>IFERROR(
  INDEX(球员数据库!H:H,
    SMALL(球员数据库!$O:$O, ROWS($A$10:H19))
  ),
"")</f>
        <v>门将</v>
      </c>
      <c r="I19" s="19">
        <f>IFERROR(
  INDEX(球员数据库!I:I,
    SMALL(球员数据库!$O:$O, ROWS($A$10:H19))
  ),
"")</f>
        <v>24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5</v>
      </c>
      <c r="L19" s="19">
        <f>IFERROR(
  INDEX(球员数据库!L:L,
    SMALL(球员数据库!$O:$O, ROWS($A$10:J19))
  ),
"")</f>
        <v>120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1720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阿贝尔·霍查</v>
      </c>
      <c r="B20" s="19">
        <f t="array" ref="B20">IFERROR(
  INDEX(球员数据库!B:B,
    SMALL(球员数据库!$O:$O, ROWS($A$10:A20))
  ),
"")</f>
        <v>28</v>
      </c>
      <c r="C20" s="19" t="str">
        <f t="array" ref="C20">IFERROR(
  INDEX(球员数据库!C:C,
    SMALL(球员数据库!$O:$O, ROWS($A$10:A20))
  ),
"")</f>
        <v>阿尔巴尼亚</v>
      </c>
      <c r="D20" s="19">
        <f t="array" ref="D20">IFERROR(
  INDEX(球员数据库!E:E,
    SMALL(球员数据库!$O:$O, ROWS($A$10:A20))
  ),
"")</f>
        <v>74</v>
      </c>
      <c r="E20" s="20">
        <f t="array" ref="E20">IFERROR(
  INDEX(球员数据库!D:D,
    SMALL(球员数据库!$O:$O, ROWS($A$10:A20))
  ),
"")</f>
        <v>178</v>
      </c>
      <c r="F20" s="19">
        <f t="array" ref="F20">IFERROR(
  INDEX(球员数据库!F:F,
    SMALL(球员数据库!$O:$O, ROWS($A$10:A20))
  ),
"")</f>
        <v>118</v>
      </c>
      <c r="G20" s="19">
        <f t="array" ref="G20">IFERROR(
  INDEX(球员数据库!G:G,
    SMALL(球员数据库!$O:$O, ROWS($A$10:A20))
  ),
"")</f>
        <v>119</v>
      </c>
      <c r="H20" s="19" t="str">
        <f>IFERROR(
  INDEX(球员数据库!H:H,
    SMALL(球员数据库!$O:$O, ROWS($A$10:H20))
  ),
"")</f>
        <v>左边锋</v>
      </c>
      <c r="I20" s="19">
        <f>IFERROR(
  INDEX(球员数据库!I:I,
    SMALL(球员数据库!$O:$O, ROWS($A$10:H20))
  ),
"")</f>
        <v>60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300</v>
      </c>
      <c r="M20" s="19" t="str">
        <f>IFERROR(
  INDEX(球员数据库!M:M,
    SMALL(球员数据库!$O:$O, ROWS($A$10:M20))
  ),
"")</f>
        <v>全额保障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维萨尔·贝卡伊</v>
      </c>
      <c r="B21" s="19">
        <f t="array" ref="B21">IFERROR(
  INDEX(球员数据库!B:B,
    SMALL(球员数据库!$O:$O, ROWS($A$10:A21))
  ),
"")</f>
        <v>30</v>
      </c>
      <c r="C21" s="19" t="str">
        <f t="array" ref="C21">IFERROR(
  INDEX(球员数据库!C:C,
    SMALL(球员数据库!$O:$O, ROWS($A$10:A21))
  ),
"")</f>
        <v>波黑</v>
      </c>
      <c r="D21" s="19">
        <f t="array" ref="D21">IFERROR(
  INDEX(球员数据库!E:E,
    SMALL(球员数据库!$O:$O, ROWS($A$10:A21))
  ),
"")</f>
        <v>0</v>
      </c>
      <c r="E21" s="20">
        <f t="array" ref="E21">IFERROR(
  INDEX(球员数据库!D:D,
    SMALL(球员数据库!$O:$O, ROWS($A$10:A21))
  ),
"")</f>
        <v>0</v>
      </c>
      <c r="F21" s="19">
        <f t="array" ref="F21">IFERROR(
  INDEX(球员数据库!F:F,
    SMALL(球员数据库!$O:$O, ROWS($A$10:A21))
  ),
"")</f>
        <v>110</v>
      </c>
      <c r="G21" s="19">
        <f t="array" ref="G21">IFERROR(
  INDEX(球员数据库!G:G,
    SMALL(球员数据库!$O:$O, ROWS($A$10:A21))
  ),
"")</f>
        <v>116</v>
      </c>
      <c r="H21" s="19" t="str">
        <f>IFERROR(
  INDEX(球员数据库!H:H,
    SMALL(球员数据库!$O:$O, ROWS($A$10:H21))
  ),
"")</f>
        <v>门将</v>
      </c>
      <c r="I21" s="19">
        <f>IFERROR(
  INDEX(球员数据库!I:I,
    SMALL(球员数据库!$O:$O, ROWS($A$10:H21))
  ),
"")</f>
        <v>40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200</v>
      </c>
      <c r="M21" s="19" t="str">
        <f>IFERROR(
  INDEX(球员数据库!M:M,
    SMALL(球员数据库!$O:$O, ROWS($A$10:M21))
  ),
"")</f>
        <v>半保障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1721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亚历杭德罗·布拉日奇</v>
      </c>
      <c r="B22" s="19">
        <f t="array" ref="B22">IFERROR(
  INDEX(球员数据库!B:B,
    SMALL(球员数据库!$O:$O, ROWS($A$10:A22))
  ),
"")</f>
        <v>18</v>
      </c>
      <c r="C22" s="19" t="str">
        <f t="array" ref="C22">IFERROR(
  INDEX(球员数据库!C:C,
    SMALL(球员数据库!$O:$O, ROWS($A$10:A22))
  ),
"")</f>
        <v>加西亚</v>
      </c>
      <c r="D22" s="19">
        <f t="array" ref="D22">IFERROR(
  INDEX(球员数据库!E:E,
    SMALL(球员数据库!$O:$O, ROWS($A$10:A22))
  ),
"")</f>
        <v>0</v>
      </c>
      <c r="E22" s="20">
        <f t="array" ref="E22">IFERROR(
  INDEX(球员数据库!D:D,
    SMALL(球员数据库!$O:$O, ROWS($A$10:A22))
  ),
"")</f>
        <v>0</v>
      </c>
      <c r="F22" s="19">
        <f t="array" ref="F22">IFERROR(
  INDEX(球员数据库!F:F,
    SMALL(球员数据库!$O:$O, ROWS($A$10:A22))
  ),
"")</f>
        <v>129</v>
      </c>
      <c r="G22" s="19">
        <f t="array" ref="G22">IFERROR(
  INDEX(球员数据库!G:G,
    SMALL(球员数据库!$O:$O, ROWS($A$10:A22))
  ),
"")</f>
        <v>138</v>
      </c>
      <c r="H22" s="19" t="str">
        <f>IFERROR(
  INDEX(球员数据库!H:H,
    SMALL(球员数据库!$O:$O, ROWS($A$10:H22))
  ),
"")</f>
        <v>门将</v>
      </c>
      <c r="I22" s="19">
        <f>IFERROR(
  INDEX(球员数据库!I:I,
    SMALL(球员数据库!$O:$O, ROWS($A$10:H22))
  ),
"")</f>
        <v>24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9</v>
      </c>
      <c r="L22" s="19">
        <f>IFERROR(
  INDEX(球员数据库!L:L,
    SMALL(球员数据库!$O:$O, ROWS($A$10:J22))
  ),
"")</f>
        <v>120</v>
      </c>
      <c r="M22" s="19" t="str">
        <f>IFERROR(
  INDEX(球员数据库!M:M,
    SMALL(球员数据库!$O:$O, ROWS($A$10:M22))
  ),
"")</f>
        <v>全额保障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加布里埃尔·梅克</v>
      </c>
      <c r="B23" s="19">
        <f t="array" ref="B23">IFERROR(
  INDEX(球员数据库!B:B,
    SMALL(球员数据库!$O:$O, ROWS($A$10:A23))
  ),
"")</f>
        <v>18</v>
      </c>
      <c r="C23" s="19" t="str">
        <f t="array" ref="C23">IFERROR(
  INDEX(球员数据库!C:C,
    SMALL(球员数据库!$O:$O, ROWS($A$10:A23))
  ),
"")</f>
        <v>巴西</v>
      </c>
      <c r="D23" s="19">
        <f t="array" ref="D23">IFERROR(
  INDEX(球员数据库!E:E,
    SMALL(球员数据库!$O:$O, ROWS($A$10:A23))
  ),
"")</f>
        <v>0</v>
      </c>
      <c r="E23" s="20">
        <f t="array" ref="E23">IFERROR(
  INDEX(球员数据库!D:D,
    SMALL(球员数据库!$O:$O, ROWS($A$10:A23))
  ),
"")</f>
        <v>0</v>
      </c>
      <c r="F23" s="19">
        <f t="array" ref="F23">IFERROR(
  INDEX(球员数据库!F:F,
    SMALL(球员数据库!$O:$O, ROWS($A$10:A23))
  ),
"")</f>
        <v>120</v>
      </c>
      <c r="G23" s="19">
        <f t="array" ref="G23">IFERROR(
  INDEX(球员数据库!G:G,
    SMALL(球员数据库!$O:$O, ROWS($A$10:A23))
  ),
"")</f>
        <v>180</v>
      </c>
      <c r="H23" s="19" t="str">
        <f>IFERROR(
  INDEX(球员数据库!H:H,
    SMALL(球员数据库!$O:$O, ROWS($A$10:H23))
  ),
"")</f>
        <v>左右边锋</v>
      </c>
      <c r="I23" s="19">
        <f>IFERROR(
  INDEX(球员数据库!I:I,
    SMALL(球员数据库!$O:$O, ROWS($A$10:H23))
  ),
"")</f>
        <v>70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9</v>
      </c>
      <c r="L23" s="19">
        <f>IFERROR(
  INDEX(球员数据库!L:L,
    SMALL(球员数据库!$O:$O, ROWS($A$10:J23))
  ),
"")</f>
        <v>350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戴恩·桑德森</v>
      </c>
      <c r="B24" s="19">
        <f t="array" ref="B24">IFERROR(
  INDEX(球员数据库!B:B,
    SMALL(球员数据库!$O:$O, ROWS($A$10:A24))
  ),
"")</f>
        <v>26</v>
      </c>
      <c r="C24" s="19" t="str">
        <f t="array" ref="C24">IFERROR(
  INDEX(球员数据库!C:C,
    SMALL(球员数据库!$O:$O, ROWS($A$10:A24))
  ),
"")</f>
        <v>英格兰，马来西亚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126</v>
      </c>
      <c r="G24" s="19">
        <f t="array" ref="G24">IFERROR(
  INDEX(球员数据库!G:G,
    SMALL(球员数据库!$O:$O, ROWS($A$10:A24))
  ),
"")</f>
        <v>126</v>
      </c>
      <c r="H24" s="19" t="str">
        <f>IFERROR(
  INDEX(球员数据库!H:H,
    SMALL(球员数据库!$O:$O, ROWS($A$10:H24))
  ),
"")</f>
        <v>中卫</v>
      </c>
      <c r="I24" s="19">
        <f>IFERROR(
  INDEX(球员数据库!I:I,
    SMALL(球员数据库!$O:$O, ROWS($A$10:H24))
  ),
"")</f>
        <v>140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700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1659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史蒂文·楚克乌埃布卡</v>
      </c>
      <c r="B25" s="19">
        <f t="array" ref="B25">IFERROR(
  INDEX(球员数据库!B:B,
    SMALL(球员数据库!$O:$O, ROWS($A$10:A25))
  ),
"")</f>
        <v>20</v>
      </c>
      <c r="C25" s="19" t="str">
        <f t="array" ref="C25">IFERROR(
  INDEX(球员数据库!C:C,
    SMALL(球员数据库!$O:$O, ROWS($A$10:A25))
  ),
"")</f>
        <v>加西亚，加纳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124</v>
      </c>
      <c r="G25" s="19">
        <f t="array" ref="G25">IFERROR(
  INDEX(球员数据库!G:G,
    SMALL(球员数据库!$O:$O, ROWS($A$10:A25))
  ),
"")</f>
        <v>130</v>
      </c>
      <c r="H25" s="19" t="str">
        <f>IFERROR(
  INDEX(球员数据库!H:H,
    SMALL(球员数据库!$O:$O, ROWS($A$10:H25))
  ),
"")</f>
        <v>后腰，中场，中卫</v>
      </c>
      <c r="I25" s="19">
        <f>IFERROR(
  INDEX(球员数据库!I:I,
    SMALL(球员数据库!$O:$O, ROWS($A$10:H25))
  ),
"")</f>
        <v>24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5</v>
      </c>
      <c r="L25" s="19">
        <f>IFERROR(
  INDEX(球员数据库!L:L,
    SMALL(球员数据库!$O:$O, ROWS($A$10:J25))
  ),
"")</f>
        <v>120</v>
      </c>
      <c r="M25" s="19" t="str">
        <f>IFERROR(
  INDEX(球员数据库!M:M,
    SMALL(球员数据库!$O:$O, ROWS($A$10:M25))
  ),
"")</f>
        <v>半保障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1039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乌切楚克乌·乌克杰</v>
      </c>
      <c r="B26" s="19">
        <f t="array" ref="B26">IFERROR(
  INDEX(球员数据库!B:B,
    SMALL(球员数据库!$O:$O, ROWS($A$10:A26))
  ),
"")</f>
        <v>21</v>
      </c>
      <c r="C26" s="19" t="str">
        <f t="array" ref="C26">IFERROR(
  INDEX(球员数据库!C:C,
    SMALL(球员数据库!$O:$O, ROWS($A$10:A26))
  ),
"")</f>
        <v>加西亚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123</v>
      </c>
      <c r="G26" s="19">
        <f t="array" ref="G26">IFERROR(
  INDEX(球员数据库!G:G,
    SMALL(球员数据库!$O:$O, ROWS($A$10:A26))
  ),
"")</f>
        <v>141</v>
      </c>
      <c r="H26" s="19" t="str">
        <f>IFERROR(
  INDEX(球员数据库!H:H,
    SMALL(球员数据库!$O:$O, ROWS($A$10:H26))
  ),
"")</f>
        <v>前锋，左边锋，左边中场</v>
      </c>
      <c r="I26" s="19">
        <f>IFERROR(
  INDEX(球员数据库!I:I,
    SMALL(球员数据库!$O:$O, ROWS($A$10:H26))
  ),
"")</f>
        <v>24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5</v>
      </c>
      <c r="L26" s="19">
        <f>IFERROR(
  INDEX(球员数据库!L:L,
    SMALL(球员数据库!$O:$O, ROWS($A$10:J26))
  ),
"")</f>
        <v>120</v>
      </c>
      <c r="M26" s="19" t="str">
        <f>IFERROR(
  INDEX(球员数据库!M:M,
    SMALL(球员数据库!$O:$O, ROWS($A$10:M26))
  ),
"")</f>
        <v>半保障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黎光静</v>
      </c>
      <c r="B27" s="19">
        <f t="array" ref="B27">IFERROR(
  INDEX(球员数据库!B:B,
    SMALL(球员数据库!$O:$O, ROWS($A$10:A27))
  ),
"")</f>
        <v>20</v>
      </c>
      <c r="C27" s="19" t="str">
        <f t="array" ref="C27">IFERROR(
  INDEX(球员数据库!C:C,
    SMALL(球员数据库!$O:$O, ROWS($A$10:A27))
  ),
"")</f>
        <v>加西亚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121</v>
      </c>
      <c r="G27" s="19">
        <f t="array" ref="G27">IFERROR(
  INDEX(球员数据库!G:G,
    SMALL(球员数据库!$O:$O, ROWS($A$10:A27))
  ),
"")</f>
        <v>131</v>
      </c>
      <c r="H27" s="19" t="str">
        <f>IFERROR(
  INDEX(球员数据库!H:H,
    SMALL(球员数据库!$O:$O, ROWS($A$10:H27))
  ),
"")</f>
        <v>右边卫</v>
      </c>
      <c r="I27" s="19">
        <f>IFERROR(
  INDEX(球员数据库!I:I,
    SMALL(球员数据库!$O:$O, ROWS($A$10:H27))
  ),
"")</f>
        <v>24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5</v>
      </c>
      <c r="L27" s="19">
        <f>IFERROR(
  INDEX(球员数据库!L:L,
    SMALL(球员数据库!$O:$O, ROWS($A$10:J27))
  ),
"")</f>
        <v>120</v>
      </c>
      <c r="M27" s="19" t="str">
        <f>IFERROR(
  INDEX(球员数据库!M:M,
    SMALL(球员数据库!$O:$O, ROWS($A$10:M27))
  ),
"")</f>
        <v>半保障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乔治·曼库尔</v>
      </c>
      <c r="B28" s="19">
        <f t="array" ref="B28">IFERROR(
  INDEX(球员数据库!B:B,
    SMALL(球员数据库!$O:$O, ROWS($A$10:A28))
  ),
"")</f>
        <v>30</v>
      </c>
      <c r="C28" s="19" t="str">
        <f t="array" ref="C28">IFERROR(
  INDEX(球员数据库!C:C,
    SMALL(球员数据库!$O:$O, ROWS($A$10:A28))
  ),
"")</f>
        <v>英格兰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128</v>
      </c>
      <c r="G28" s="19">
        <f t="array" ref="G28">IFERROR(
  INDEX(球员数据库!G:G,
    SMALL(球员数据库!$O:$O, ROWS($A$10:A28))
  ),
"")</f>
        <v>128</v>
      </c>
      <c r="H28" s="19" t="str">
        <f>IFERROR(
  INDEX(球员数据库!H:H,
    SMALL(球员数据库!$O:$O, ROWS($A$10:H28))
  ),
"")</f>
        <v>前腰</v>
      </c>
      <c r="I28" s="19">
        <f>IFERROR(
  INDEX(球员数据库!I:I,
    SMALL(球员数据库!$O:$O, ROWS($A$10:H28))
  ),
"")</f>
        <v>150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6</v>
      </c>
      <c r="L28" s="19">
        <f>IFERROR(
  INDEX(球员数据库!L:L,
    SMALL(球员数据库!$O:$O, ROWS($A$10:J28))
  ),
"")</f>
        <v>750</v>
      </c>
      <c r="M28" s="19" t="str">
        <f>IFERROR(
  INDEX(球员数据库!M:M,
    SMALL(球员数据库!$O:$O, ROWS($A$10:M28))
  ),
"")</f>
        <v>全额保障</v>
      </c>
      <c r="N28" s="19">
        <f>IFERROR(
  INDEX(球员数据库!N:N,
    SMALL(球员数据库!$O:$O, ROWS($A$10:M28))
  ),
"")</f>
        <v>0</v>
      </c>
      <c r="O28" s="9"/>
      <c r="X28" s="11" t="s">
        <v>609</v>
      </c>
    </row>
    <row r="29" spans="1:24" ht="14" customHeight="1" x14ac:dyDescent="0.3">
      <c r="A29" s="16" t="str">
        <f t="array" ref="A29">IFERROR(
  INDEX(球员数据库!A:A,
    SMALL(球员数据库!$O:$O, ROWS($A$10:A29))
  ),
"")</f>
        <v/>
      </c>
      <c r="B29" s="19" t="str">
        <f t="array" ref="B29">IFERROR(
  INDEX(球员数据库!B:B,
    SMALL(球员数据库!$O:$O, ROWS($A$10:A29))
  ),
"")</f>
        <v/>
      </c>
      <c r="C29" s="19" t="str">
        <f t="array" ref="C29">IFERROR(
  INDEX(球员数据库!C:C,
    SMALL(球员数据库!$O:$O, ROWS($A$10:A29))
  ),
"")</f>
        <v/>
      </c>
      <c r="D29" s="19" t="str">
        <f t="array" ref="D29">IFERROR(
  INDEX(球员数据库!E:E,
    SMALL(球员数据库!$O:$O, ROWS($A$10:A29))
  ),
"")</f>
        <v/>
      </c>
      <c r="E29" s="20" t="str">
        <f t="array" ref="E29">IFERROR(
  INDEX(球员数据库!D:D,
    SMALL(球员数据库!$O:$O, ROWS($A$10:A29))
  ),
"")</f>
        <v/>
      </c>
      <c r="F29" s="19" t="str">
        <f t="array" ref="F29">IFERROR(
  INDEX(球员数据库!F:F,
    SMALL(球员数据库!$O:$O, ROWS($A$10:A29))
  ),
"")</f>
        <v/>
      </c>
      <c r="G29" s="19" t="str">
        <f t="array" ref="G29">IFERROR(
  INDEX(球员数据库!G:G,
    SMALL(球员数据库!$O:$O, ROWS($A$10:A29))
  ),
"")</f>
        <v/>
      </c>
      <c r="H29" s="19" t="str">
        <f>IFERROR(
  INDEX(球员数据库!H:H,
    SMALL(球员数据库!$O:$O, ROWS($A$10:H29))
  ),
"")</f>
        <v/>
      </c>
      <c r="I29" s="19" t="str">
        <f>IFERROR(
  INDEX(球员数据库!I:I,
    SMALL(球员数据库!$O:$O, ROWS($A$10:H29))
  ),
"")</f>
        <v/>
      </c>
      <c r="J29" s="19" t="str">
        <f>IFERROR(
  INDEX(球员数据库!J:J,
    SMALL(球员数据库!$O:$O, ROWS($A$10:J29))
  ),
"")</f>
        <v/>
      </c>
      <c r="K29" s="19" t="str">
        <f>IFERROR(
  INDEX(球员数据库!K:K,
    SMALL(球员数据库!$O:$O, ROWS($A$10:J29))
  ),
"")</f>
        <v/>
      </c>
      <c r="L29" s="19" t="str">
        <f>IFERROR(
  INDEX(球员数据库!L:L,
    SMALL(球员数据库!$O:$O, ROWS($A$10:J29))
  ),
"")</f>
        <v/>
      </c>
      <c r="M29" s="19" t="str">
        <f>IFERROR(
  INDEX(球员数据库!M:M,
    SMALL(球员数据库!$O:$O, ROWS($A$10:M29))
  ),
"")</f>
        <v/>
      </c>
      <c r="N29" s="19" t="str">
        <f>IFERROR(
  INDEX(球员数据库!N:N,
    SMALL(球员数据库!$O:$O, ROWS($A$10:M29))
  ),
"")</f>
        <v/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/>
      </c>
      <c r="B30" s="19" t="str">
        <f t="array" ref="B30">IFERROR(
  INDEX(球员数据库!B:B,
    SMALL(球员数据库!$O:$O, ROWS($A$10:A30))
  ),
"")</f>
        <v/>
      </c>
      <c r="C30" s="19" t="str">
        <f t="array" ref="C30">IFERROR(
  INDEX(球员数据库!C:C,
    SMALL(球员数据库!$O:$O, ROWS($A$10:A30))
  ),
"")</f>
        <v/>
      </c>
      <c r="D30" s="19" t="str">
        <f t="array" ref="D30">IFERROR(
  INDEX(球员数据库!E:E,
    SMALL(球员数据库!$O:$O, ROWS($A$10:A30))
  ),
"")</f>
        <v/>
      </c>
      <c r="E30" s="20" t="str">
        <f t="array" ref="E30">IFERROR(
  INDEX(球员数据库!D:D,
    SMALL(球员数据库!$O:$O, ROWS($A$10:A30))
  ),
"")</f>
        <v/>
      </c>
      <c r="F30" s="19" t="str">
        <f t="array" ref="F30">IFERROR(
  INDEX(球员数据库!F:F,
    SMALL(球员数据库!$O:$O, ROWS($A$10:A30))
  ),
"")</f>
        <v/>
      </c>
      <c r="G30" s="19" t="str">
        <f t="array" ref="G30">IFERROR(
  INDEX(球员数据库!G:G,
    SMALL(球员数据库!$O:$O, ROWS($A$10:A30))
  ),
"")</f>
        <v/>
      </c>
      <c r="H30" s="19" t="str">
        <f>IFERROR(
  INDEX(球员数据库!H:H,
    SMALL(球员数据库!$O:$O, ROWS($A$10:H30))
  ),
"")</f>
        <v/>
      </c>
      <c r="I30" s="19" t="str">
        <f>IFERROR(
  INDEX(球员数据库!I:I,
    SMALL(球员数据库!$O:$O, ROWS($A$10:H30))
  ),
"")</f>
        <v/>
      </c>
      <c r="J30" s="19" t="str">
        <f>IFERROR(
  INDEX(球员数据库!J:J,
    SMALL(球员数据库!$O:$O, ROWS($A$10:J30))
  ),
"")</f>
        <v/>
      </c>
      <c r="K30" s="19" t="str">
        <f>IFERROR(
  INDEX(球员数据库!K:K,
    SMALL(球员数据库!$O:$O, ROWS($A$10:J30))
  ),
"")</f>
        <v/>
      </c>
      <c r="L30" s="19" t="str">
        <f>IFERROR(
  INDEX(球员数据库!L:L,
    SMALL(球员数据库!$O:$O, ROWS($A$10:J30))
  ),
"")</f>
        <v/>
      </c>
      <c r="M30" s="19" t="str">
        <f>IFERROR(
  INDEX(球员数据库!M:M,
    SMALL(球员数据库!$O:$O, ROWS($A$10:M30))
  ),
"")</f>
        <v/>
      </c>
      <c r="N30" s="19" t="str">
        <f>IFERROR(
  INDEX(球员数据库!N:N,
    SMALL(球员数据库!$O:$O, ROWS($A$10:M30))
  ),
"")</f>
        <v/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/>
      </c>
      <c r="B31" s="19" t="str">
        <f t="array" ref="B31">IFERROR(
  INDEX(球员数据库!B:B,
    SMALL(球员数据库!$O:$O, ROWS($A$10:A31))
  ),
"")</f>
        <v/>
      </c>
      <c r="C31" s="19" t="str">
        <f t="array" ref="C31">IFERROR(
  INDEX(球员数据库!C:C,
    SMALL(球员数据库!$O:$O, ROWS($A$10:A31))
  ),
"")</f>
        <v/>
      </c>
      <c r="D31" s="19" t="str">
        <f t="array" ref="D31">IFERROR(
  INDEX(球员数据库!E:E,
    SMALL(球员数据库!$O:$O, ROWS($A$10:A31))
  ),
"")</f>
        <v/>
      </c>
      <c r="E31" s="20" t="str">
        <f t="array" ref="E31">IFERROR(
  INDEX(球员数据库!D:D,
    SMALL(球员数据库!$O:$O, ROWS($A$10:A31))
  ),
"")</f>
        <v/>
      </c>
      <c r="F31" s="19" t="str">
        <f t="array" ref="F31">IFERROR(
  INDEX(球员数据库!F:F,
    SMALL(球员数据库!$O:$O, ROWS($A$10:A31))
  ),
"")</f>
        <v/>
      </c>
      <c r="G31" s="19" t="str">
        <f t="array" ref="G31">IFERROR(
  INDEX(球员数据库!G:G,
    SMALL(球员数据库!$O:$O, ROWS($A$10:A31))
  ),
"")</f>
        <v/>
      </c>
      <c r="H31" s="19" t="str">
        <f>IFERROR(
  INDEX(球员数据库!H:H,
    SMALL(球员数据库!$O:$O, ROWS($A$10:H31))
  ),
"")</f>
        <v/>
      </c>
      <c r="I31" s="19" t="str">
        <f>IFERROR(
  INDEX(球员数据库!I:I,
    SMALL(球员数据库!$O:$O, ROWS($A$10:H31))
  ),
"")</f>
        <v/>
      </c>
      <c r="J31" s="19" t="str">
        <f>IFERROR(
  INDEX(球员数据库!J:J,
    SMALL(球员数据库!$O:$O, ROWS($A$10:J31))
  ),
"")</f>
        <v/>
      </c>
      <c r="K31" s="19" t="str">
        <f>IFERROR(
  INDEX(球员数据库!K:K,
    SMALL(球员数据库!$O:$O, ROWS($A$10:J31))
  ),
"")</f>
        <v/>
      </c>
      <c r="L31" s="19" t="str">
        <f>IFERROR(
  INDEX(球员数据库!L:L,
    SMALL(球员数据库!$O:$O, ROWS($A$10:J31))
  ),
"")</f>
        <v/>
      </c>
      <c r="M31" s="19" t="str">
        <f>IFERROR(
  INDEX(球员数据库!M:M,
    SMALL(球员数据库!$O:$O, ROWS($A$10:M31))
  ),
"")</f>
        <v/>
      </c>
      <c r="N31" s="19" t="str">
        <f>IFERROR(
  INDEX(球员数据库!N:N,
    SMALL(球员数据库!$O:$O, ROWS($A$10:M31))
  ),
"")</f>
        <v/>
      </c>
      <c r="O31" s="9"/>
      <c r="X31" s="10" t="s">
        <v>1671</v>
      </c>
    </row>
    <row r="32" spans="1:24" ht="14" customHeight="1" x14ac:dyDescent="0.3">
      <c r="A32" s="16" t="str">
        <f t="array" ref="A32">IFERROR(
  INDEX(球员数据库!A:A,
    SMALL(球员数据库!$O:$O, ROWS($A$10:A32))
  ),
"")</f>
        <v/>
      </c>
      <c r="B32" s="19" t="str">
        <f t="array" ref="B32">IFERROR(
  INDEX(球员数据库!B:B,
    SMALL(球员数据库!$O:$O, ROWS($A$10:A32))
  ),
"")</f>
        <v/>
      </c>
      <c r="C32" s="19" t="str">
        <f t="array" ref="C32">IFERROR(
  INDEX(球员数据库!C:C,
    SMALL(球员数据库!$O:$O, ROWS($A$10:A32))
  ),
"")</f>
        <v/>
      </c>
      <c r="D32" s="19" t="str">
        <f t="array" ref="D32">IFERROR(
  INDEX(球员数据库!E:E,
    SMALL(球员数据库!$O:$O, ROWS($A$10:A32))
  ),
"")</f>
        <v/>
      </c>
      <c r="E32" s="20" t="str">
        <f t="array" ref="E32">IFERROR(
  INDEX(球员数据库!D:D,
    SMALL(球员数据库!$O:$O, ROWS($A$10:A32))
  ),
"")</f>
        <v/>
      </c>
      <c r="F32" s="19" t="str">
        <f t="array" ref="F32">IFERROR(
  INDEX(球员数据库!F:F,
    SMALL(球员数据库!$O:$O, ROWS($A$10:A32))
  ),
"")</f>
        <v/>
      </c>
      <c r="G32" s="19" t="str">
        <f t="array" ref="G32">IFERROR(
  INDEX(球员数据库!G:G,
    SMALL(球员数据库!$O:$O, ROWS($A$10:A32))
  ),
"")</f>
        <v/>
      </c>
      <c r="H32" s="19" t="str">
        <f>IFERROR(
  INDEX(球员数据库!H:H,
    SMALL(球员数据库!$O:$O, ROWS($A$10:H32))
  ),
"")</f>
        <v/>
      </c>
      <c r="I32" s="19" t="str">
        <f>IFERROR(
  INDEX(球员数据库!I:I,
    SMALL(球员数据库!$O:$O, ROWS($A$10:H32))
  ),
"")</f>
        <v/>
      </c>
      <c r="J32" s="19" t="str">
        <f>IFERROR(
  INDEX(球员数据库!J:J,
    SMALL(球员数据库!$O:$O, ROWS($A$10:J32))
  ),
"")</f>
        <v/>
      </c>
      <c r="K32" s="19" t="str">
        <f>IFERROR(
  INDEX(球员数据库!K:K,
    SMALL(球员数据库!$O:$O, ROWS($A$10:J32))
  ),
"")</f>
        <v/>
      </c>
      <c r="L32" s="19" t="str">
        <f>IFERROR(
  INDEX(球员数据库!L:L,
    SMALL(球员数据库!$O:$O, ROWS($A$10:J32))
  ),
"")</f>
        <v/>
      </c>
      <c r="M32" s="19" t="str">
        <f>IFERROR(
  INDEX(球员数据库!M:M,
    SMALL(球员数据库!$O:$O, ROWS($A$10:M32))
  ),
"")</f>
        <v/>
      </c>
      <c r="N32" s="19" t="str">
        <f>IFERROR(
  INDEX(球员数据库!N:N,
    SMALL(球员数据库!$O:$O, ROWS($A$10:M32))
  ),
"")</f>
        <v/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/>
      </c>
      <c r="B33" s="19" t="str">
        <f t="array" ref="B33">IFERROR(
  INDEX(球员数据库!B:B,
    SMALL(球员数据库!$O:$O, ROWS($A$10:A33))
  ),
"")</f>
        <v/>
      </c>
      <c r="C33" s="19" t="str">
        <f t="array" ref="C33">IFERROR(
  INDEX(球员数据库!C:C,
    SMALL(球员数据库!$O:$O, ROWS($A$10:A33))
  ),
"")</f>
        <v/>
      </c>
      <c r="D33" s="19" t="str">
        <f t="array" ref="D33">IFERROR(
  INDEX(球员数据库!E:E,
    SMALL(球员数据库!$O:$O, ROWS($A$10:A33))
  ),
"")</f>
        <v/>
      </c>
      <c r="E33" s="20" t="str">
        <f t="array" ref="E33">IFERROR(
  INDEX(球员数据库!D:D,
    SMALL(球员数据库!$O:$O, ROWS($A$10:A33))
  ),
"")</f>
        <v/>
      </c>
      <c r="F33" s="19" t="str">
        <f t="array" ref="F33">IFERROR(
  INDEX(球员数据库!F:F,
    SMALL(球员数据库!$O:$O, ROWS($A$10:A33))
  ),
"")</f>
        <v/>
      </c>
      <c r="G33" s="19" t="str">
        <f t="array" ref="G33">IFERROR(
  INDEX(球员数据库!G:G,
    SMALL(球员数据库!$O:$O, ROWS($A$10:A33))
  ),
"")</f>
        <v/>
      </c>
      <c r="H33" s="19" t="str">
        <f>IFERROR(
  INDEX(球员数据库!H:H,
    SMALL(球员数据库!$O:$O, ROWS($A$10:H33))
  ),
"")</f>
        <v/>
      </c>
      <c r="I33" s="19" t="str">
        <f>IFERROR(
  INDEX(球员数据库!I:I,
    SMALL(球员数据库!$O:$O, ROWS($A$10:H33))
  ),
"")</f>
        <v/>
      </c>
      <c r="J33" s="19" t="str">
        <f>IFERROR(
  INDEX(球员数据库!J:J,
    SMALL(球员数据库!$O:$O, ROWS($A$10:J33))
  ),
"")</f>
        <v/>
      </c>
      <c r="K33" s="19" t="str">
        <f>IFERROR(
  INDEX(球员数据库!K:K,
    SMALL(球员数据库!$O:$O, ROWS($A$10:J33))
  ),
"")</f>
        <v/>
      </c>
      <c r="L33" s="19" t="str">
        <f>IFERROR(
  INDEX(球员数据库!L:L,
    SMALL(球员数据库!$O:$O, ROWS($A$10:J33))
  ),
"")</f>
        <v/>
      </c>
      <c r="M33" s="19" t="str">
        <f>IFERROR(
  INDEX(球员数据库!M:M,
    SMALL(球员数据库!$O:$O, ROWS($A$10:M33))
  ),
"")</f>
        <v/>
      </c>
      <c r="N33" s="19" t="str">
        <f>IFERROR(
  INDEX(球员数据库!N:N,
    SMALL(球员数据库!$O:$O, ROWS($A$10:M33))
  ),
"")</f>
        <v/>
      </c>
      <c r="O33" s="9"/>
      <c r="X33" s="10" t="s">
        <v>1676</v>
      </c>
    </row>
    <row r="34" spans="1:24" ht="14" customHeight="1" x14ac:dyDescent="0.3">
      <c r="A34" s="16" t="str">
        <f t="array" ref="A34">IFERROR(
  INDEX(球员数据库!A:A,
    SMALL(球员数据库!$O:$O, ROWS($A$10:A34))
  ),
"")</f>
        <v/>
      </c>
      <c r="B34" s="19" t="str">
        <f t="array" ref="B34">IFERROR(
  INDEX(球员数据库!B:B,
    SMALL(球员数据库!$O:$O, ROWS($A$10:A34))
  ),
"")</f>
        <v/>
      </c>
      <c r="C34" s="19" t="str">
        <f t="array" ref="C34">IFERROR(
  INDEX(球员数据库!C:C,
    SMALL(球员数据库!$O:$O, ROWS($A$10:A34))
  ),
"")</f>
        <v/>
      </c>
      <c r="D34" s="19" t="str">
        <f t="array" ref="D34">IFERROR(
  INDEX(球员数据库!E:E,
    SMALL(球员数据库!$O:$O, ROWS($A$10:A34))
  ),
"")</f>
        <v/>
      </c>
      <c r="E34" s="20" t="str">
        <f t="array" ref="E34">IFERROR(
  INDEX(球员数据库!D:D,
    SMALL(球员数据库!$O:$O, ROWS($A$10:A34))
  ),
"")</f>
        <v/>
      </c>
      <c r="F34" s="19" t="str">
        <f t="array" ref="F34">IFERROR(
  INDEX(球员数据库!F:F,
    SMALL(球员数据库!$O:$O, ROWS($A$10:A34))
  ),
"")</f>
        <v/>
      </c>
      <c r="G34" s="19" t="str">
        <f t="array" ref="G34">IFERROR(
  INDEX(球员数据库!G:G,
    SMALL(球员数据库!$O:$O, ROWS($A$10:A34))
  ),
"")</f>
        <v/>
      </c>
      <c r="H34" s="19" t="str">
        <f>IFERROR(
  INDEX(球员数据库!H:H,
    SMALL(球员数据库!$O:$O, ROWS($A$10:H34))
  ),
"")</f>
        <v/>
      </c>
      <c r="I34" s="19" t="str">
        <f>IFERROR(
  INDEX(球员数据库!I:I,
    SMALL(球员数据库!$O:$O, ROWS($A$10:H34))
  ),
"")</f>
        <v/>
      </c>
      <c r="J34" s="19" t="str">
        <f>IFERROR(
  INDEX(球员数据库!J:J,
    SMALL(球员数据库!$O:$O, ROWS($A$10:J34))
  ),
"")</f>
        <v/>
      </c>
      <c r="K34" s="19" t="str">
        <f>IFERROR(
  INDEX(球员数据库!K:K,
    SMALL(球员数据库!$O:$O, ROWS($A$10:J34))
  ),
"")</f>
        <v/>
      </c>
      <c r="L34" s="19" t="str">
        <f>IFERROR(
  INDEX(球员数据库!L:L,
    SMALL(球员数据库!$O:$O, ROWS($A$10:J34))
  ),
"")</f>
        <v/>
      </c>
      <c r="M34" s="19" t="str">
        <f>IFERROR(
  INDEX(球员数据库!M:M,
    SMALL(球员数据库!$O:$O, ROWS($A$10:M34))
  ),
"")</f>
        <v/>
      </c>
      <c r="N34" s="19" t="str">
        <f>IFERROR(
  INDEX(球员数据库!N:N,
    SMALL(球员数据库!$O:$O, ROWS($A$10:M34))
  ),
"")</f>
        <v/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737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1104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572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1687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561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1156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1291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1444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2026-02-17T16:02:14Z</dcterms:modified>
</cp:coreProperties>
</file>